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thasg.sharepoint.com/Gedeelde documenten/Sales/Prices collections/North KB/2026/SS26 - MY26.2/"/>
    </mc:Choice>
  </mc:AlternateContent>
  <xr:revisionPtr revIDLastSave="66" documentId="8_{292C5052-4D28-4818-A56E-C5BAB54B118E}" xr6:coauthVersionLast="47" xr6:coauthVersionMax="47" xr10:uidLastSave="{01B5EA83-F157-4CAE-B11F-FA24A6F2B9D1}"/>
  <bookViews>
    <workbookView minimized="1" xWindow="12684" yWindow="4620" windowWidth="2496" windowHeight="588" tabRatio="895" xr2:uid="{00000000-000D-0000-FFFF-FFFF00000000}"/>
  </bookViews>
  <sheets>
    <sheet name="North Kite &amp; Foils " sheetId="1" r:id="rId1"/>
    <sheet name="Essential accessories " sheetId="23" r:id="rId2"/>
    <sheet name="Bridles &amp; Bladders " sheetId="25" r:id="rId3"/>
    <sheet name="Spare Parts " sheetId="17" r:id="rId4"/>
    <sheet name="Apparel &amp; POS" sheetId="5" r:id="rId5"/>
    <sheet name="Bladders -Bridles MY25.1" sheetId="9" state="hidden" r:id="rId6"/>
    <sheet name="Summary" sheetId="3" r:id="rId7"/>
    <sheet name="North ALL products " sheetId="26" r:id="rId8"/>
    <sheet name="General conditions" sheetId="4" r:id="rId9"/>
  </sheets>
  <externalReferences>
    <externalReference r:id="rId10"/>
  </externalReferences>
  <definedNames>
    <definedName name="_xlnm._FilterDatabase" localSheetId="4" hidden="1">'Apparel &amp; POS'!$A$15:$N$117</definedName>
    <definedName name="_xlnm._FilterDatabase" localSheetId="5" hidden="1">'Bladders -Bridles MY25.1'!$A$11:$V$89</definedName>
    <definedName name="_xlnm._FilterDatabase" localSheetId="2" hidden="1">'Bridles &amp; Bladders '!$A$13:$N$92</definedName>
    <definedName name="_xlnm._FilterDatabase" localSheetId="1" hidden="1">'Essential accessories '!$A$14:$N$122</definedName>
    <definedName name="_xlnm._FilterDatabase" localSheetId="7" hidden="1">'North ALL products '!$A$12:$R$672</definedName>
    <definedName name="_xlnm._FilterDatabase" localSheetId="0" hidden="1">'North Kite &amp; Foils '!$A$13:$N$332</definedName>
    <definedName name="_xlnm._FilterDatabase" localSheetId="3" hidden="1">'Spare Parts '!$A$13:$N$56</definedName>
    <definedName name="_xlnm.Print_Area" localSheetId="5">'Bladders -Bridles MY25.1'!$A$1:$P$75</definedName>
    <definedName name="_xlnm.Print_Area" localSheetId="7">'North ALL products '!$A$1:$M$131</definedName>
    <definedName name="_xlnm.Print_Area" localSheetId="0">'North Kite &amp; Foils '!$A$1:$M$132</definedName>
    <definedName name="Z_E0BAB3EC_1201_4193_B59E_5B286709951D_.wvu.Cols" localSheetId="5" hidden="1">'Bladders -Bridles MY25.1'!$R:$T</definedName>
    <definedName name="Z_E0BAB3EC_1201_4193_B59E_5B286709951D_.wvu.FilterData" localSheetId="4" hidden="1">'Apparel &amp; POS'!$A$15:$N$117</definedName>
    <definedName name="Z_E0BAB3EC_1201_4193_B59E_5B286709951D_.wvu.FilterData" localSheetId="5" hidden="1">'Bladders -Bridles MY25.1'!$A$11:$V$89</definedName>
    <definedName name="Z_E0BAB3EC_1201_4193_B59E_5B286709951D_.wvu.FilterData" localSheetId="2" hidden="1">'Bridles &amp; Bladders '!$A$13:$N$92</definedName>
    <definedName name="Z_E0BAB3EC_1201_4193_B59E_5B286709951D_.wvu.FilterData" localSheetId="1" hidden="1">'Essential accessories '!$A$14:$N$103</definedName>
    <definedName name="Z_E0BAB3EC_1201_4193_B59E_5B286709951D_.wvu.FilterData" localSheetId="7" hidden="1">'North ALL products '!$A$12:$N$228</definedName>
    <definedName name="Z_E0BAB3EC_1201_4193_B59E_5B286709951D_.wvu.FilterData" localSheetId="0" hidden="1">'North Kite &amp; Foils '!$A$13:$N$303</definedName>
    <definedName name="Z_E0BAB3EC_1201_4193_B59E_5B286709951D_.wvu.FilterData" localSheetId="3" hidden="1">'Spare Parts '!$A$13:$N$56</definedName>
    <definedName name="Z_E0BAB3EC_1201_4193_B59E_5B286709951D_.wvu.PrintArea" localSheetId="5" hidden="1">'Bladders -Bridles MY25.1'!$A$1:$P$75</definedName>
    <definedName name="Z_E0BAB3EC_1201_4193_B59E_5B286709951D_.wvu.PrintArea" localSheetId="7" hidden="1">'North ALL products '!$A$1:$M$131</definedName>
    <definedName name="Z_E0BAB3EC_1201_4193_B59E_5B286709951D_.wvu.PrintArea" localSheetId="0" hidden="1">'North Kite &amp; Foils '!$A$1:$M$132</definedName>
  </definedNames>
  <calcPr calcId="191028" iterateDelta="1E-4" calcCompleted="0"/>
  <customWorkbookViews>
    <customWorkbookView name="form" guid="{E0BAB3EC-1201-4193-B59E-5B286709951D}" maximized="1" xWindow="-8" yWindow="-8" windowWidth="1936" windowHeight="1048" tabRatio="936" activeSheetId="5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7" l="1"/>
  <c r="K10" i="26"/>
  <c r="L10" i="1"/>
  <c r="L6" i="1"/>
  <c r="L76" i="26"/>
  <c r="L77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L90" i="26"/>
  <c r="L91" i="26"/>
  <c r="L92" i="26"/>
  <c r="L93" i="26"/>
  <c r="L94" i="26"/>
  <c r="L95" i="26"/>
  <c r="L96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L71" i="26"/>
  <c r="L72" i="26"/>
  <c r="L73" i="26"/>
  <c r="L74" i="26"/>
  <c r="L75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13" i="26"/>
  <c r="L14" i="26"/>
  <c r="L15" i="26"/>
  <c r="L16" i="26"/>
  <c r="L17" i="26"/>
  <c r="L18" i="26"/>
  <c r="L19" i="26"/>
  <c r="L20" i="26"/>
  <c r="L21" i="26"/>
  <c r="L101" i="26"/>
  <c r="L102" i="26"/>
  <c r="L103" i="26"/>
  <c r="L104" i="26"/>
  <c r="L105" i="26"/>
  <c r="L98" i="26"/>
  <c r="L99" i="26"/>
  <c r="L100" i="26"/>
  <c r="L128" i="26"/>
  <c r="L129" i="26"/>
  <c r="L130" i="26"/>
  <c r="L131" i="26"/>
  <c r="L134" i="26"/>
  <c r="L135" i="26"/>
  <c r="L136" i="26"/>
  <c r="L132" i="26"/>
  <c r="L133" i="26"/>
  <c r="L106" i="26"/>
  <c r="L107" i="26"/>
  <c r="L108" i="26"/>
  <c r="L109" i="26"/>
  <c r="L110" i="26"/>
  <c r="L111" i="26"/>
  <c r="L124" i="26"/>
  <c r="L125" i="26"/>
  <c r="L126" i="26"/>
  <c r="L127" i="26"/>
  <c r="L120" i="26"/>
  <c r="L121" i="26"/>
  <c r="L122" i="26"/>
  <c r="L123" i="26"/>
  <c r="L116" i="26"/>
  <c r="L117" i="26"/>
  <c r="L118" i="26"/>
  <c r="L119" i="26"/>
  <c r="L112" i="26"/>
  <c r="L113" i="26"/>
  <c r="L114" i="26"/>
  <c r="L115" i="26"/>
  <c r="L141" i="26"/>
  <c r="L142" i="26"/>
  <c r="L143" i="26"/>
  <c r="L144" i="26"/>
  <c r="L145" i="26"/>
  <c r="L146" i="26"/>
  <c r="L147" i="26"/>
  <c r="L148" i="26"/>
  <c r="L149" i="26"/>
  <c r="L150" i="26"/>
  <c r="L151" i="26"/>
  <c r="L137" i="26"/>
  <c r="L138" i="26"/>
  <c r="L139" i="26"/>
  <c r="L140" i="26"/>
  <c r="L159" i="26"/>
  <c r="L160" i="26"/>
  <c r="L161" i="26"/>
  <c r="L152" i="26"/>
  <c r="L153" i="26"/>
  <c r="L154" i="26"/>
  <c r="L155" i="26"/>
  <c r="L156" i="26"/>
  <c r="L157" i="26"/>
  <c r="L158" i="26"/>
  <c r="L162" i="26"/>
  <c r="L176" i="26"/>
  <c r="L177" i="26"/>
  <c r="L178" i="26"/>
  <c r="L179" i="26"/>
  <c r="L180" i="26"/>
  <c r="L181" i="26"/>
  <c r="L182" i="26"/>
  <c r="L190" i="26"/>
  <c r="L191" i="26"/>
  <c r="L192" i="26"/>
  <c r="L193" i="26"/>
  <c r="L183" i="26"/>
  <c r="L184" i="26"/>
  <c r="L185" i="26"/>
  <c r="L194" i="26"/>
  <c r="L195" i="26"/>
  <c r="L163" i="26"/>
  <c r="L164" i="26"/>
  <c r="L165" i="26"/>
  <c r="L166" i="26"/>
  <c r="L167" i="26"/>
  <c r="L168" i="26"/>
  <c r="L169" i="26"/>
  <c r="L170" i="26"/>
  <c r="L171" i="26"/>
  <c r="L172" i="26"/>
  <c r="L173" i="26"/>
  <c r="L174" i="26"/>
  <c r="L175" i="26"/>
  <c r="L186" i="26"/>
  <c r="L187" i="26"/>
  <c r="L188" i="26"/>
  <c r="L189" i="26"/>
  <c r="L203" i="26"/>
  <c r="L204" i="26"/>
  <c r="L205" i="26"/>
  <c r="L206" i="26"/>
  <c r="L207" i="26"/>
  <c r="L208" i="26"/>
  <c r="L209" i="26"/>
  <c r="L210" i="26"/>
  <c r="L211" i="26"/>
  <c r="L212" i="26"/>
  <c r="L213" i="26"/>
  <c r="L214" i="26"/>
  <c r="L215" i="26"/>
  <c r="L216" i="26"/>
  <c r="L223" i="26"/>
  <c r="L224" i="26"/>
  <c r="L225" i="26"/>
  <c r="L226" i="26"/>
  <c r="L227" i="26"/>
  <c r="L228" i="26"/>
  <c r="L229" i="26"/>
  <c r="L230" i="26"/>
  <c r="L231" i="26"/>
  <c r="L196" i="26"/>
  <c r="L197" i="26"/>
  <c r="L198" i="26"/>
  <c r="L199" i="26"/>
  <c r="L200" i="26"/>
  <c r="L201" i="26"/>
  <c r="L202" i="26"/>
  <c r="L217" i="26"/>
  <c r="L218" i="26"/>
  <c r="L219" i="26"/>
  <c r="L220" i="26"/>
  <c r="L221" i="26"/>
  <c r="L222" i="26"/>
  <c r="L238" i="26"/>
  <c r="L239" i="26"/>
  <c r="L240" i="26"/>
  <c r="L241" i="26"/>
  <c r="L232" i="26"/>
  <c r="L233" i="26"/>
  <c r="L234" i="26"/>
  <c r="L235" i="26"/>
  <c r="L236" i="26"/>
  <c r="L237" i="26"/>
  <c r="L332" i="26"/>
  <c r="L333" i="26"/>
  <c r="L334" i="26"/>
  <c r="L335" i="26"/>
  <c r="L244" i="26"/>
  <c r="L245" i="26"/>
  <c r="L246" i="26"/>
  <c r="L247" i="26"/>
  <c r="L248" i="26"/>
  <c r="L249" i="26"/>
  <c r="L336" i="26"/>
  <c r="L519" i="26"/>
  <c r="L520" i="26"/>
  <c r="L521" i="26"/>
  <c r="L440" i="26"/>
  <c r="L441" i="26"/>
  <c r="L442" i="26"/>
  <c r="L443" i="26"/>
  <c r="L444" i="26"/>
  <c r="L445" i="26"/>
  <c r="L446" i="26"/>
  <c r="L447" i="26"/>
  <c r="L522" i="26"/>
  <c r="L448" i="26"/>
  <c r="L449" i="26"/>
  <c r="L450" i="26"/>
  <c r="L451" i="26"/>
  <c r="L452" i="26"/>
  <c r="L453" i="26"/>
  <c r="L454" i="26"/>
  <c r="L455" i="26"/>
  <c r="L456" i="26"/>
  <c r="L457" i="26"/>
  <c r="L458" i="26"/>
  <c r="L459" i="26"/>
  <c r="L460" i="26"/>
  <c r="L461" i="26"/>
  <c r="L462" i="26"/>
  <c r="L463" i="26"/>
  <c r="L464" i="26"/>
  <c r="L465" i="26"/>
  <c r="L466" i="26"/>
  <c r="L467" i="26"/>
  <c r="L468" i="26"/>
  <c r="L469" i="26"/>
  <c r="L470" i="26"/>
  <c r="L471" i="26"/>
  <c r="L472" i="26"/>
  <c r="L473" i="26"/>
  <c r="L474" i="26"/>
  <c r="L475" i="26"/>
  <c r="L476" i="26"/>
  <c r="L477" i="26"/>
  <c r="L478" i="26"/>
  <c r="L479" i="26"/>
  <c r="L480" i="26"/>
  <c r="L481" i="26"/>
  <c r="L482" i="26"/>
  <c r="L483" i="26"/>
  <c r="L484" i="26"/>
  <c r="L485" i="26"/>
  <c r="L486" i="26"/>
  <c r="L487" i="26"/>
  <c r="L488" i="26"/>
  <c r="L489" i="26"/>
  <c r="L242" i="26"/>
  <c r="L243" i="26"/>
  <c r="L337" i="26"/>
  <c r="L338" i="26"/>
  <c r="L339" i="26"/>
  <c r="L340" i="26"/>
  <c r="L341" i="26"/>
  <c r="L342" i="26"/>
  <c r="L343" i="26"/>
  <c r="L344" i="26"/>
  <c r="L345" i="26"/>
  <c r="L346" i="26"/>
  <c r="L347" i="26"/>
  <c r="L348" i="26"/>
  <c r="L349" i="26"/>
  <c r="L350" i="26"/>
  <c r="L274" i="26"/>
  <c r="L275" i="26"/>
  <c r="L276" i="26"/>
  <c r="L351" i="26"/>
  <c r="L253" i="26"/>
  <c r="L254" i="26"/>
  <c r="L255" i="26"/>
  <c r="L290" i="26"/>
  <c r="L288" i="26"/>
  <c r="L258" i="26"/>
  <c r="L277" i="26"/>
  <c r="L278" i="26"/>
  <c r="L279" i="26"/>
  <c r="L280" i="26"/>
  <c r="L281" i="26"/>
  <c r="L282" i="26"/>
  <c r="L283" i="26"/>
  <c r="L284" i="26"/>
  <c r="L285" i="26"/>
  <c r="L305" i="26"/>
  <c r="L306" i="26"/>
  <c r="L293" i="26"/>
  <c r="L303" i="26"/>
  <c r="L304" i="26"/>
  <c r="L312" i="26"/>
  <c r="L313" i="26"/>
  <c r="L314" i="26"/>
  <c r="L315" i="26"/>
  <c r="L316" i="26"/>
  <c r="L298" i="26"/>
  <c r="L299" i="26"/>
  <c r="L295" i="26"/>
  <c r="L296" i="26"/>
  <c r="L297" i="26"/>
  <c r="L262" i="26"/>
  <c r="L267" i="26"/>
  <c r="L268" i="26"/>
  <c r="L261" i="26"/>
  <c r="L264" i="26"/>
  <c r="L265" i="26"/>
  <c r="L266" i="26"/>
  <c r="L273" i="26"/>
  <c r="L251" i="26"/>
  <c r="L252" i="26"/>
  <c r="L257" i="26"/>
  <c r="L291" i="26"/>
  <c r="L301" i="26"/>
  <c r="L271" i="26"/>
  <c r="L272" i="26"/>
  <c r="L302" i="26"/>
  <c r="L259" i="26"/>
  <c r="L260" i="26"/>
  <c r="L250" i="26"/>
  <c r="L292" i="26"/>
  <c r="L294" i="26"/>
  <c r="L300" i="26"/>
  <c r="L286" i="26"/>
  <c r="L256" i="26"/>
  <c r="L270" i="26"/>
  <c r="L269" i="26"/>
  <c r="L307" i="26"/>
  <c r="L308" i="26"/>
  <c r="L309" i="26"/>
  <c r="L310" i="26"/>
  <c r="L311" i="26"/>
  <c r="L263" i="26"/>
  <c r="L287" i="26"/>
  <c r="L289" i="26"/>
  <c r="L326" i="26"/>
  <c r="L327" i="26"/>
  <c r="L323" i="26"/>
  <c r="L324" i="26"/>
  <c r="L325" i="26"/>
  <c r="L328" i="26"/>
  <c r="L319" i="26"/>
  <c r="L320" i="26"/>
  <c r="L321" i="26"/>
  <c r="L322" i="26"/>
  <c r="L317" i="26"/>
  <c r="L318" i="26"/>
  <c r="L352" i="26"/>
  <c r="L353" i="26"/>
  <c r="L354" i="26"/>
  <c r="L355" i="26"/>
  <c r="L356" i="26"/>
  <c r="L357" i="26"/>
  <c r="L358" i="26"/>
  <c r="L359" i="26"/>
  <c r="L360" i="26"/>
  <c r="L361" i="26"/>
  <c r="L362" i="26"/>
  <c r="L363" i="26"/>
  <c r="L364" i="26"/>
  <c r="L365" i="26"/>
  <c r="L366" i="26"/>
  <c r="L367" i="26"/>
  <c r="L368" i="26"/>
  <c r="L523" i="26"/>
  <c r="L524" i="26"/>
  <c r="L525" i="26"/>
  <c r="L526" i="26"/>
  <c r="L369" i="26"/>
  <c r="L527" i="26"/>
  <c r="L370" i="26"/>
  <c r="L371" i="26"/>
  <c r="L372" i="26"/>
  <c r="L373" i="26"/>
  <c r="L528" i="26"/>
  <c r="L374" i="26"/>
  <c r="L375" i="26"/>
  <c r="L376" i="26"/>
  <c r="L377" i="26"/>
  <c r="L378" i="26"/>
  <c r="L529" i="26"/>
  <c r="L530" i="26"/>
  <c r="L531" i="26"/>
  <c r="L532" i="26"/>
  <c r="L379" i="26"/>
  <c r="L380" i="26"/>
  <c r="L381" i="26"/>
  <c r="L382" i="26"/>
  <c r="L383" i="26"/>
  <c r="L384" i="26"/>
  <c r="L385" i="26"/>
  <c r="L386" i="26"/>
  <c r="L387" i="26"/>
  <c r="L388" i="26"/>
  <c r="L389" i="26"/>
  <c r="L390" i="26"/>
  <c r="L533" i="26"/>
  <c r="L391" i="26"/>
  <c r="L392" i="26"/>
  <c r="L393" i="26"/>
  <c r="L394" i="26"/>
  <c r="L395" i="26"/>
  <c r="L396" i="26"/>
  <c r="L397" i="26"/>
  <c r="L398" i="26"/>
  <c r="L399" i="26"/>
  <c r="L400" i="26"/>
  <c r="L401" i="26"/>
  <c r="L402" i="26"/>
  <c r="L403" i="26"/>
  <c r="L404" i="26"/>
  <c r="L405" i="26"/>
  <c r="L406" i="26"/>
  <c r="L407" i="26"/>
  <c r="L408" i="26"/>
  <c r="L409" i="26"/>
  <c r="L410" i="26"/>
  <c r="L411" i="26"/>
  <c r="L412" i="26"/>
  <c r="L413" i="26"/>
  <c r="L414" i="26"/>
  <c r="L415" i="26"/>
  <c r="L416" i="26"/>
  <c r="L417" i="26"/>
  <c r="L418" i="26"/>
  <c r="L419" i="26"/>
  <c r="L534" i="26"/>
  <c r="L535" i="26"/>
  <c r="L536" i="26"/>
  <c r="L537" i="26"/>
  <c r="L538" i="26"/>
  <c r="L539" i="26"/>
  <c r="L540" i="26"/>
  <c r="L490" i="26"/>
  <c r="L491" i="26"/>
  <c r="L492" i="26"/>
  <c r="L493" i="26"/>
  <c r="L494" i="26"/>
  <c r="L495" i="26"/>
  <c r="L496" i="26"/>
  <c r="L497" i="26"/>
  <c r="L498" i="26"/>
  <c r="L499" i="26"/>
  <c r="L500" i="26"/>
  <c r="L501" i="26"/>
  <c r="L502" i="26"/>
  <c r="L503" i="26"/>
  <c r="L504" i="26"/>
  <c r="L505" i="26"/>
  <c r="L506" i="26"/>
  <c r="L507" i="26"/>
  <c r="L508" i="26"/>
  <c r="L509" i="26"/>
  <c r="L510" i="26"/>
  <c r="L511" i="26"/>
  <c r="L512" i="26"/>
  <c r="L513" i="26"/>
  <c r="L514" i="26"/>
  <c r="L515" i="26"/>
  <c r="L516" i="26"/>
  <c r="L420" i="26"/>
  <c r="L421" i="26"/>
  <c r="L422" i="26"/>
  <c r="L423" i="26"/>
  <c r="L424" i="26"/>
  <c r="L425" i="26"/>
  <c r="L426" i="26"/>
  <c r="L517" i="26"/>
  <c r="L518" i="26"/>
  <c r="L427" i="26"/>
  <c r="L541" i="26"/>
  <c r="L542" i="26"/>
  <c r="L543" i="26"/>
  <c r="L544" i="26"/>
  <c r="L545" i="26"/>
  <c r="L546" i="26"/>
  <c r="L547" i="26"/>
  <c r="L548" i="26"/>
  <c r="L549" i="26"/>
  <c r="L550" i="26"/>
  <c r="L551" i="26"/>
  <c r="L552" i="26"/>
  <c r="L553" i="26"/>
  <c r="L554" i="26"/>
  <c r="L555" i="26"/>
  <c r="L556" i="26"/>
  <c r="L557" i="26"/>
  <c r="L558" i="26"/>
  <c r="L559" i="26"/>
  <c r="L560" i="26"/>
  <c r="L561" i="26"/>
  <c r="L562" i="26"/>
  <c r="L563" i="26"/>
  <c r="L564" i="26"/>
  <c r="L565" i="26"/>
  <c r="L566" i="26"/>
  <c r="L567" i="26"/>
  <c r="L568" i="26"/>
  <c r="L570" i="26"/>
  <c r="L569" i="26"/>
  <c r="L438" i="26"/>
  <c r="L439" i="26"/>
  <c r="L571" i="26"/>
  <c r="L572" i="26"/>
  <c r="L573" i="26"/>
  <c r="L574" i="26"/>
  <c r="L575" i="26"/>
  <c r="L576" i="26"/>
  <c r="L428" i="26"/>
  <c r="L429" i="26"/>
  <c r="L430" i="26"/>
  <c r="L431" i="26"/>
  <c r="L432" i="26"/>
  <c r="L433" i="26"/>
  <c r="L434" i="26"/>
  <c r="L435" i="26"/>
  <c r="L436" i="26"/>
  <c r="L437" i="26"/>
  <c r="L577" i="26"/>
  <c r="L578" i="26"/>
  <c r="L579" i="26"/>
  <c r="L580" i="26"/>
  <c r="L581" i="26"/>
  <c r="L582" i="26"/>
  <c r="L583" i="26"/>
  <c r="L584" i="26"/>
  <c r="L585" i="26"/>
  <c r="L586" i="26"/>
  <c r="L587" i="26"/>
  <c r="L588" i="26"/>
  <c r="L589" i="26"/>
  <c r="L590" i="26"/>
  <c r="L591" i="26"/>
  <c r="L592" i="26"/>
  <c r="L593" i="26"/>
  <c r="L594" i="26"/>
  <c r="L595" i="26"/>
  <c r="L596" i="26"/>
  <c r="L597" i="26"/>
  <c r="L598" i="26"/>
  <c r="L599" i="26"/>
  <c r="L600" i="26"/>
  <c r="L601" i="26"/>
  <c r="L602" i="26"/>
  <c r="L603" i="26"/>
  <c r="L604" i="26"/>
  <c r="L605" i="26"/>
  <c r="L606" i="26"/>
  <c r="L607" i="26"/>
  <c r="L608" i="26"/>
  <c r="L609" i="26"/>
  <c r="L610" i="26"/>
  <c r="L611" i="26"/>
  <c r="L612" i="26"/>
  <c r="L613" i="26"/>
  <c r="L614" i="26"/>
  <c r="L615" i="26"/>
  <c r="L616" i="26"/>
  <c r="L617" i="26"/>
  <c r="L618" i="26"/>
  <c r="L619" i="26"/>
  <c r="L620" i="26"/>
  <c r="L621" i="26"/>
  <c r="L622" i="26"/>
  <c r="L623" i="26"/>
  <c r="L624" i="26"/>
  <c r="L625" i="26"/>
  <c r="L626" i="26"/>
  <c r="L627" i="26"/>
  <c r="L628" i="26"/>
  <c r="L629" i="26"/>
  <c r="L630" i="26"/>
  <c r="L631" i="26"/>
  <c r="L632" i="26"/>
  <c r="L633" i="26"/>
  <c r="L634" i="26"/>
  <c r="L635" i="26"/>
  <c r="L636" i="26"/>
  <c r="L637" i="26"/>
  <c r="L638" i="26"/>
  <c r="L639" i="26"/>
  <c r="L640" i="26"/>
  <c r="L641" i="26"/>
  <c r="L642" i="26"/>
  <c r="L643" i="26"/>
  <c r="L644" i="26"/>
  <c r="L645" i="26"/>
  <c r="L646" i="26"/>
  <c r="L647" i="26"/>
  <c r="L648" i="26"/>
  <c r="L649" i="26"/>
  <c r="L650" i="26"/>
  <c r="L651" i="26"/>
  <c r="L652" i="26"/>
  <c r="L653" i="26"/>
  <c r="L654" i="26"/>
  <c r="L655" i="26"/>
  <c r="L656" i="26"/>
  <c r="L657" i="26"/>
  <c r="L658" i="26"/>
  <c r="L659" i="26"/>
  <c r="L660" i="26"/>
  <c r="L661" i="26"/>
  <c r="L662" i="26"/>
  <c r="L663" i="26"/>
  <c r="L664" i="26"/>
  <c r="L665" i="26"/>
  <c r="L666" i="26"/>
  <c r="L667" i="26"/>
  <c r="L329" i="26"/>
  <c r="L330" i="26"/>
  <c r="L331" i="26"/>
  <c r="L668" i="26"/>
  <c r="L669" i="26"/>
  <c r="L670" i="26"/>
  <c r="L671" i="26"/>
  <c r="L672" i="26"/>
  <c r="L97" i="26"/>
  <c r="N244" i="1" l="1"/>
  <c r="M243" i="26"/>
  <c r="N243" i="26" s="1"/>
  <c r="M337" i="26"/>
  <c r="N337" i="26" s="1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M437" i="26"/>
  <c r="N437" i="26" s="1"/>
  <c r="M436" i="26"/>
  <c r="N436" i="26" s="1"/>
  <c r="M435" i="26"/>
  <c r="N435" i="26" s="1"/>
  <c r="M434" i="26"/>
  <c r="N434" i="26" s="1"/>
  <c r="M433" i="26"/>
  <c r="N433" i="26" s="1"/>
  <c r="M432" i="26"/>
  <c r="N432" i="26" s="1"/>
  <c r="M431" i="26"/>
  <c r="N431" i="26" s="1"/>
  <c r="M430" i="26"/>
  <c r="N430" i="26" s="1"/>
  <c r="M429" i="26"/>
  <c r="N429" i="26" s="1"/>
  <c r="M428" i="26"/>
  <c r="N428" i="26" s="1"/>
  <c r="M439" i="26"/>
  <c r="N439" i="26" s="1"/>
  <c r="N111" i="23"/>
  <c r="N112" i="23"/>
  <c r="N113" i="23"/>
  <c r="N114" i="23"/>
  <c r="N115" i="23"/>
  <c r="N116" i="23"/>
  <c r="N117" i="23"/>
  <c r="N118" i="23"/>
  <c r="N119" i="23"/>
  <c r="N120" i="23"/>
  <c r="M577" i="26"/>
  <c r="N577" i="26" s="1"/>
  <c r="M578" i="26"/>
  <c r="N578" i="26" s="1"/>
  <c r="M579" i="26"/>
  <c r="N579" i="26" s="1"/>
  <c r="M580" i="26"/>
  <c r="N580" i="26" s="1"/>
  <c r="M581" i="26"/>
  <c r="N581" i="26" s="1"/>
  <c r="M582" i="26"/>
  <c r="N582" i="26" s="1"/>
  <c r="M583" i="26"/>
  <c r="N583" i="26" s="1"/>
  <c r="M584" i="26"/>
  <c r="N584" i="26" s="1"/>
  <c r="M585" i="26"/>
  <c r="N585" i="26" s="1"/>
  <c r="M586" i="26"/>
  <c r="N586" i="26" s="1"/>
  <c r="M587" i="26"/>
  <c r="N587" i="26" s="1"/>
  <c r="M588" i="26"/>
  <c r="N588" i="26" s="1"/>
  <c r="M589" i="26"/>
  <c r="N589" i="26" s="1"/>
  <c r="M590" i="26"/>
  <c r="N590" i="26" s="1"/>
  <c r="M591" i="26"/>
  <c r="N591" i="26" s="1"/>
  <c r="M592" i="26"/>
  <c r="N592" i="26" s="1"/>
  <c r="M593" i="26"/>
  <c r="N593" i="26" s="1"/>
  <c r="N64" i="17" l="1"/>
  <c r="N65" i="17"/>
  <c r="M569" i="26"/>
  <c r="N32" i="23"/>
  <c r="N33" i="23"/>
  <c r="M349" i="26"/>
  <c r="M350" i="26"/>
  <c r="N569" i="26" l="1"/>
  <c r="N350" i="26"/>
  <c r="N349" i="26"/>
  <c r="M408" i="26" l="1"/>
  <c r="M409" i="26"/>
  <c r="M410" i="26"/>
  <c r="M78" i="26" l="1"/>
  <c r="M570" i="26" l="1"/>
  <c r="M568" i="26"/>
  <c r="M567" i="26"/>
  <c r="M566" i="26"/>
  <c r="M565" i="26"/>
  <c r="M564" i="26"/>
  <c r="M563" i="26"/>
  <c r="M562" i="26"/>
  <c r="M561" i="26"/>
  <c r="M560" i="26"/>
  <c r="M559" i="26"/>
  <c r="M558" i="26"/>
  <c r="M557" i="26"/>
  <c r="M556" i="26"/>
  <c r="M555" i="26"/>
  <c r="M554" i="26"/>
  <c r="M553" i="26"/>
  <c r="M552" i="26"/>
  <c r="M551" i="26"/>
  <c r="M550" i="26"/>
  <c r="M549" i="26"/>
  <c r="M548" i="26"/>
  <c r="M547" i="26"/>
  <c r="M546" i="26"/>
  <c r="M545" i="26"/>
  <c r="M544" i="26"/>
  <c r="M543" i="26"/>
  <c r="M542" i="26"/>
  <c r="M541" i="26"/>
  <c r="M540" i="26"/>
  <c r="M539" i="26"/>
  <c r="M538" i="26"/>
  <c r="M537" i="26"/>
  <c r="M536" i="26"/>
  <c r="M535" i="26"/>
  <c r="M534" i="26"/>
  <c r="M533" i="26"/>
  <c r="M532" i="26"/>
  <c r="M531" i="26"/>
  <c r="M530" i="26"/>
  <c r="M529" i="26"/>
  <c r="M528" i="26"/>
  <c r="M527" i="26"/>
  <c r="M526" i="26"/>
  <c r="M525" i="26"/>
  <c r="M524" i="26"/>
  <c r="M523" i="26"/>
  <c r="M522" i="26"/>
  <c r="M521" i="26"/>
  <c r="M520" i="26"/>
  <c r="M519" i="26"/>
  <c r="M331" i="26"/>
  <c r="M330" i="26"/>
  <c r="M329" i="26"/>
  <c r="M318" i="26"/>
  <c r="M317" i="26"/>
  <c r="M322" i="26"/>
  <c r="M321" i="26"/>
  <c r="M320" i="26"/>
  <c r="M319" i="26"/>
  <c r="M328" i="26"/>
  <c r="M325" i="26"/>
  <c r="M324" i="26"/>
  <c r="M323" i="26"/>
  <c r="M327" i="26"/>
  <c r="M326" i="26"/>
  <c r="M289" i="26"/>
  <c r="M287" i="26"/>
  <c r="M263" i="26"/>
  <c r="M311" i="26"/>
  <c r="M310" i="26"/>
  <c r="M309" i="26"/>
  <c r="M308" i="26"/>
  <c r="M307" i="26"/>
  <c r="M269" i="26"/>
  <c r="M270" i="26"/>
  <c r="M256" i="26"/>
  <c r="M286" i="26"/>
  <c r="M300" i="26"/>
  <c r="M294" i="26"/>
  <c r="M292" i="26"/>
  <c r="M250" i="26"/>
  <c r="M260" i="26"/>
  <c r="M259" i="26"/>
  <c r="M302" i="26"/>
  <c r="M272" i="26"/>
  <c r="M271" i="26"/>
  <c r="M301" i="26"/>
  <c r="M291" i="26"/>
  <c r="M257" i="26"/>
  <c r="M252" i="26"/>
  <c r="M251" i="26"/>
  <c r="M273" i="26"/>
  <c r="M266" i="26"/>
  <c r="M265" i="26"/>
  <c r="M264" i="26"/>
  <c r="M261" i="26"/>
  <c r="M268" i="26"/>
  <c r="M267" i="26"/>
  <c r="M262" i="26"/>
  <c r="M297" i="26"/>
  <c r="M296" i="26"/>
  <c r="M295" i="26"/>
  <c r="M299" i="26"/>
  <c r="M298" i="26"/>
  <c r="M316" i="26"/>
  <c r="M315" i="26"/>
  <c r="M314" i="26"/>
  <c r="M313" i="26"/>
  <c r="M312" i="26"/>
  <c r="M304" i="26"/>
  <c r="M303" i="26"/>
  <c r="M293" i="26"/>
  <c r="M306" i="26"/>
  <c r="M305" i="26"/>
  <c r="M285" i="26"/>
  <c r="M284" i="26"/>
  <c r="M283" i="26"/>
  <c r="M282" i="26"/>
  <c r="M281" i="26"/>
  <c r="M280" i="26"/>
  <c r="M279" i="26"/>
  <c r="M278" i="26"/>
  <c r="M277" i="26"/>
  <c r="M258" i="26"/>
  <c r="M288" i="26"/>
  <c r="M290" i="26"/>
  <c r="M255" i="26"/>
  <c r="M254" i="26"/>
  <c r="M253" i="26"/>
  <c r="M276" i="26"/>
  <c r="M275" i="26"/>
  <c r="M274" i="26"/>
  <c r="M242" i="26"/>
  <c r="M249" i="26"/>
  <c r="M248" i="26"/>
  <c r="M247" i="26"/>
  <c r="M246" i="26"/>
  <c r="M245" i="26"/>
  <c r="M244" i="26"/>
  <c r="M237" i="26"/>
  <c r="M236" i="26"/>
  <c r="M235" i="26"/>
  <c r="M234" i="26"/>
  <c r="M233" i="26"/>
  <c r="M232" i="26"/>
  <c r="M241" i="26"/>
  <c r="M240" i="26"/>
  <c r="M239" i="26"/>
  <c r="M238" i="26"/>
  <c r="M222" i="26"/>
  <c r="M221" i="26"/>
  <c r="M220" i="26"/>
  <c r="M219" i="26"/>
  <c r="M218" i="26"/>
  <c r="M217" i="26"/>
  <c r="M202" i="26"/>
  <c r="M201" i="26"/>
  <c r="M200" i="26"/>
  <c r="M199" i="26"/>
  <c r="M198" i="26"/>
  <c r="M197" i="26"/>
  <c r="M196" i="26"/>
  <c r="M231" i="26"/>
  <c r="M230" i="26"/>
  <c r="M229" i="26"/>
  <c r="M228" i="26"/>
  <c r="M227" i="26"/>
  <c r="M226" i="26"/>
  <c r="M225" i="26"/>
  <c r="M224" i="26"/>
  <c r="M223" i="26"/>
  <c r="M216" i="26"/>
  <c r="M215" i="26"/>
  <c r="M214" i="26"/>
  <c r="M213" i="26"/>
  <c r="M212" i="26"/>
  <c r="M211" i="26"/>
  <c r="M210" i="26"/>
  <c r="M209" i="26"/>
  <c r="M208" i="26"/>
  <c r="M207" i="26"/>
  <c r="M206" i="26"/>
  <c r="M205" i="26"/>
  <c r="M204" i="26"/>
  <c r="M203" i="26"/>
  <c r="M189" i="26"/>
  <c r="M188" i="26"/>
  <c r="M187" i="26"/>
  <c r="M186" i="26"/>
  <c r="M175" i="26"/>
  <c r="M174" i="26"/>
  <c r="M173" i="26"/>
  <c r="M172" i="26"/>
  <c r="M171" i="26"/>
  <c r="M170" i="26"/>
  <c r="M169" i="26"/>
  <c r="M168" i="26"/>
  <c r="M167" i="26"/>
  <c r="M166" i="26"/>
  <c r="M165" i="26"/>
  <c r="M164" i="26"/>
  <c r="M163" i="26"/>
  <c r="M195" i="26"/>
  <c r="M194" i="26"/>
  <c r="M185" i="26"/>
  <c r="M184" i="26"/>
  <c r="M183" i="26"/>
  <c r="M193" i="26"/>
  <c r="M192" i="26"/>
  <c r="M191" i="26"/>
  <c r="M190" i="26"/>
  <c r="M182" i="26"/>
  <c r="M181" i="26"/>
  <c r="M180" i="26"/>
  <c r="M179" i="26"/>
  <c r="M178" i="26"/>
  <c r="M177" i="26"/>
  <c r="M176" i="26"/>
  <c r="M162" i="26"/>
  <c r="M158" i="26"/>
  <c r="M157" i="26"/>
  <c r="M156" i="26"/>
  <c r="M155" i="26"/>
  <c r="M154" i="26"/>
  <c r="M153" i="26"/>
  <c r="M152" i="26"/>
  <c r="M161" i="26"/>
  <c r="M160" i="26"/>
  <c r="M159" i="26"/>
  <c r="M140" i="26"/>
  <c r="M139" i="26"/>
  <c r="M138" i="26"/>
  <c r="M137" i="26"/>
  <c r="M151" i="26"/>
  <c r="M150" i="26"/>
  <c r="M149" i="26"/>
  <c r="M148" i="26"/>
  <c r="M147" i="26"/>
  <c r="M146" i="26"/>
  <c r="M145" i="26"/>
  <c r="M144" i="26"/>
  <c r="M143" i="26"/>
  <c r="M142" i="26"/>
  <c r="M141" i="26"/>
  <c r="M115" i="26"/>
  <c r="M114" i="26"/>
  <c r="M113" i="26"/>
  <c r="M112" i="26"/>
  <c r="M119" i="26"/>
  <c r="M118" i="26"/>
  <c r="M117" i="26"/>
  <c r="M116" i="26"/>
  <c r="M123" i="26"/>
  <c r="M122" i="26"/>
  <c r="M121" i="26"/>
  <c r="M120" i="26"/>
  <c r="M127" i="26"/>
  <c r="M126" i="26"/>
  <c r="M125" i="26"/>
  <c r="M124" i="26"/>
  <c r="M111" i="26"/>
  <c r="M110" i="26"/>
  <c r="M109" i="26"/>
  <c r="M108" i="26"/>
  <c r="M107" i="26"/>
  <c r="M106" i="26"/>
  <c r="M133" i="26"/>
  <c r="M132" i="26"/>
  <c r="M136" i="26"/>
  <c r="M135" i="26"/>
  <c r="M134" i="26"/>
  <c r="M131" i="26"/>
  <c r="M130" i="26"/>
  <c r="M129" i="26"/>
  <c r="M128" i="26"/>
  <c r="M100" i="26"/>
  <c r="M99" i="26"/>
  <c r="M98" i="26"/>
  <c r="M105" i="26"/>
  <c r="M104" i="26"/>
  <c r="M103" i="26"/>
  <c r="M102" i="26"/>
  <c r="M101" i="26"/>
  <c r="M21" i="26"/>
  <c r="M20" i="26"/>
  <c r="M19" i="26"/>
  <c r="M18" i="26"/>
  <c r="M17" i="26"/>
  <c r="M16" i="26"/>
  <c r="M15" i="26"/>
  <c r="M14" i="26"/>
  <c r="M13" i="26"/>
  <c r="M55" i="26"/>
  <c r="M54" i="26"/>
  <c r="M53" i="26"/>
  <c r="M52" i="26"/>
  <c r="M51" i="26"/>
  <c r="M50" i="26"/>
  <c r="M49" i="26"/>
  <c r="M48" i="26"/>
  <c r="M47" i="26"/>
  <c r="M46" i="26"/>
  <c r="M45" i="26"/>
  <c r="M44" i="26"/>
  <c r="M43" i="26"/>
  <c r="M42" i="26"/>
  <c r="M41" i="26"/>
  <c r="M40" i="26"/>
  <c r="M39" i="26"/>
  <c r="M38" i="26"/>
  <c r="M37" i="26"/>
  <c r="M36" i="26"/>
  <c r="M35" i="26"/>
  <c r="M34" i="26"/>
  <c r="M33" i="26"/>
  <c r="M32" i="26"/>
  <c r="M31" i="26"/>
  <c r="M30" i="26"/>
  <c r="M29" i="26"/>
  <c r="M28" i="26"/>
  <c r="M27" i="26"/>
  <c r="M26" i="26"/>
  <c r="M25" i="26"/>
  <c r="M24" i="26"/>
  <c r="M23" i="26"/>
  <c r="M22" i="26"/>
  <c r="M75" i="26"/>
  <c r="M74" i="26"/>
  <c r="M73" i="26"/>
  <c r="M72" i="26"/>
  <c r="M71" i="26"/>
  <c r="M70" i="26"/>
  <c r="M69" i="26"/>
  <c r="M68" i="26"/>
  <c r="M67" i="26"/>
  <c r="M66" i="26"/>
  <c r="M65" i="26"/>
  <c r="M64" i="26"/>
  <c r="M63" i="26"/>
  <c r="M62" i="26"/>
  <c r="M61" i="26"/>
  <c r="M60" i="26"/>
  <c r="M59" i="26"/>
  <c r="M58" i="26"/>
  <c r="M57" i="26"/>
  <c r="M56" i="26"/>
  <c r="M96" i="26"/>
  <c r="M95" i="26"/>
  <c r="M94" i="26"/>
  <c r="M93" i="26"/>
  <c r="M92" i="26"/>
  <c r="M91" i="26"/>
  <c r="M90" i="26"/>
  <c r="M89" i="26"/>
  <c r="M88" i="26"/>
  <c r="M87" i="26"/>
  <c r="M86" i="26"/>
  <c r="M85" i="26"/>
  <c r="M84" i="26"/>
  <c r="M83" i="26"/>
  <c r="M82" i="26"/>
  <c r="M81" i="26"/>
  <c r="M80" i="26"/>
  <c r="M79" i="26"/>
  <c r="M77" i="26"/>
  <c r="M76" i="26"/>
  <c r="M97" i="26"/>
  <c r="M438" i="26"/>
  <c r="M427" i="26"/>
  <c r="M426" i="26"/>
  <c r="M425" i="26"/>
  <c r="M424" i="26"/>
  <c r="M423" i="26"/>
  <c r="M422" i="26"/>
  <c r="M421" i="26"/>
  <c r="M420" i="26"/>
  <c r="M419" i="26"/>
  <c r="M418" i="26"/>
  <c r="M417" i="26"/>
  <c r="M416" i="26"/>
  <c r="M415" i="26"/>
  <c r="M414" i="26"/>
  <c r="M413" i="26"/>
  <c r="M412" i="26"/>
  <c r="M411" i="26"/>
  <c r="M407" i="26"/>
  <c r="M406" i="26"/>
  <c r="M405" i="26"/>
  <c r="M404" i="26"/>
  <c r="M403" i="26"/>
  <c r="M402" i="26"/>
  <c r="M401" i="26"/>
  <c r="M400" i="26"/>
  <c r="M399" i="26"/>
  <c r="M398" i="26"/>
  <c r="M397" i="26"/>
  <c r="M396" i="26"/>
  <c r="M395" i="26"/>
  <c r="M394" i="26"/>
  <c r="M393" i="26"/>
  <c r="M392" i="26"/>
  <c r="M391" i="26"/>
  <c r="M390" i="26"/>
  <c r="M389" i="26"/>
  <c r="M388" i="26"/>
  <c r="M387" i="26"/>
  <c r="M386" i="26"/>
  <c r="M385" i="26"/>
  <c r="M384" i="26"/>
  <c r="M383" i="26"/>
  <c r="M382" i="26"/>
  <c r="M381" i="26"/>
  <c r="M380" i="26"/>
  <c r="M379" i="26"/>
  <c r="M378" i="26"/>
  <c r="M377" i="26"/>
  <c r="M376" i="26"/>
  <c r="M375" i="26"/>
  <c r="M374" i="26"/>
  <c r="M373" i="26"/>
  <c r="M372" i="26"/>
  <c r="M371" i="26"/>
  <c r="M370" i="26"/>
  <c r="M369" i="26"/>
  <c r="M368" i="26"/>
  <c r="M367" i="26"/>
  <c r="M366" i="26"/>
  <c r="M365" i="26"/>
  <c r="M364" i="26"/>
  <c r="M363" i="26"/>
  <c r="M362" i="26"/>
  <c r="M361" i="26"/>
  <c r="M360" i="26"/>
  <c r="M359" i="26"/>
  <c r="M358" i="26"/>
  <c r="M357" i="26"/>
  <c r="M356" i="26"/>
  <c r="M355" i="26"/>
  <c r="M354" i="26"/>
  <c r="M353" i="26"/>
  <c r="M352" i="26"/>
  <c r="M351" i="26"/>
  <c r="M348" i="26"/>
  <c r="M347" i="26"/>
  <c r="M346" i="26"/>
  <c r="M345" i="26"/>
  <c r="M344" i="26"/>
  <c r="M343" i="26"/>
  <c r="M342" i="26"/>
  <c r="M341" i="26"/>
  <c r="M340" i="26"/>
  <c r="M339" i="26"/>
  <c r="M338" i="26"/>
  <c r="M336" i="26"/>
  <c r="M335" i="26"/>
  <c r="M334" i="26"/>
  <c r="M333" i="26"/>
  <c r="M332" i="26"/>
  <c r="M518" i="26"/>
  <c r="M517" i="26"/>
  <c r="M516" i="26"/>
  <c r="M515" i="26"/>
  <c r="M514" i="26"/>
  <c r="M513" i="26"/>
  <c r="M512" i="26"/>
  <c r="M511" i="26"/>
  <c r="M510" i="26"/>
  <c r="M509" i="26"/>
  <c r="M508" i="26"/>
  <c r="M507" i="26"/>
  <c r="M506" i="26"/>
  <c r="M505" i="26"/>
  <c r="M504" i="26"/>
  <c r="M503" i="26"/>
  <c r="M502" i="26"/>
  <c r="M501" i="26"/>
  <c r="M500" i="26"/>
  <c r="M499" i="26"/>
  <c r="M498" i="26"/>
  <c r="M497" i="26"/>
  <c r="M496" i="26"/>
  <c r="M495" i="26"/>
  <c r="M494" i="26"/>
  <c r="M493" i="26"/>
  <c r="M492" i="26"/>
  <c r="M491" i="26"/>
  <c r="M490" i="26"/>
  <c r="M489" i="26"/>
  <c r="M488" i="26"/>
  <c r="M487" i="26"/>
  <c r="M486" i="26"/>
  <c r="M485" i="26"/>
  <c r="M484" i="26"/>
  <c r="M483" i="26"/>
  <c r="M482" i="26"/>
  <c r="M481" i="26"/>
  <c r="M480" i="26"/>
  <c r="M479" i="26"/>
  <c r="M478" i="26"/>
  <c r="M477" i="26"/>
  <c r="M476" i="26"/>
  <c r="M475" i="26"/>
  <c r="M474" i="26"/>
  <c r="M473" i="26"/>
  <c r="M472" i="26"/>
  <c r="M471" i="26"/>
  <c r="M470" i="26"/>
  <c r="M469" i="26"/>
  <c r="M468" i="26"/>
  <c r="M467" i="26"/>
  <c r="M466" i="26"/>
  <c r="M465" i="26"/>
  <c r="M464" i="26"/>
  <c r="M463" i="26"/>
  <c r="M462" i="26"/>
  <c r="M461" i="26"/>
  <c r="M460" i="26"/>
  <c r="M459" i="26"/>
  <c r="M458" i="26"/>
  <c r="M457" i="26"/>
  <c r="M456" i="26"/>
  <c r="M455" i="26"/>
  <c r="M454" i="26"/>
  <c r="M453" i="26"/>
  <c r="M452" i="26"/>
  <c r="M451" i="26"/>
  <c r="M450" i="26"/>
  <c r="M449" i="26"/>
  <c r="M448" i="26"/>
  <c r="M447" i="26"/>
  <c r="M446" i="26"/>
  <c r="M445" i="26"/>
  <c r="M444" i="26"/>
  <c r="M443" i="26"/>
  <c r="M442" i="26"/>
  <c r="M441" i="26"/>
  <c r="M440" i="26"/>
  <c r="M672" i="26"/>
  <c r="M671" i="26"/>
  <c r="M670" i="26"/>
  <c r="M669" i="26"/>
  <c r="M668" i="26"/>
  <c r="M667" i="26"/>
  <c r="M666" i="26"/>
  <c r="M665" i="26"/>
  <c r="M664" i="26"/>
  <c r="M663" i="26"/>
  <c r="M662" i="26"/>
  <c r="M661" i="26"/>
  <c r="M660" i="26"/>
  <c r="M659" i="26"/>
  <c r="M658" i="26"/>
  <c r="M657" i="26"/>
  <c r="M656" i="26"/>
  <c r="M655" i="26"/>
  <c r="M654" i="26"/>
  <c r="M653" i="26"/>
  <c r="M652" i="26"/>
  <c r="M651" i="26"/>
  <c r="M650" i="26"/>
  <c r="M649" i="26"/>
  <c r="M648" i="26"/>
  <c r="M647" i="26"/>
  <c r="M646" i="26"/>
  <c r="M645" i="26"/>
  <c r="M644" i="26"/>
  <c r="M643" i="26"/>
  <c r="M642" i="26"/>
  <c r="M641" i="26"/>
  <c r="M640" i="26"/>
  <c r="M639" i="26"/>
  <c r="M638" i="26"/>
  <c r="M637" i="26"/>
  <c r="M636" i="26"/>
  <c r="M635" i="26"/>
  <c r="M634" i="26"/>
  <c r="M633" i="26"/>
  <c r="M632" i="26"/>
  <c r="M631" i="26"/>
  <c r="M630" i="26"/>
  <c r="M629" i="26"/>
  <c r="M628" i="26"/>
  <c r="M627" i="26"/>
  <c r="M626" i="26"/>
  <c r="M625" i="26"/>
  <c r="M624" i="26"/>
  <c r="M623" i="26"/>
  <c r="M622" i="26"/>
  <c r="M621" i="26"/>
  <c r="M620" i="26"/>
  <c r="M619" i="26"/>
  <c r="M618" i="26"/>
  <c r="M617" i="26"/>
  <c r="M616" i="26"/>
  <c r="M615" i="26"/>
  <c r="M614" i="26"/>
  <c r="M613" i="26"/>
  <c r="M612" i="26"/>
  <c r="M611" i="26"/>
  <c r="M610" i="26"/>
  <c r="M609" i="26"/>
  <c r="M608" i="26"/>
  <c r="M607" i="26"/>
  <c r="M606" i="26"/>
  <c r="M605" i="26"/>
  <c r="M604" i="26"/>
  <c r="M603" i="26"/>
  <c r="M602" i="26"/>
  <c r="M601" i="26"/>
  <c r="M600" i="26"/>
  <c r="M599" i="26"/>
  <c r="M598" i="26"/>
  <c r="M597" i="26"/>
  <c r="M596" i="26"/>
  <c r="M595" i="26"/>
  <c r="M594" i="26"/>
  <c r="M576" i="26"/>
  <c r="M575" i="26"/>
  <c r="M574" i="26"/>
  <c r="M573" i="26"/>
  <c r="M572" i="26"/>
  <c r="M571" i="26"/>
  <c r="D15" i="3"/>
  <c r="J15" i="3"/>
  <c r="AB15" i="3"/>
  <c r="P13" i="3"/>
  <c r="P12" i="3"/>
  <c r="J19" i="3"/>
  <c r="J18" i="3"/>
  <c r="J17" i="3"/>
  <c r="J16" i="3"/>
  <c r="J14" i="3"/>
  <c r="J13" i="3"/>
  <c r="J12" i="3"/>
  <c r="D16" i="3"/>
  <c r="D14" i="3"/>
  <c r="D13" i="3"/>
  <c r="D12" i="3"/>
  <c r="L6" i="5"/>
  <c r="L6" i="25"/>
  <c r="L6" i="23"/>
  <c r="V13" i="3"/>
  <c r="V14" i="3"/>
  <c r="V15" i="3"/>
  <c r="V12" i="3"/>
  <c r="AB13" i="3"/>
  <c r="AB14" i="3"/>
  <c r="AB16" i="3"/>
  <c r="AB17" i="3"/>
  <c r="AB18" i="3"/>
  <c r="AB12" i="3"/>
  <c r="Q89" i="9"/>
  <c r="Q88" i="9"/>
  <c r="Q87" i="9"/>
  <c r="Q86" i="9"/>
  <c r="Q85" i="9"/>
  <c r="Q84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P6" i="9"/>
  <c r="D18" i="3"/>
  <c r="D20" i="3"/>
  <c r="D21" i="3"/>
  <c r="D19" i="3"/>
  <c r="D17" i="3"/>
  <c r="W14" i="3" l="1"/>
  <c r="AC12" i="3"/>
  <c r="W15" i="3"/>
  <c r="P5" i="9"/>
  <c r="AC13" i="3"/>
  <c r="AC16" i="3"/>
  <c r="K14" i="3"/>
  <c r="J26" i="3"/>
  <c r="D45" i="3" s="1"/>
  <c r="E21" i="3"/>
  <c r="P26" i="3"/>
  <c r="D46" i="3" s="1"/>
  <c r="V26" i="3"/>
  <c r="D47" i="3" s="1"/>
  <c r="AB26" i="3"/>
  <c r="D48" i="3" s="1"/>
  <c r="L6" i="26"/>
  <c r="D26" i="3"/>
  <c r="D44" i="3" s="1"/>
  <c r="D50" i="3" l="1"/>
  <c r="N67" i="26" l="1"/>
  <c r="N68" i="1"/>
  <c r="N108" i="26"/>
  <c r="N109" i="1"/>
  <c r="N121" i="26"/>
  <c r="N122" i="1"/>
  <c r="N53" i="17"/>
  <c r="N558" i="26"/>
  <c r="N306" i="26"/>
  <c r="N307" i="1"/>
  <c r="N115" i="26"/>
  <c r="N116" i="1"/>
  <c r="N650" i="26"/>
  <c r="N95" i="5"/>
  <c r="N323" i="1"/>
  <c r="N322" i="26"/>
  <c r="N188" i="1"/>
  <c r="N187" i="26"/>
  <c r="N74" i="23"/>
  <c r="N391" i="26"/>
  <c r="N248" i="26"/>
  <c r="N249" i="1"/>
  <c r="N62" i="26"/>
  <c r="N63" i="1"/>
  <c r="N656" i="26"/>
  <c r="N101" i="5"/>
  <c r="N523" i="26"/>
  <c r="N18" i="17"/>
  <c r="N192" i="26"/>
  <c r="N193" i="1"/>
  <c r="N654" i="26"/>
  <c r="N99" i="5"/>
  <c r="N476" i="26"/>
  <c r="N50" i="25"/>
  <c r="N335" i="26"/>
  <c r="N18" i="23"/>
  <c r="N110" i="26"/>
  <c r="N111" i="1"/>
  <c r="N19" i="5"/>
  <c r="N574" i="26"/>
  <c r="N421" i="26"/>
  <c r="N104" i="23"/>
  <c r="N401" i="26"/>
  <c r="N84" i="23"/>
  <c r="N362" i="26"/>
  <c r="N45" i="23"/>
  <c r="N268" i="26"/>
  <c r="N269" i="1"/>
  <c r="N155" i="26"/>
  <c r="N156" i="1"/>
  <c r="N662" i="26"/>
  <c r="N107" i="5"/>
  <c r="N98" i="23"/>
  <c r="N415" i="26"/>
  <c r="N443" i="26"/>
  <c r="N17" i="25"/>
  <c r="N666" i="26"/>
  <c r="N111" i="5"/>
  <c r="N20" i="23"/>
  <c r="N249" i="26"/>
  <c r="N250" i="1"/>
  <c r="N163" i="26"/>
  <c r="N164" i="1"/>
  <c r="N81" i="1"/>
  <c r="N80" i="26"/>
  <c r="N117" i="26"/>
  <c r="N118" i="1"/>
  <c r="N606" i="26"/>
  <c r="N51" i="5"/>
  <c r="N541" i="26"/>
  <c r="N36" i="17"/>
  <c r="N99" i="23"/>
  <c r="N416" i="26"/>
  <c r="N52" i="23"/>
  <c r="N369" i="26"/>
  <c r="N261" i="1"/>
  <c r="N260" i="26"/>
  <c r="N210" i="26"/>
  <c r="N211" i="1"/>
  <c r="N75" i="26"/>
  <c r="N76" i="1"/>
  <c r="N83" i="23"/>
  <c r="N400" i="26"/>
  <c r="N245" i="26"/>
  <c r="N246" i="1"/>
  <c r="N86" i="1"/>
  <c r="N85" i="26"/>
  <c r="N488" i="26"/>
  <c r="N62" i="25"/>
  <c r="N247" i="1"/>
  <c r="N246" i="26"/>
  <c r="N142" i="1"/>
  <c r="N141" i="26"/>
  <c r="N329" i="26"/>
  <c r="N330" i="1"/>
  <c r="N503" i="26"/>
  <c r="N77" i="25"/>
  <c r="N387" i="26"/>
  <c r="N70" i="23"/>
  <c r="N321" i="1"/>
  <c r="N320" i="26"/>
  <c r="N293" i="26"/>
  <c r="N294" i="1"/>
  <c r="N53" i="5"/>
  <c r="N608" i="26"/>
  <c r="N263" i="26"/>
  <c r="N264" i="1"/>
  <c r="N76" i="26"/>
  <c r="N77" i="1"/>
  <c r="N17" i="26"/>
  <c r="N18" i="1"/>
  <c r="N87" i="1"/>
  <c r="N86" i="26"/>
  <c r="N620" i="26"/>
  <c r="N65" i="5"/>
  <c r="N320" i="1"/>
  <c r="N319" i="26"/>
  <c r="N225" i="1"/>
  <c r="N224" i="26"/>
  <c r="N88" i="26"/>
  <c r="N89" i="1"/>
  <c r="N193" i="26"/>
  <c r="N194" i="1"/>
  <c r="N133" i="1"/>
  <c r="N132" i="26"/>
  <c r="N28" i="1"/>
  <c r="N27" i="26"/>
  <c r="N61" i="23"/>
  <c r="N378" i="26"/>
  <c r="N198" i="1"/>
  <c r="N197" i="26"/>
  <c r="N333" i="26"/>
  <c r="N16" i="23"/>
  <c r="N477" i="26"/>
  <c r="N51" i="25"/>
  <c r="N317" i="1"/>
  <c r="N316" i="26"/>
  <c r="N37" i="23"/>
  <c r="N354" i="26"/>
  <c r="N76" i="23"/>
  <c r="N393" i="26"/>
  <c r="N81" i="25"/>
  <c r="N507" i="26"/>
  <c r="N634" i="26"/>
  <c r="N79" i="5"/>
  <c r="N127" i="26"/>
  <c r="N128" i="1"/>
  <c r="N282" i="1"/>
  <c r="N281" i="26"/>
  <c r="N35" i="1"/>
  <c r="N34" i="26"/>
  <c r="N112" i="1"/>
  <c r="N111" i="26"/>
  <c r="N194" i="26"/>
  <c r="N195" i="1"/>
  <c r="N230" i="1"/>
  <c r="N229" i="26"/>
  <c r="N453" i="26"/>
  <c r="N27" i="25"/>
  <c r="N253" i="26"/>
  <c r="N254" i="1"/>
  <c r="N270" i="26"/>
  <c r="N271" i="1"/>
  <c r="N57" i="23"/>
  <c r="N374" i="26"/>
  <c r="N534" i="26"/>
  <c r="N29" i="17"/>
  <c r="N551" i="26"/>
  <c r="N46" i="17"/>
  <c r="N610" i="26"/>
  <c r="N55" i="5"/>
  <c r="N649" i="26"/>
  <c r="N94" i="5"/>
  <c r="N144" i="1"/>
  <c r="N143" i="26"/>
  <c r="N327" i="1"/>
  <c r="N326" i="26"/>
  <c r="N629" i="26"/>
  <c r="N74" i="5"/>
  <c r="N46" i="26"/>
  <c r="N47" i="1"/>
  <c r="N146" i="1"/>
  <c r="N145" i="26"/>
  <c r="N174" i="1"/>
  <c r="N173" i="26"/>
  <c r="N197" i="1"/>
  <c r="N196" i="26"/>
  <c r="N39" i="25"/>
  <c r="N465" i="26"/>
  <c r="N283" i="26"/>
  <c r="N284" i="1"/>
  <c r="N323" i="26"/>
  <c r="N324" i="1"/>
  <c r="N65" i="23"/>
  <c r="N382" i="26"/>
  <c r="N78" i="25"/>
  <c r="N504" i="26"/>
  <c r="N637" i="26"/>
  <c r="N82" i="5"/>
  <c r="N136" i="26"/>
  <c r="N137" i="1"/>
  <c r="N257" i="26"/>
  <c r="N258" i="1"/>
  <c r="N104" i="5"/>
  <c r="N659" i="26"/>
  <c r="N160" i="26"/>
  <c r="N161" i="1"/>
  <c r="N80" i="5"/>
  <c r="N635" i="26"/>
  <c r="N184" i="1"/>
  <c r="N183" i="26"/>
  <c r="N40" i="26"/>
  <c r="N41" i="1"/>
  <c r="N167" i="26"/>
  <c r="N168" i="1"/>
  <c r="N81" i="26"/>
  <c r="N82" i="1"/>
  <c r="N50" i="1"/>
  <c r="N49" i="26"/>
  <c r="N114" i="26"/>
  <c r="N115" i="1"/>
  <c r="N186" i="26"/>
  <c r="N187" i="1"/>
  <c r="N511" i="26"/>
  <c r="N85" i="25"/>
  <c r="N61" i="25"/>
  <c r="N487" i="26"/>
  <c r="N100" i="1"/>
  <c r="N99" i="26"/>
  <c r="N599" i="26"/>
  <c r="N44" i="5"/>
  <c r="N267" i="26"/>
  <c r="N268" i="1"/>
  <c r="N155" i="1"/>
  <c r="N154" i="26"/>
  <c r="N668" i="26"/>
  <c r="N113" i="5"/>
  <c r="N367" i="26"/>
  <c r="N50" i="23"/>
  <c r="N231" i="1"/>
  <c r="N230" i="26"/>
  <c r="N67" i="1"/>
  <c r="N66" i="26"/>
  <c r="N71" i="5"/>
  <c r="N626" i="26"/>
  <c r="N270" i="1"/>
  <c r="N269" i="26"/>
  <c r="N113" i="1"/>
  <c r="N112" i="26"/>
  <c r="N645" i="26"/>
  <c r="N90" i="5"/>
  <c r="N467" i="26"/>
  <c r="N41" i="25"/>
  <c r="N239" i="26"/>
  <c r="N240" i="1"/>
  <c r="N48" i="26"/>
  <c r="N49" i="1"/>
  <c r="N83" i="25"/>
  <c r="N509" i="26"/>
  <c r="N392" i="26"/>
  <c r="N75" i="23"/>
  <c r="N36" i="23"/>
  <c r="N353" i="26"/>
  <c r="N315" i="26"/>
  <c r="N316" i="1"/>
  <c r="N138" i="26"/>
  <c r="N139" i="1"/>
  <c r="N638" i="26"/>
  <c r="N83" i="5"/>
  <c r="N63" i="23"/>
  <c r="N380" i="26"/>
  <c r="N201" i="1"/>
  <c r="N200" i="26"/>
  <c r="N102" i="5"/>
  <c r="N657" i="26"/>
  <c r="N56" i="25"/>
  <c r="N482" i="26"/>
  <c r="N15" i="23"/>
  <c r="N332" i="26"/>
  <c r="N159" i="26"/>
  <c r="N160" i="1"/>
  <c r="N42" i="5"/>
  <c r="N597" i="26"/>
  <c r="N91" i="25"/>
  <c r="N517" i="26"/>
  <c r="N407" i="26"/>
  <c r="N90" i="23"/>
  <c r="N251" i="26"/>
  <c r="N252" i="1"/>
  <c r="N186" i="1"/>
  <c r="N185" i="26"/>
  <c r="N95" i="26"/>
  <c r="N96" i="1"/>
  <c r="N56" i="23"/>
  <c r="N373" i="26"/>
  <c r="N216" i="1"/>
  <c r="N215" i="26"/>
  <c r="N660" i="26"/>
  <c r="N105" i="5"/>
  <c r="N53" i="25"/>
  <c r="N479" i="26"/>
  <c r="N232" i="26"/>
  <c r="N233" i="1"/>
  <c r="N124" i="1"/>
  <c r="N123" i="26"/>
  <c r="N330" i="26"/>
  <c r="N331" i="1"/>
  <c r="N60" i="17"/>
  <c r="N565" i="26"/>
  <c r="N68" i="25"/>
  <c r="N494" i="26"/>
  <c r="N532" i="26"/>
  <c r="N27" i="17"/>
  <c r="N287" i="26"/>
  <c r="N288" i="1"/>
  <c r="N280" i="1"/>
  <c r="N279" i="26"/>
  <c r="N567" i="26"/>
  <c r="N62" i="17"/>
  <c r="N305" i="1"/>
  <c r="N304" i="26"/>
  <c r="N51" i="26"/>
  <c r="N52" i="1"/>
  <c r="N264" i="26"/>
  <c r="N265" i="1"/>
  <c r="N185" i="1"/>
  <c r="N184" i="26"/>
  <c r="N177" i="26"/>
  <c r="N178" i="1"/>
  <c r="N101" i="1"/>
  <c r="N100" i="26"/>
  <c r="N69" i="26"/>
  <c r="N70" i="1"/>
  <c r="N89" i="5"/>
  <c r="N644" i="26"/>
  <c r="N38" i="23"/>
  <c r="N355" i="26"/>
  <c r="N172" i="1"/>
  <c r="N171" i="26"/>
  <c r="N88" i="1"/>
  <c r="N87" i="26"/>
  <c r="N244" i="26"/>
  <c r="N245" i="1"/>
  <c r="N486" i="26"/>
  <c r="N60" i="25"/>
  <c r="N261" i="26"/>
  <c r="N262" i="1"/>
  <c r="N46" i="23"/>
  <c r="N363" i="26"/>
  <c r="N402" i="26"/>
  <c r="N85" i="23"/>
  <c r="N516" i="26"/>
  <c r="N90" i="25"/>
  <c r="N572" i="26"/>
  <c r="N17" i="5"/>
  <c r="N643" i="26"/>
  <c r="N88" i="5"/>
  <c r="N177" i="1"/>
  <c r="N176" i="26"/>
  <c r="N286" i="26"/>
  <c r="N287" i="1"/>
  <c r="N617" i="26"/>
  <c r="N62" i="5"/>
  <c r="N43" i="26"/>
  <c r="N44" i="1"/>
  <c r="N117" i="1"/>
  <c r="N116" i="26"/>
  <c r="N170" i="26"/>
  <c r="N171" i="1"/>
  <c r="N202" i="26"/>
  <c r="N203" i="1"/>
  <c r="N36" i="25"/>
  <c r="N462" i="26"/>
  <c r="N280" i="26"/>
  <c r="N281" i="1"/>
  <c r="N289" i="26"/>
  <c r="N290" i="1"/>
  <c r="N379" i="26"/>
  <c r="N62" i="23"/>
  <c r="N66" i="25"/>
  <c r="N492" i="26"/>
  <c r="N55" i="17"/>
  <c r="N560" i="26"/>
  <c r="N64" i="5"/>
  <c r="N619" i="26"/>
  <c r="N103" i="5"/>
  <c r="N658" i="26"/>
  <c r="N196" i="1"/>
  <c r="N195" i="26"/>
  <c r="N35" i="23"/>
  <c r="N352" i="26"/>
  <c r="N56" i="1"/>
  <c r="N55" i="26"/>
  <c r="N140" i="1"/>
  <c r="N139" i="26"/>
  <c r="N206" i="1"/>
  <c r="N205" i="26"/>
  <c r="N219" i="26"/>
  <c r="N220" i="1"/>
  <c r="N48" i="25"/>
  <c r="N474" i="26"/>
  <c r="N314" i="1"/>
  <c r="N313" i="26"/>
  <c r="N318" i="26"/>
  <c r="N319" i="1"/>
  <c r="N28" i="17"/>
  <c r="N533" i="26"/>
  <c r="N87" i="25"/>
  <c r="N513" i="26"/>
  <c r="N122" i="23"/>
  <c r="N646" i="26"/>
  <c r="N91" i="5"/>
  <c r="N141" i="1"/>
  <c r="N140" i="26"/>
  <c r="N364" i="26"/>
  <c r="N47" i="23"/>
  <c r="N224" i="1"/>
  <c r="N223" i="26"/>
  <c r="N95" i="1"/>
  <c r="N94" i="26"/>
  <c r="N31" i="26"/>
  <c r="N32" i="1"/>
  <c r="N84" i="26"/>
  <c r="N85" i="1"/>
  <c r="N15" i="26"/>
  <c r="N16" i="1"/>
  <c r="N149" i="1"/>
  <c r="N148" i="26"/>
  <c r="N209" i="1"/>
  <c r="N208" i="26"/>
  <c r="N412" i="26"/>
  <c r="N95" i="23"/>
  <c r="N457" i="26"/>
  <c r="N31" i="25"/>
  <c r="N32" i="26"/>
  <c r="N33" i="1"/>
  <c r="N44" i="17"/>
  <c r="N549" i="26"/>
  <c r="N289" i="1"/>
  <c r="N288" i="26"/>
  <c r="N122" i="26"/>
  <c r="N123" i="1"/>
  <c r="N68" i="5"/>
  <c r="N623" i="26"/>
  <c r="N309" i="26"/>
  <c r="N310" i="1"/>
  <c r="N166" i="1"/>
  <c r="N165" i="26"/>
  <c r="N89" i="26"/>
  <c r="N90" i="1"/>
  <c r="N21" i="5"/>
  <c r="N576" i="26"/>
  <c r="N296" i="26"/>
  <c r="N297" i="1"/>
  <c r="N102" i="1"/>
  <c r="N101" i="26"/>
  <c r="N636" i="26"/>
  <c r="N81" i="5"/>
  <c r="N32" i="25"/>
  <c r="N458" i="26"/>
  <c r="N201" i="26"/>
  <c r="N202" i="1"/>
  <c r="N72" i="26"/>
  <c r="N73" i="1"/>
  <c r="N114" i="5"/>
  <c r="N669" i="26"/>
  <c r="N500" i="26"/>
  <c r="N74" i="25"/>
  <c r="N67" i="23"/>
  <c r="N384" i="26"/>
  <c r="N325" i="26"/>
  <c r="N326" i="1"/>
  <c r="N285" i="26"/>
  <c r="N286" i="1"/>
  <c r="N107" i="26"/>
  <c r="N108" i="1"/>
  <c r="N56" i="5"/>
  <c r="N611" i="26"/>
  <c r="N358" i="26"/>
  <c r="N41" i="23"/>
  <c r="N158" i="1"/>
  <c r="N157" i="26"/>
  <c r="N648" i="26"/>
  <c r="N93" i="5"/>
  <c r="N47" i="25"/>
  <c r="N473" i="26"/>
  <c r="N236" i="1"/>
  <c r="N235" i="26"/>
  <c r="N151" i="1"/>
  <c r="N150" i="26"/>
  <c r="N77" i="5"/>
  <c r="N632" i="26"/>
  <c r="N117" i="5"/>
  <c r="N672" i="26"/>
  <c r="N89" i="25"/>
  <c r="N515" i="26"/>
  <c r="N81" i="23"/>
  <c r="N398" i="26"/>
  <c r="N359" i="26"/>
  <c r="N42" i="23"/>
  <c r="N297" i="26"/>
  <c r="N298" i="1"/>
  <c r="N144" i="26"/>
  <c r="N145" i="1"/>
  <c r="N78" i="1"/>
  <c r="N77" i="26"/>
  <c r="N92" i="5"/>
  <c r="N647" i="26"/>
  <c r="N324" i="26"/>
  <c r="N325" i="1"/>
  <c r="N168" i="26"/>
  <c r="N169" i="1"/>
  <c r="N651" i="26"/>
  <c r="N96" i="5"/>
  <c r="N470" i="26"/>
  <c r="N44" i="25"/>
  <c r="N218" i="26"/>
  <c r="N219" i="1"/>
  <c r="N105" i="26"/>
  <c r="N106" i="1"/>
  <c r="N624" i="26"/>
  <c r="N69" i="5"/>
  <c r="N556" i="26"/>
  <c r="N51" i="17"/>
  <c r="N536" i="26"/>
  <c r="N31" i="17"/>
  <c r="N528" i="26"/>
  <c r="N23" i="17"/>
  <c r="N257" i="1"/>
  <c r="N256" i="26"/>
  <c r="N351" i="26"/>
  <c r="N34" i="23"/>
  <c r="K16" i="3" s="1"/>
  <c r="N423" i="26"/>
  <c r="N106" i="23"/>
  <c r="N342" i="26"/>
  <c r="N25" i="23"/>
  <c r="N45" i="1"/>
  <c r="N44" i="26"/>
  <c r="N42" i="26"/>
  <c r="N43" i="1"/>
  <c r="N38" i="17"/>
  <c r="N543" i="26"/>
  <c r="N348" i="26"/>
  <c r="N31" i="23"/>
  <c r="N146" i="26"/>
  <c r="N147" i="1"/>
  <c r="N116" i="5"/>
  <c r="N671" i="26"/>
  <c r="N216" i="26"/>
  <c r="N217" i="1"/>
  <c r="N153" i="1"/>
  <c r="N152" i="26"/>
  <c r="N21" i="1"/>
  <c r="N20" i="26"/>
  <c r="N92" i="26"/>
  <c r="N93" i="1"/>
  <c r="N41" i="5"/>
  <c r="N596" i="26"/>
  <c r="N292" i="26"/>
  <c r="N293" i="1"/>
  <c r="N162" i="1"/>
  <c r="N161" i="26"/>
  <c r="N74" i="1"/>
  <c r="N73" i="26"/>
  <c r="N16" i="25"/>
  <c r="N442" i="26"/>
  <c r="N341" i="26"/>
  <c r="N24" i="23"/>
  <c r="N302" i="1"/>
  <c r="N301" i="26"/>
  <c r="N411" i="26"/>
  <c r="N94" i="23"/>
  <c r="N92" i="25"/>
  <c r="N518" i="26"/>
  <c r="N598" i="26"/>
  <c r="N43" i="5"/>
  <c r="N97" i="5"/>
  <c r="N652" i="26"/>
  <c r="N209" i="26"/>
  <c r="N210" i="1"/>
  <c r="N53" i="23"/>
  <c r="N370" i="26"/>
  <c r="N641" i="26"/>
  <c r="N86" i="5"/>
  <c r="N90" i="26"/>
  <c r="N91" i="1"/>
  <c r="N52" i="26"/>
  <c r="N53" i="1"/>
  <c r="N143" i="1"/>
  <c r="N142" i="26"/>
  <c r="N189" i="26"/>
  <c r="N190" i="1"/>
  <c r="N240" i="26"/>
  <c r="N241" i="1"/>
  <c r="N45" i="25"/>
  <c r="N471" i="26"/>
  <c r="N303" i="26"/>
  <c r="N304" i="1"/>
  <c r="N322" i="1"/>
  <c r="N321" i="26"/>
  <c r="N71" i="23"/>
  <c r="N388" i="26"/>
  <c r="N75" i="25"/>
  <c r="N501" i="26"/>
  <c r="N570" i="26"/>
  <c r="N16" i="5"/>
  <c r="N571" i="26"/>
  <c r="N667" i="26"/>
  <c r="N112" i="5"/>
  <c r="N227" i="26"/>
  <c r="N228" i="1"/>
  <c r="N66" i="23"/>
  <c r="N383" i="26"/>
  <c r="N58" i="26"/>
  <c r="N59" i="1"/>
  <c r="N22" i="1"/>
  <c r="N21" i="26"/>
  <c r="N156" i="26"/>
  <c r="N157" i="1"/>
  <c r="N214" i="26"/>
  <c r="N215" i="1"/>
  <c r="N233" i="26"/>
  <c r="N234" i="1"/>
  <c r="N483" i="26"/>
  <c r="N57" i="25"/>
  <c r="N262" i="26"/>
  <c r="N263" i="1"/>
  <c r="N360" i="26"/>
  <c r="N43" i="23"/>
  <c r="N82" i="23"/>
  <c r="N399" i="26"/>
  <c r="N425" i="26"/>
  <c r="N108" i="23"/>
  <c r="N595" i="26"/>
  <c r="N100" i="5"/>
  <c r="N655" i="26"/>
  <c r="N174" i="26"/>
  <c r="N175" i="1"/>
  <c r="N394" i="26"/>
  <c r="N77" i="23"/>
  <c r="N235" i="1"/>
  <c r="N234" i="26"/>
  <c r="N499" i="26"/>
  <c r="N73" i="25"/>
  <c r="N478" i="26"/>
  <c r="N52" i="25"/>
  <c r="N17" i="1"/>
  <c r="N16" i="26"/>
  <c r="N298" i="26"/>
  <c r="N299" i="1"/>
  <c r="N150" i="1"/>
  <c r="N149" i="26"/>
  <c r="N47" i="17"/>
  <c r="N552" i="26"/>
  <c r="N339" i="26"/>
  <c r="N22" i="23"/>
  <c r="N14" i="1"/>
  <c r="N13" i="26"/>
  <c r="N75" i="5"/>
  <c r="N630" i="26"/>
  <c r="N449" i="26"/>
  <c r="N23" i="25"/>
  <c r="N229" i="1"/>
  <c r="N228" i="26"/>
  <c r="N66" i="5"/>
  <c r="N621" i="26"/>
  <c r="N562" i="26"/>
  <c r="N57" i="17"/>
  <c r="N491" i="26"/>
  <c r="N65" i="25"/>
  <c r="N24" i="17"/>
  <c r="N529" i="26"/>
  <c r="N310" i="26"/>
  <c r="N311" i="1"/>
  <c r="N259" i="1"/>
  <c r="N258" i="26"/>
  <c r="N259" i="26"/>
  <c r="N260" i="1"/>
  <c r="N109" i="26"/>
  <c r="N110" i="1"/>
  <c r="N84" i="5"/>
  <c r="N639" i="26"/>
  <c r="N464" i="26"/>
  <c r="N38" i="25"/>
  <c r="N222" i="1"/>
  <c r="N221" i="26"/>
  <c r="N135" i="1"/>
  <c r="N134" i="26"/>
  <c r="N238" i="26"/>
  <c r="N239" i="1"/>
  <c r="N627" i="26"/>
  <c r="N72" i="5"/>
  <c r="N63" i="17"/>
  <c r="N568" i="26"/>
  <c r="N80" i="25"/>
  <c r="N506" i="26"/>
  <c r="N73" i="23"/>
  <c r="N390" i="26"/>
  <c r="N317" i="26"/>
  <c r="N318" i="1"/>
  <c r="N312" i="26"/>
  <c r="N313" i="1"/>
  <c r="N114" i="1"/>
  <c r="N113" i="26"/>
  <c r="N602" i="26"/>
  <c r="N47" i="5"/>
  <c r="N273" i="26"/>
  <c r="N274" i="1"/>
  <c r="N138" i="1"/>
  <c r="N137" i="26"/>
  <c r="N642" i="26"/>
  <c r="N87" i="5"/>
  <c r="N461" i="26"/>
  <c r="N35" i="25"/>
  <c r="N232" i="1"/>
  <c r="N231" i="26"/>
  <c r="N103" i="1"/>
  <c r="N102" i="26"/>
  <c r="N60" i="5"/>
  <c r="N615" i="26"/>
  <c r="N547" i="26"/>
  <c r="N42" i="17"/>
  <c r="N413" i="26"/>
  <c r="N96" i="23"/>
  <c r="N524" i="26"/>
  <c r="N19" i="17"/>
  <c r="N273" i="1"/>
  <c r="N272" i="26"/>
  <c r="N189" i="1"/>
  <c r="N188" i="26"/>
  <c r="N535" i="26"/>
  <c r="N30" i="17"/>
  <c r="N460" i="26"/>
  <c r="N34" i="25"/>
  <c r="N34" i="1"/>
  <c r="N33" i="26"/>
  <c r="N70" i="25"/>
  <c r="N496" i="26"/>
  <c r="N46" i="25"/>
  <c r="N472" i="26"/>
  <c r="N128" i="26"/>
  <c r="N129" i="1"/>
  <c r="N208" i="1"/>
  <c r="N207" i="26"/>
  <c r="N147" i="26"/>
  <c r="N148" i="1"/>
  <c r="N54" i="26"/>
  <c r="N55" i="1"/>
  <c r="N555" i="26"/>
  <c r="N50" i="17"/>
  <c r="N279" i="1"/>
  <c r="N278" i="26"/>
  <c r="N125" i="1"/>
  <c r="N124" i="26"/>
  <c r="N200" i="1"/>
  <c r="N199" i="26"/>
  <c r="N450" i="26"/>
  <c r="N24" i="25"/>
  <c r="N275" i="26"/>
  <c r="N276" i="1"/>
  <c r="N300" i="26"/>
  <c r="N301" i="1"/>
  <c r="N55" i="23"/>
  <c r="N372" i="26"/>
  <c r="N414" i="26"/>
  <c r="N97" i="23"/>
  <c r="N548" i="26"/>
  <c r="N43" i="17"/>
  <c r="N607" i="26"/>
  <c r="N52" i="5"/>
  <c r="N106" i="5"/>
  <c r="N661" i="26"/>
  <c r="N238" i="1"/>
  <c r="N237" i="26"/>
  <c r="N406" i="26"/>
  <c r="N89" i="23"/>
  <c r="N93" i="26"/>
  <c r="N94" i="1"/>
  <c r="N18" i="26"/>
  <c r="N19" i="1"/>
  <c r="N152" i="1"/>
  <c r="N151" i="26"/>
  <c r="N211" i="26"/>
  <c r="N212" i="1"/>
  <c r="N248" i="1"/>
  <c r="N247" i="26"/>
  <c r="N480" i="26"/>
  <c r="N54" i="25"/>
  <c r="N295" i="26"/>
  <c r="N296" i="1"/>
  <c r="N357" i="26"/>
  <c r="N40" i="23"/>
  <c r="N79" i="23"/>
  <c r="N396" i="26"/>
  <c r="N510" i="26"/>
  <c r="N84" i="25"/>
  <c r="N438" i="26"/>
  <c r="N121" i="23"/>
  <c r="N67" i="5"/>
  <c r="N622" i="26"/>
  <c r="N79" i="26"/>
  <c r="N80" i="1"/>
  <c r="N451" i="26"/>
  <c r="N25" i="25"/>
  <c r="N101" i="23"/>
  <c r="N418" i="26"/>
  <c r="N62" i="1"/>
  <c r="N61" i="26"/>
  <c r="N133" i="26"/>
  <c r="N134" i="1"/>
  <c r="N163" i="1"/>
  <c r="N162" i="26"/>
  <c r="N203" i="26"/>
  <c r="N204" i="1"/>
  <c r="N521" i="26"/>
  <c r="N16" i="17"/>
  <c r="N21" i="23"/>
  <c r="N338" i="26"/>
  <c r="N252" i="26"/>
  <c r="N253" i="1"/>
  <c r="N91" i="23"/>
  <c r="N408" i="26"/>
  <c r="N545" i="26"/>
  <c r="N40" i="17"/>
  <c r="N49" i="5"/>
  <c r="N604" i="26"/>
  <c r="N664" i="26"/>
  <c r="N109" i="5"/>
  <c r="N221" i="1"/>
  <c r="N220" i="26"/>
  <c r="N493" i="26"/>
  <c r="N67" i="25"/>
  <c r="N104" i="1"/>
  <c r="N103" i="26"/>
  <c r="N26" i="17"/>
  <c r="N531" i="26"/>
  <c r="N70" i="26"/>
  <c r="N71" i="1"/>
  <c r="N130" i="26"/>
  <c r="N131" i="1"/>
  <c r="N179" i="1"/>
  <c r="N178" i="26"/>
  <c r="N332" i="1"/>
  <c r="N331" i="26"/>
  <c r="N59" i="5"/>
  <c r="N614" i="26"/>
  <c r="N44" i="23"/>
  <c r="N361" i="26"/>
  <c r="N212" i="26"/>
  <c r="N213" i="1"/>
  <c r="N86" i="23"/>
  <c r="N403" i="26"/>
  <c r="N20" i="25"/>
  <c r="N446" i="26"/>
  <c r="N74" i="26"/>
  <c r="N75" i="1"/>
  <c r="N426" i="26"/>
  <c r="N109" i="23"/>
  <c r="N345" i="26"/>
  <c r="N28" i="23"/>
  <c r="N106" i="26"/>
  <c r="N107" i="1"/>
  <c r="N76" i="25"/>
  <c r="N502" i="26"/>
  <c r="N454" i="26"/>
  <c r="N28" i="25"/>
  <c r="N72" i="1"/>
  <c r="N71" i="26"/>
  <c r="N340" i="26"/>
  <c r="N23" i="23"/>
  <c r="N15" i="25"/>
  <c r="N441" i="26"/>
  <c r="N173" i="1"/>
  <c r="N172" i="26"/>
  <c r="N57" i="5"/>
  <c r="N612" i="26"/>
  <c r="N553" i="26"/>
  <c r="N48" i="17"/>
  <c r="N102" i="23"/>
  <c r="N419" i="26"/>
  <c r="N371" i="26"/>
  <c r="N54" i="23"/>
  <c r="N295" i="1"/>
  <c r="N294" i="26"/>
  <c r="N225" i="26"/>
  <c r="N226" i="1"/>
  <c r="N60" i="26"/>
  <c r="N61" i="1"/>
  <c r="N427" i="26"/>
  <c r="N110" i="23"/>
  <c r="N285" i="1"/>
  <c r="N284" i="26"/>
  <c r="N42" i="1"/>
  <c r="N41" i="26"/>
  <c r="N274" i="26"/>
  <c r="N275" i="1"/>
  <c r="N455" i="26"/>
  <c r="N29" i="25"/>
  <c r="N199" i="1"/>
  <c r="N198" i="26"/>
  <c r="N15" i="1"/>
  <c r="N14" i="26"/>
  <c r="N207" i="1"/>
  <c r="N206" i="26"/>
  <c r="N618" i="26"/>
  <c r="N63" i="5"/>
  <c r="N54" i="17"/>
  <c r="N559" i="26"/>
  <c r="N497" i="26"/>
  <c r="N71" i="25"/>
  <c r="N64" i="23"/>
  <c r="N381" i="26"/>
  <c r="N328" i="1"/>
  <c r="N327" i="26"/>
  <c r="N282" i="26"/>
  <c r="N283" i="1"/>
  <c r="N130" i="1"/>
  <c r="N129" i="26"/>
  <c r="N564" i="26"/>
  <c r="N59" i="17"/>
  <c r="N277" i="1"/>
  <c r="N276" i="26"/>
  <c r="N132" i="1"/>
  <c r="N131" i="26"/>
  <c r="N633" i="26"/>
  <c r="N78" i="5"/>
  <c r="N452" i="26"/>
  <c r="N26" i="25"/>
  <c r="N205" i="1"/>
  <c r="N204" i="26"/>
  <c r="N40" i="1"/>
  <c r="N39" i="26"/>
  <c r="N48" i="5"/>
  <c r="N603" i="26"/>
  <c r="N424" i="26"/>
  <c r="N107" i="23"/>
  <c r="N87" i="23"/>
  <c r="N404" i="26"/>
  <c r="N48" i="23"/>
  <c r="N365" i="26"/>
  <c r="N265" i="26"/>
  <c r="N266" i="1"/>
  <c r="N180" i="26"/>
  <c r="N181" i="1"/>
  <c r="N386" i="26"/>
  <c r="N69" i="23"/>
  <c r="N54" i="1"/>
  <c r="N53" i="26"/>
  <c r="N24" i="26"/>
  <c r="N25" i="1"/>
  <c r="N80" i="23"/>
  <c r="N397" i="26"/>
  <c r="N14" i="25"/>
  <c r="N440" i="26"/>
  <c r="N19" i="26"/>
  <c r="N20" i="1"/>
  <c r="N175" i="26"/>
  <c r="N176" i="1"/>
  <c r="N119" i="1"/>
  <c r="N118" i="26"/>
  <c r="N45" i="26"/>
  <c r="N46" i="1"/>
  <c r="N508" i="26"/>
  <c r="N82" i="25"/>
  <c r="N58" i="25"/>
  <c r="N484" i="26"/>
  <c r="N39" i="1"/>
  <c r="N38" i="26"/>
  <c r="N222" i="26"/>
  <c r="N223" i="1"/>
  <c r="N459" i="26"/>
  <c r="N33" i="25"/>
  <c r="N277" i="26"/>
  <c r="N278" i="1"/>
  <c r="N312" i="1"/>
  <c r="N311" i="26"/>
  <c r="N25" i="17"/>
  <c r="N530" i="26"/>
  <c r="N540" i="26"/>
  <c r="N35" i="17"/>
  <c r="N52" i="17"/>
  <c r="N557" i="26"/>
  <c r="N616" i="26"/>
  <c r="N61" i="5"/>
  <c r="N66" i="1"/>
  <c r="N65" i="26"/>
  <c r="N14" i="17"/>
  <c r="N519" i="26"/>
  <c r="N79" i="25"/>
  <c r="N505" i="26"/>
  <c r="N22" i="26"/>
  <c r="N23" i="1"/>
  <c r="N98" i="26"/>
  <c r="N99" i="1"/>
  <c r="N153" i="26"/>
  <c r="N154" i="1"/>
  <c r="N227" i="1"/>
  <c r="N226" i="26"/>
  <c r="N19" i="23"/>
  <c r="N336" i="26"/>
  <c r="N489" i="26"/>
  <c r="N63" i="25"/>
  <c r="N266" i="26"/>
  <c r="N267" i="1"/>
  <c r="N366" i="26"/>
  <c r="N49" i="23"/>
  <c r="N405" i="26"/>
  <c r="N88" i="23"/>
  <c r="N422" i="26"/>
  <c r="N105" i="23"/>
  <c r="N575" i="26"/>
  <c r="N20" i="5"/>
  <c r="N76" i="5"/>
  <c r="N631" i="26"/>
  <c r="N24" i="1"/>
  <c r="N23" i="26"/>
  <c r="N242" i="26"/>
  <c r="N243" i="1"/>
  <c r="N546" i="26"/>
  <c r="N41" i="17"/>
  <c r="N29" i="1"/>
  <c r="N28" i="26"/>
  <c r="N127" i="1"/>
  <c r="N126" i="26"/>
  <c r="N191" i="26"/>
  <c r="N192" i="1"/>
  <c r="N115" i="5"/>
  <c r="N670" i="26"/>
  <c r="N78" i="26"/>
  <c r="N79" i="1"/>
  <c r="N17" i="17"/>
  <c r="N522" i="26"/>
  <c r="N30" i="23"/>
  <c r="N347" i="26"/>
  <c r="N251" i="1"/>
  <c r="N250" i="26"/>
  <c r="N527" i="26"/>
  <c r="N22" i="17"/>
  <c r="N537" i="26"/>
  <c r="N32" i="17"/>
  <c r="N554" i="26"/>
  <c r="N49" i="17"/>
  <c r="N58" i="5"/>
  <c r="N613" i="26"/>
  <c r="N91" i="26"/>
  <c r="N92" i="1"/>
  <c r="N463" i="26"/>
  <c r="N37" i="25"/>
  <c r="N56" i="17"/>
  <c r="N561" i="26"/>
  <c r="N271" i="26"/>
  <c r="N272" i="1"/>
  <c r="N183" i="1"/>
  <c r="N182" i="26"/>
  <c r="N58" i="23"/>
  <c r="N375" i="26"/>
  <c r="N217" i="26"/>
  <c r="N218" i="1"/>
  <c r="N83" i="1"/>
  <c r="N82" i="26"/>
  <c r="N538" i="26"/>
  <c r="N33" i="17"/>
  <c r="N466" i="26"/>
  <c r="N40" i="25"/>
  <c r="N47" i="26"/>
  <c r="N48" i="1"/>
  <c r="N72" i="23"/>
  <c r="N389" i="26"/>
  <c r="N241" i="26"/>
  <c r="N242" i="1"/>
  <c r="N108" i="5"/>
  <c r="N663" i="26"/>
  <c r="N485" i="26"/>
  <c r="N59" i="25"/>
  <c r="N520" i="26"/>
  <c r="N15" i="17"/>
  <c r="N158" i="26"/>
  <c r="N159" i="1"/>
  <c r="N45" i="5"/>
  <c r="N600" i="26"/>
  <c r="N39" i="17"/>
  <c r="N544" i="26"/>
  <c r="N410" i="26"/>
  <c r="N93" i="23"/>
  <c r="N368" i="26"/>
  <c r="N51" i="23"/>
  <c r="N292" i="1"/>
  <c r="N291" i="26"/>
  <c r="N169" i="26"/>
  <c r="N170" i="1"/>
  <c r="N84" i="1"/>
  <c r="N83" i="26"/>
  <c r="N64" i="25"/>
  <c r="N490" i="26"/>
  <c r="N55" i="25"/>
  <c r="N481" i="26"/>
  <c r="N56" i="26"/>
  <c r="N57" i="1"/>
  <c r="N346" i="26"/>
  <c r="N29" i="23"/>
  <c r="N447" i="26"/>
  <c r="N21" i="25"/>
  <c r="N213" i="26"/>
  <c r="N214" i="1"/>
  <c r="N30" i="26"/>
  <c r="N31" i="1"/>
  <c r="N180" i="1"/>
  <c r="N179" i="26"/>
  <c r="N54" i="5"/>
  <c r="N609" i="26"/>
  <c r="N45" i="17"/>
  <c r="N550" i="26"/>
  <c r="N34" i="17"/>
  <c r="N539" i="26"/>
  <c r="N59" i="23"/>
  <c r="N376" i="26"/>
  <c r="N308" i="1"/>
  <c r="N307" i="26"/>
  <c r="N255" i="26"/>
  <c r="N256" i="1"/>
  <c r="N88" i="25"/>
  <c r="N514" i="26"/>
  <c r="N43" i="25"/>
  <c r="N469" i="26"/>
  <c r="N29" i="26"/>
  <c r="N30" i="1"/>
  <c r="N26" i="23"/>
  <c r="N343" i="26"/>
  <c r="N444" i="26"/>
  <c r="N18" i="25"/>
  <c r="N190" i="26"/>
  <c r="N191" i="1"/>
  <c r="N58" i="1"/>
  <c r="N57" i="26"/>
  <c r="N594" i="26"/>
  <c r="N512" i="26"/>
  <c r="N86" i="25"/>
  <c r="N78" i="23"/>
  <c r="N395" i="26"/>
  <c r="N356" i="26"/>
  <c r="N39" i="23"/>
  <c r="N299" i="26"/>
  <c r="N300" i="1"/>
  <c r="N120" i="26"/>
  <c r="N121" i="1"/>
  <c r="N110" i="5"/>
  <c r="N665" i="26"/>
  <c r="N69" i="1"/>
  <c r="N68" i="26"/>
  <c r="N64" i="1"/>
  <c r="N63" i="26"/>
  <c r="N653" i="26"/>
  <c r="N98" i="5"/>
  <c r="N21" i="17"/>
  <c r="N526" i="26"/>
  <c r="N17" i="23"/>
  <c r="N334" i="26"/>
  <c r="N26" i="26"/>
  <c r="N27" i="1"/>
  <c r="N167" i="1"/>
  <c r="N166" i="26"/>
  <c r="N125" i="26"/>
  <c r="N126" i="1"/>
  <c r="N37" i="1"/>
  <c r="N36" i="26"/>
  <c r="N92" i="23"/>
  <c r="N409" i="26"/>
  <c r="N448" i="26"/>
  <c r="N22" i="25"/>
  <c r="N60" i="1"/>
  <c r="N59" i="26"/>
  <c r="N237" i="1"/>
  <c r="N236" i="26"/>
  <c r="N42" i="25"/>
  <c r="N468" i="26"/>
  <c r="N306" i="1"/>
  <c r="N305" i="26"/>
  <c r="N329" i="1"/>
  <c r="N328" i="26"/>
  <c r="N385" i="26"/>
  <c r="N68" i="23"/>
  <c r="N498" i="26"/>
  <c r="N72" i="25"/>
  <c r="N61" i="17"/>
  <c r="N566" i="26"/>
  <c r="N73" i="5"/>
  <c r="N628" i="26"/>
  <c r="N51" i="1"/>
  <c r="N50" i="26"/>
  <c r="N475" i="26"/>
  <c r="N49" i="25"/>
  <c r="N420" i="26"/>
  <c r="N103" i="23"/>
  <c r="N26" i="1"/>
  <c r="N25" i="26"/>
  <c r="N135" i="26"/>
  <c r="N136" i="1"/>
  <c r="N182" i="1"/>
  <c r="N181" i="26"/>
  <c r="N97" i="26"/>
  <c r="N98" i="1"/>
  <c r="N97" i="1"/>
  <c r="N96" i="26"/>
  <c r="N19" i="25"/>
  <c r="N445" i="26"/>
  <c r="N27" i="23"/>
  <c r="N344" i="26"/>
  <c r="N302" i="26"/>
  <c r="N303" i="1"/>
  <c r="N525" i="26"/>
  <c r="N20" i="17"/>
  <c r="N100" i="23"/>
  <c r="N417" i="26"/>
  <c r="N542" i="26"/>
  <c r="N37" i="17"/>
  <c r="N601" i="26"/>
  <c r="N46" i="5"/>
  <c r="N640" i="26"/>
  <c r="N85" i="5"/>
  <c r="N104" i="26"/>
  <c r="N105" i="1"/>
  <c r="N314" i="26"/>
  <c r="N315" i="1"/>
  <c r="N573" i="26"/>
  <c r="N18" i="5"/>
  <c r="N37" i="26"/>
  <c r="N38" i="1"/>
  <c r="N120" i="1"/>
  <c r="N119" i="26"/>
  <c r="N164" i="26"/>
  <c r="N165" i="1"/>
  <c r="N64" i="26"/>
  <c r="N65" i="1"/>
  <c r="N456" i="26"/>
  <c r="N30" i="25"/>
  <c r="N290" i="26"/>
  <c r="N291" i="1"/>
  <c r="N308" i="26"/>
  <c r="N309" i="1"/>
  <c r="N377" i="26"/>
  <c r="N60" i="23"/>
  <c r="N495" i="26"/>
  <c r="N69" i="25"/>
  <c r="N563" i="26"/>
  <c r="N58" i="17"/>
  <c r="N70" i="5"/>
  <c r="N625" i="26"/>
  <c r="N35" i="26"/>
  <c r="N36" i="1"/>
  <c r="N255" i="1"/>
  <c r="N254" i="26"/>
  <c r="N50" i="5"/>
  <c r="N605" i="26"/>
  <c r="L5" i="17" l="1"/>
  <c r="L5" i="1"/>
  <c r="L5" i="26"/>
  <c r="AC15" i="3"/>
  <c r="K15" i="3"/>
  <c r="E14" i="3"/>
  <c r="W12" i="3"/>
  <c r="W13" i="3"/>
  <c r="K18" i="3"/>
  <c r="Q13" i="3"/>
  <c r="E20" i="3"/>
  <c r="E18" i="3"/>
  <c r="E19" i="3"/>
  <c r="E16" i="3"/>
  <c r="K19" i="3"/>
  <c r="E12" i="3"/>
  <c r="L5" i="25"/>
  <c r="AC17" i="3"/>
  <c r="AC14" i="3"/>
  <c r="L5" i="5"/>
  <c r="E13" i="3"/>
  <c r="E15" i="3"/>
  <c r="Q12" i="3"/>
  <c r="AC18" i="3"/>
  <c r="K13" i="3"/>
  <c r="K17" i="3"/>
  <c r="E17" i="3"/>
  <c r="K12" i="3"/>
  <c r="L5" i="23"/>
  <c r="Q26" i="3" l="1"/>
  <c r="E46" i="3" s="1"/>
  <c r="K26" i="3"/>
  <c r="E45" i="3" s="1"/>
  <c r="W26" i="3"/>
  <c r="E47" i="3" s="1"/>
  <c r="E26" i="3"/>
  <c r="E44" i="3" s="1"/>
  <c r="AC26" i="3"/>
  <c r="E48" i="3" s="1"/>
  <c r="E50" i="3" l="1"/>
</calcChain>
</file>

<file path=xl/sharedStrings.xml><?xml version="1.0" encoding="utf-8"?>
<sst xmlns="http://schemas.openxmlformats.org/spreadsheetml/2006/main" count="14430" uniqueCount="1814">
  <si>
    <t>Total order value</t>
  </si>
  <si>
    <t xml:space="preserve">North Kite &amp; Foils </t>
  </si>
  <si>
    <t>Total order #</t>
  </si>
  <si>
    <r>
      <t>GTM1</t>
    </r>
    <r>
      <rPr>
        <sz val="9"/>
        <color theme="1"/>
        <rFont val="Aptos"/>
        <family val="2"/>
      </rPr>
      <t xml:space="preserve"> → November 15th, 2025 </t>
    </r>
    <r>
      <rPr>
        <i/>
        <sz val="9"/>
        <color theme="1"/>
        <rFont val="Aptos"/>
        <family val="2"/>
      </rPr>
      <t>(Pre Order deadline for Distributors &amp; Key Accounts)</t>
    </r>
  </si>
  <si>
    <r>
      <t>Launch North SS26</t>
    </r>
    <r>
      <rPr>
        <sz val="9"/>
        <color theme="1"/>
        <rFont val="Aptos"/>
        <family val="2"/>
      </rPr>
      <t xml:space="preserve"> → March 2026</t>
    </r>
  </si>
  <si>
    <t>Ranking</t>
  </si>
  <si>
    <t xml:space="preserve">Item Sub Group Description </t>
  </si>
  <si>
    <t xml:space="preserve">Segment </t>
  </si>
  <si>
    <t>Item</t>
  </si>
  <si>
    <t>Barcode (Item)</t>
  </si>
  <si>
    <t>Item Description</t>
  </si>
  <si>
    <t>Color</t>
  </si>
  <si>
    <t>Color Description</t>
  </si>
  <si>
    <t>Size</t>
  </si>
  <si>
    <t xml:space="preserve">New / Carry over </t>
  </si>
  <si>
    <t>Suggested Retail Price</t>
  </si>
  <si>
    <t>Standard Wholesale Price</t>
  </si>
  <si>
    <t>Order</t>
  </si>
  <si>
    <t>Order amount</t>
  </si>
  <si>
    <t>North Kites</t>
  </si>
  <si>
    <t>85000.240003</t>
  </si>
  <si>
    <t>8715738844650</t>
  </si>
  <si>
    <t>Pioneer Kite</t>
  </si>
  <si>
    <t>600</t>
  </si>
  <si>
    <t>Green</t>
  </si>
  <si>
    <t>2m</t>
  </si>
  <si>
    <t xml:space="preserve">Carry Over </t>
  </si>
  <si>
    <t>85000.250001</t>
  </si>
  <si>
    <t>8715738896888</t>
  </si>
  <si>
    <t>Carve Kite</t>
  </si>
  <si>
    <t>200</t>
  </si>
  <si>
    <t>Orange</t>
  </si>
  <si>
    <t>5m</t>
  </si>
  <si>
    <t>8715738896895</t>
  </si>
  <si>
    <t>6m</t>
  </si>
  <si>
    <t>8715738896901</t>
  </si>
  <si>
    <t>7m</t>
  </si>
  <si>
    <t>8715738896918</t>
  </si>
  <si>
    <t>8m</t>
  </si>
  <si>
    <t>8715738896925</t>
  </si>
  <si>
    <t>9m</t>
  </si>
  <si>
    <t>8715738896932</t>
  </si>
  <si>
    <t>10m</t>
  </si>
  <si>
    <t>8715738896956</t>
  </si>
  <si>
    <t>12m</t>
  </si>
  <si>
    <t>85000.250002</t>
  </si>
  <si>
    <t>8715738863767</t>
  </si>
  <si>
    <t>Pulse Kite</t>
  </si>
  <si>
    <t>310</t>
  </si>
  <si>
    <t>Rubine Red</t>
  </si>
  <si>
    <t>8715738863774</t>
  </si>
  <si>
    <t>8715738863781</t>
  </si>
  <si>
    <t>11m</t>
  </si>
  <si>
    <t>8715738863798</t>
  </si>
  <si>
    <t>13m</t>
  </si>
  <si>
    <t>85000.250008</t>
  </si>
  <si>
    <t>8715738889873</t>
  </si>
  <si>
    <t>Code Zero Pro Kite</t>
  </si>
  <si>
    <t>100</t>
  </si>
  <si>
    <t>White</t>
  </si>
  <si>
    <t>3.5m</t>
  </si>
  <si>
    <t>8715738890671</t>
  </si>
  <si>
    <t>4m</t>
  </si>
  <si>
    <t>8715738864030</t>
  </si>
  <si>
    <t>8715738864047</t>
  </si>
  <si>
    <t>8715738864054</t>
  </si>
  <si>
    <t>8715738864061</t>
  </si>
  <si>
    <t>8715738864078</t>
  </si>
  <si>
    <t>8715738864085</t>
  </si>
  <si>
    <t>8715738864092</t>
  </si>
  <si>
    <t>8715738864108</t>
  </si>
  <si>
    <t>14m</t>
  </si>
  <si>
    <t>85000.260000</t>
  </si>
  <si>
    <t>8715738896703</t>
  </si>
  <si>
    <t>Orbit Kite</t>
  </si>
  <si>
    <t>8715738896710</t>
  </si>
  <si>
    <t>8715738896727</t>
  </si>
  <si>
    <t>8715738896734</t>
  </si>
  <si>
    <t>8715738896741</t>
  </si>
  <si>
    <t>8715738896758</t>
  </si>
  <si>
    <t>8715738899087</t>
  </si>
  <si>
    <t>415</t>
  </si>
  <si>
    <t>Turquoise</t>
  </si>
  <si>
    <t>8715738896765</t>
  </si>
  <si>
    <t>8715738896772</t>
  </si>
  <si>
    <t>8715738896789</t>
  </si>
  <si>
    <t>8715738896796</t>
  </si>
  <si>
    <t>8715738896802</t>
  </si>
  <si>
    <t>8715738896819</t>
  </si>
  <si>
    <t>8715738899094</t>
  </si>
  <si>
    <t>8715738896826</t>
  </si>
  <si>
    <t>512</t>
  </si>
  <si>
    <t>Deep Purple</t>
  </si>
  <si>
    <t>8715738896833</t>
  </si>
  <si>
    <t>8715738896840</t>
  </si>
  <si>
    <t>8715738896857</t>
  </si>
  <si>
    <t>8715738896864</t>
  </si>
  <si>
    <t>8715738896871</t>
  </si>
  <si>
    <t>85000.260004</t>
  </si>
  <si>
    <t>8715738909267</t>
  </si>
  <si>
    <t>Reach Kite</t>
  </si>
  <si>
    <t>New</t>
  </si>
  <si>
    <t>8715738909274</t>
  </si>
  <si>
    <t>8715738909281</t>
  </si>
  <si>
    <t>8715738909298</t>
  </si>
  <si>
    <t>8715738909304</t>
  </si>
  <si>
    <t>8715738909311</t>
  </si>
  <si>
    <t>8715738909328</t>
  </si>
  <si>
    <t>8715738909335</t>
  </si>
  <si>
    <t>8715738909397</t>
  </si>
  <si>
    <t>8715738909403</t>
  </si>
  <si>
    <t>8715738909410</t>
  </si>
  <si>
    <t>8715738909427</t>
  </si>
  <si>
    <t>8715738909434</t>
  </si>
  <si>
    <t>8715738909441</t>
  </si>
  <si>
    <t>8715738909458</t>
  </si>
  <si>
    <t>8715738909465</t>
  </si>
  <si>
    <t>8715738909472</t>
  </si>
  <si>
    <t>15m</t>
  </si>
  <si>
    <t>8715738909489</t>
  </si>
  <si>
    <t>17m</t>
  </si>
  <si>
    <t>8715738909496</t>
  </si>
  <si>
    <t>19m</t>
  </si>
  <si>
    <t>8715738909519</t>
  </si>
  <si>
    <t>8715738909526</t>
  </si>
  <si>
    <t>8715738909533</t>
  </si>
  <si>
    <t>8715738909540</t>
  </si>
  <si>
    <t>8715738909557</t>
  </si>
  <si>
    <t>8715738909564</t>
  </si>
  <si>
    <t>8715738909571</t>
  </si>
  <si>
    <t>85000.260011</t>
  </si>
  <si>
    <t>8715738910928</t>
  </si>
  <si>
    <t>Orbit Ultra Kite</t>
  </si>
  <si>
    <t>900</t>
  </si>
  <si>
    <t>Black</t>
  </si>
  <si>
    <t>5.9m</t>
  </si>
  <si>
    <t>8715738910935</t>
  </si>
  <si>
    <t>6.6m</t>
  </si>
  <si>
    <t>8715738910942</t>
  </si>
  <si>
    <t>7.3m</t>
  </si>
  <si>
    <t>8715738910959</t>
  </si>
  <si>
    <t>8.1m</t>
  </si>
  <si>
    <t>8715738910966</t>
  </si>
  <si>
    <t>8715738910973</t>
  </si>
  <si>
    <t>8715738910980</t>
  </si>
  <si>
    <t>8715738910997</t>
  </si>
  <si>
    <t>85000.260014</t>
  </si>
  <si>
    <t>8715738911000</t>
  </si>
  <si>
    <t>Reach Ultra Kite</t>
  </si>
  <si>
    <t>8715738911017</t>
  </si>
  <si>
    <t>8715738911024</t>
  </si>
  <si>
    <t>8715738911031</t>
  </si>
  <si>
    <t>8715738911048</t>
  </si>
  <si>
    <t>8715738911055</t>
  </si>
  <si>
    <t>8715738911062</t>
  </si>
  <si>
    <t>8715738911079</t>
  </si>
  <si>
    <t>8715738911086</t>
  </si>
  <si>
    <t>North Control Systems</t>
  </si>
  <si>
    <t>85001.220020</t>
  </si>
  <si>
    <t>8715738740143</t>
  </si>
  <si>
    <t>Navigator Control System</t>
  </si>
  <si>
    <t>999</t>
  </si>
  <si>
    <t>Multiple Color</t>
  </si>
  <si>
    <t>38-43cm</t>
  </si>
  <si>
    <t>8715738740150</t>
  </si>
  <si>
    <t>45-50cm</t>
  </si>
  <si>
    <t>8715738740167</t>
  </si>
  <si>
    <t>50-55cm</t>
  </si>
  <si>
    <t>85001.240025</t>
  </si>
  <si>
    <t>8715738833272</t>
  </si>
  <si>
    <t>Navigator Control System - Short Throw</t>
  </si>
  <si>
    <t>85001.250024</t>
  </si>
  <si>
    <t>8715738864290</t>
  </si>
  <si>
    <t>Navigator Control System - Freestyle</t>
  </si>
  <si>
    <t>85001.240021</t>
  </si>
  <si>
    <t>8715738884656</t>
  </si>
  <si>
    <t>Navigator PRO Control System</t>
  </si>
  <si>
    <t>8715738848771</t>
  </si>
  <si>
    <t>8715738848788</t>
  </si>
  <si>
    <t>North Twintips</t>
  </si>
  <si>
    <t>85002.250024</t>
  </si>
  <si>
    <t>8715738866157</t>
  </si>
  <si>
    <t>Focus Hybrid TT Board</t>
  </si>
  <si>
    <t>991</t>
  </si>
  <si>
    <t>Galaxy</t>
  </si>
  <si>
    <t>133x40cm</t>
  </si>
  <si>
    <t>8715738866164</t>
  </si>
  <si>
    <t>136x41cm</t>
  </si>
  <si>
    <t>8715738866171</t>
  </si>
  <si>
    <t>139x42cm</t>
  </si>
  <si>
    <t>8715738866188</t>
  </si>
  <si>
    <t>142x43cm</t>
  </si>
  <si>
    <t>85002.250025</t>
  </si>
  <si>
    <t>8715738889811</t>
  </si>
  <si>
    <t>Flare TT Board</t>
  </si>
  <si>
    <t>139x41cm</t>
  </si>
  <si>
    <t>8715738889828</t>
  </si>
  <si>
    <t>143x42cm</t>
  </si>
  <si>
    <t>8715738889835</t>
  </si>
  <si>
    <t>147x43cm</t>
  </si>
  <si>
    <t>85002.250026</t>
  </si>
  <si>
    <t>8715738876323</t>
  </si>
  <si>
    <t>Trace TT Board</t>
  </si>
  <si>
    <t>681</t>
  </si>
  <si>
    <t>Aqua</t>
  </si>
  <si>
    <t>145x45cm</t>
  </si>
  <si>
    <t>8715738876330</t>
  </si>
  <si>
    <t>155x46cm</t>
  </si>
  <si>
    <t>85002.260020</t>
  </si>
  <si>
    <t>8715738911734</t>
  </si>
  <si>
    <t>Prime TT Board</t>
  </si>
  <si>
    <t>954</t>
  </si>
  <si>
    <t>Black / Orange Flash</t>
  </si>
  <si>
    <t>136x40cm</t>
  </si>
  <si>
    <t>8715738912298</t>
  </si>
  <si>
    <t>138x41cm</t>
  </si>
  <si>
    <t>8715738912304</t>
  </si>
  <si>
    <t>141x42cm</t>
  </si>
  <si>
    <t>8715738912311</t>
  </si>
  <si>
    <t>144x43cm</t>
  </si>
  <si>
    <t>8715738912328</t>
  </si>
  <si>
    <t>148x44cm</t>
  </si>
  <si>
    <t>8715738912335</t>
  </si>
  <si>
    <t>152x45cm</t>
  </si>
  <si>
    <t>85002.260021</t>
  </si>
  <si>
    <t>8715738898776</t>
  </si>
  <si>
    <t>Astra TT Board</t>
  </si>
  <si>
    <t>432</t>
  </si>
  <si>
    <t>Blue / Red</t>
  </si>
  <si>
    <t>127x37cm</t>
  </si>
  <si>
    <t>8715738898783</t>
  </si>
  <si>
    <t>132x38cm</t>
  </si>
  <si>
    <t>8715738898790</t>
  </si>
  <si>
    <t>135x39cm</t>
  </si>
  <si>
    <t>8715738898806</t>
  </si>
  <si>
    <t>139x40cm</t>
  </si>
  <si>
    <t>85002.260022</t>
  </si>
  <si>
    <t>8715738898813</t>
  </si>
  <si>
    <t>Atmos TT Board</t>
  </si>
  <si>
    <t>416</t>
  </si>
  <si>
    <t>Ombre Blue</t>
  </si>
  <si>
    <t>8715738898820</t>
  </si>
  <si>
    <t>8715738898837</t>
  </si>
  <si>
    <t>8715738898844</t>
  </si>
  <si>
    <t>85002.260023</t>
  </si>
  <si>
    <t>8715738898851</t>
  </si>
  <si>
    <t>Atmos Pro TT Board</t>
  </si>
  <si>
    <t>945</t>
  </si>
  <si>
    <t>Black / Blue</t>
  </si>
  <si>
    <t>8715738898868</t>
  </si>
  <si>
    <t>8715738898875</t>
  </si>
  <si>
    <t>8715738898882</t>
  </si>
  <si>
    <t>85002.260027</t>
  </si>
  <si>
    <t>8715738898738</t>
  </si>
  <si>
    <t>Atmos Ultra TT Board</t>
  </si>
  <si>
    <t>506</t>
  </si>
  <si>
    <t>Indigo</t>
  </si>
  <si>
    <t>8715738898745</t>
  </si>
  <si>
    <t>8715738898752</t>
  </si>
  <si>
    <t>8715738898769</t>
  </si>
  <si>
    <t>North Boots/Bindings</t>
  </si>
  <si>
    <t>85003.240030</t>
  </si>
  <si>
    <t>8715738825635</t>
  </si>
  <si>
    <t>Flex TT Bindings</t>
  </si>
  <si>
    <t>S/M</t>
  </si>
  <si>
    <t>8715738844247</t>
  </si>
  <si>
    <t>L/XL</t>
  </si>
  <si>
    <t>85003.240031</t>
  </si>
  <si>
    <t>8715738823365</t>
  </si>
  <si>
    <t>Fix Boots</t>
  </si>
  <si>
    <t>S</t>
  </si>
  <si>
    <t>8715738823372</t>
  </si>
  <si>
    <t>M</t>
  </si>
  <si>
    <t>8715738823389</t>
  </si>
  <si>
    <t>L</t>
  </si>
  <si>
    <t>8715738823396</t>
  </si>
  <si>
    <t>XL</t>
  </si>
  <si>
    <t>85003.240032</t>
  </si>
  <si>
    <t>8715738824416</t>
  </si>
  <si>
    <t>Free Surf Strap set</t>
  </si>
  <si>
    <t>O/S</t>
  </si>
  <si>
    <t>85003.240033</t>
  </si>
  <si>
    <t>8715738824423</t>
  </si>
  <si>
    <t>Free Foil Strap Set</t>
  </si>
  <si>
    <t>85003.240035</t>
  </si>
  <si>
    <t>8715738824430</t>
  </si>
  <si>
    <t>Free-V Foil Strap Set</t>
  </si>
  <si>
    <t>85003.240036</t>
  </si>
  <si>
    <t>8715738824409</t>
  </si>
  <si>
    <t>Free-Lo Strap</t>
  </si>
  <si>
    <t>85003.240037</t>
  </si>
  <si>
    <t>8715738825659</t>
  </si>
  <si>
    <t>Free-Lo V Strap</t>
  </si>
  <si>
    <t>85003.250040</t>
  </si>
  <si>
    <t>8715738864900</t>
  </si>
  <si>
    <t>Flex PRO</t>
  </si>
  <si>
    <t>8715738864917</t>
  </si>
  <si>
    <t>8715738864924</t>
  </si>
  <si>
    <t>8715738864931</t>
  </si>
  <si>
    <t>North Surfboards</t>
  </si>
  <si>
    <t>85012.240004</t>
  </si>
  <si>
    <t>8715738815483</t>
  </si>
  <si>
    <t>Cross Surfboard</t>
  </si>
  <si>
    <t>5ft 1in</t>
  </si>
  <si>
    <t>8715738815490</t>
  </si>
  <si>
    <t>5ft 3in</t>
  </si>
  <si>
    <t>8715738815506</t>
  </si>
  <si>
    <t>5ft 5in</t>
  </si>
  <si>
    <t>85012.240006</t>
  </si>
  <si>
    <t>8715738815445</t>
  </si>
  <si>
    <t>Charge PRO Surfboard</t>
  </si>
  <si>
    <t>8715738815452</t>
  </si>
  <si>
    <t>5ft 7in</t>
  </si>
  <si>
    <t>8715738815469</t>
  </si>
  <si>
    <t>5ft 9in</t>
  </si>
  <si>
    <t>8715738815476</t>
  </si>
  <si>
    <t>5ft 11in</t>
  </si>
  <si>
    <t>85012.250007</t>
  </si>
  <si>
    <t>8715738875753</t>
  </si>
  <si>
    <t>Cross Pro Surfboard</t>
  </si>
  <si>
    <t>196</t>
  </si>
  <si>
    <t>Titanium</t>
  </si>
  <si>
    <t>8715738875760</t>
  </si>
  <si>
    <t>8715738875777</t>
  </si>
  <si>
    <t>North Foilboards</t>
  </si>
  <si>
    <t>85013.240012</t>
  </si>
  <si>
    <t>8715738823112</t>
  </si>
  <si>
    <t>Sense Foil Board</t>
  </si>
  <si>
    <t>135x47cm</t>
  </si>
  <si>
    <t>85013.240015</t>
  </si>
  <si>
    <t>8715738823068</t>
  </si>
  <si>
    <t>Seek Air Foil Board</t>
  </si>
  <si>
    <t>4ft 10in</t>
  </si>
  <si>
    <t>8715738823075</t>
  </si>
  <si>
    <t>8715738823082</t>
  </si>
  <si>
    <t>8715738823099</t>
  </si>
  <si>
    <t>8715738823105</t>
  </si>
  <si>
    <t>6ft 2in</t>
  </si>
  <si>
    <t>85013.240017</t>
  </si>
  <si>
    <t>8715738849877</t>
  </si>
  <si>
    <t>Seek Prime Foil Board</t>
  </si>
  <si>
    <t>6ft 4in</t>
  </si>
  <si>
    <t>8715738849884</t>
  </si>
  <si>
    <t>6ft 10in</t>
  </si>
  <si>
    <t>85013.240018</t>
  </si>
  <si>
    <t>8715738890442</t>
  </si>
  <si>
    <t>Vert Prone Foil Board</t>
  </si>
  <si>
    <t>3ft 8in</t>
  </si>
  <si>
    <t>8715738859463</t>
  </si>
  <si>
    <t>4ft 2in</t>
  </si>
  <si>
    <t>8715738859470</t>
  </si>
  <si>
    <t>4ft 5in</t>
  </si>
  <si>
    <t>8715738911826</t>
  </si>
  <si>
    <t>New sizes</t>
  </si>
  <si>
    <t>85013.250170</t>
  </si>
  <si>
    <t>8715738889095</t>
  </si>
  <si>
    <t>Vector Race Foil Board</t>
  </si>
  <si>
    <t>250</t>
  </si>
  <si>
    <t>Yellow</t>
  </si>
  <si>
    <t>4ft 7in</t>
  </si>
  <si>
    <t>8715738889101</t>
  </si>
  <si>
    <t>5ft 0in</t>
  </si>
  <si>
    <t>8715738889118</t>
  </si>
  <si>
    <t>5ft 4in</t>
  </si>
  <si>
    <t>85013.260008</t>
  </si>
  <si>
    <t>8715738910317</t>
  </si>
  <si>
    <t>Echo Pro</t>
  </si>
  <si>
    <t>621</t>
  </si>
  <si>
    <t>Ocean Green</t>
  </si>
  <si>
    <t>120cm</t>
  </si>
  <si>
    <t>8715738910324</t>
  </si>
  <si>
    <t>135cm</t>
  </si>
  <si>
    <t>85013.260010</t>
  </si>
  <si>
    <t>8715738910072</t>
  </si>
  <si>
    <t>4ft 8in</t>
  </si>
  <si>
    <t>8715738910096</t>
  </si>
  <si>
    <t>8715738910102</t>
  </si>
  <si>
    <t>5ft 2in</t>
  </si>
  <si>
    <t>8715738910119</t>
  </si>
  <si>
    <t>85013.260011</t>
  </si>
  <si>
    <t>8715738909984</t>
  </si>
  <si>
    <t>4ft 9in</t>
  </si>
  <si>
    <t>8715738909991</t>
  </si>
  <si>
    <t>4ft 11in</t>
  </si>
  <si>
    <t>8715738910003</t>
  </si>
  <si>
    <t>8715738910010</t>
  </si>
  <si>
    <t>8715738910027</t>
  </si>
  <si>
    <t>85013.260012</t>
  </si>
  <si>
    <t>8715738911543</t>
  </si>
  <si>
    <t>Seek Foil Board</t>
  </si>
  <si>
    <t>8715738911550</t>
  </si>
  <si>
    <t>8715738911567</t>
  </si>
  <si>
    <t>8715738911574</t>
  </si>
  <si>
    <t>85013.260165</t>
  </si>
  <si>
    <t>8715738912267</t>
  </si>
  <si>
    <t>Boost Foil Board</t>
  </si>
  <si>
    <t>8715738911840</t>
  </si>
  <si>
    <t>8715738899032</t>
  </si>
  <si>
    <t>8715738899049</t>
  </si>
  <si>
    <t>5ft 6in</t>
  </si>
  <si>
    <t>North Wings</t>
  </si>
  <si>
    <t>85014.260005</t>
  </si>
  <si>
    <t>8715738909625</t>
  </si>
  <si>
    <t>Nova Wing</t>
  </si>
  <si>
    <t>4.2m</t>
  </si>
  <si>
    <t>8715738909632</t>
  </si>
  <si>
    <t>4.8m</t>
  </si>
  <si>
    <t>8715738909649</t>
  </si>
  <si>
    <t>5.4m</t>
  </si>
  <si>
    <t>8715738909656</t>
  </si>
  <si>
    <t>6.2m</t>
  </si>
  <si>
    <t>8715738909663</t>
  </si>
  <si>
    <t>8715738909670</t>
  </si>
  <si>
    <t>8715738909687</t>
  </si>
  <si>
    <t>8715738909694</t>
  </si>
  <si>
    <t>8715738909700</t>
  </si>
  <si>
    <t>8715738909717</t>
  </si>
  <si>
    <t>8715738909724</t>
  </si>
  <si>
    <t>8715738909731</t>
  </si>
  <si>
    <t>8715738909748</t>
  </si>
  <si>
    <t>8715738909755</t>
  </si>
  <si>
    <t>85014.260006</t>
  </si>
  <si>
    <t>8715738897120</t>
  </si>
  <si>
    <t>Mode Pro wing</t>
  </si>
  <si>
    <t>2.9m</t>
  </si>
  <si>
    <t>8715738897137</t>
  </si>
  <si>
    <t>8715738897144</t>
  </si>
  <si>
    <t>8715738897151</t>
  </si>
  <si>
    <t>8715738897168</t>
  </si>
  <si>
    <t>5.5m</t>
  </si>
  <si>
    <t>8715738897175</t>
  </si>
  <si>
    <t>6.5m</t>
  </si>
  <si>
    <t>85014.260007</t>
  </si>
  <si>
    <t>8715738912540</t>
  </si>
  <si>
    <t>Loft PRO wing</t>
  </si>
  <si>
    <t>8715738912557</t>
  </si>
  <si>
    <t>8715738912564</t>
  </si>
  <si>
    <t>85014.260008</t>
  </si>
  <si>
    <t>8715738909762</t>
  </si>
  <si>
    <t>Nova Pro Wing</t>
  </si>
  <si>
    <t>2.2m</t>
  </si>
  <si>
    <t>8715738909779</t>
  </si>
  <si>
    <t>8715738909786</t>
  </si>
  <si>
    <t>8715738909793</t>
  </si>
  <si>
    <t>8715738909809</t>
  </si>
  <si>
    <t>8715738909816</t>
  </si>
  <si>
    <t>8715738909823</t>
  </si>
  <si>
    <t>85014.260020</t>
  </si>
  <si>
    <t>8715738911093</t>
  </si>
  <si>
    <t>Mode Ultra Wing</t>
  </si>
  <si>
    <t>8715738911109</t>
  </si>
  <si>
    <t>8715738911116</t>
  </si>
  <si>
    <t>8715738911123</t>
  </si>
  <si>
    <t>8715738911130</t>
  </si>
  <si>
    <t>8715738911147</t>
  </si>
  <si>
    <t>85014.260030</t>
  </si>
  <si>
    <t>8715738898691</t>
  </si>
  <si>
    <t>Ranger Parawing</t>
  </si>
  <si>
    <t>650</t>
  </si>
  <si>
    <t>Lime</t>
  </si>
  <si>
    <t>8715738898707</t>
  </si>
  <si>
    <t>3.2m</t>
  </si>
  <si>
    <t>8715738898714</t>
  </si>
  <si>
    <t>8715738898721</t>
  </si>
  <si>
    <t>5.2m</t>
  </si>
  <si>
    <t>85014.260035</t>
  </si>
  <si>
    <t>8715738912618</t>
  </si>
  <si>
    <t>Rover Parawing</t>
  </si>
  <si>
    <t>953</t>
  </si>
  <si>
    <t>Black / Lime</t>
  </si>
  <si>
    <t>2.4m</t>
  </si>
  <si>
    <t>8715738912625</t>
  </si>
  <si>
    <t>8715738912632</t>
  </si>
  <si>
    <t>8715738912649</t>
  </si>
  <si>
    <t>8715738912656</t>
  </si>
  <si>
    <t>5.0m</t>
  </si>
  <si>
    <t>8715738912663</t>
  </si>
  <si>
    <t>North Foil Accessory</t>
  </si>
  <si>
    <t>85015.240106</t>
  </si>
  <si>
    <t>8715738848504</t>
  </si>
  <si>
    <t>ShiftLock Handle - Carbon</t>
  </si>
  <si>
    <t>8715738848511</t>
  </si>
  <si>
    <t>400</t>
  </si>
  <si>
    <t>8715738848528</t>
  </si>
  <si>
    <t>500</t>
  </si>
  <si>
    <t>8715738887824</t>
  </si>
  <si>
    <t>950</t>
  </si>
  <si>
    <t>8715738848535</t>
  </si>
  <si>
    <t>1100</t>
  </si>
  <si>
    <t>85015.250207</t>
  </si>
  <si>
    <t>8715738890688</t>
  </si>
  <si>
    <t>Shiftlock J Handle - Carbon</t>
  </si>
  <si>
    <t>North Kites Spare Parts</t>
  </si>
  <si>
    <t>85006.260270</t>
  </si>
  <si>
    <t>8715738899407</t>
  </si>
  <si>
    <t>Ranger Parawing Control Bar</t>
  </si>
  <si>
    <t>North Foil Systems</t>
  </si>
  <si>
    <t>85004.220090</t>
  </si>
  <si>
    <t>8715738766600</t>
  </si>
  <si>
    <t>Sonar S210 Stabilizer</t>
  </si>
  <si>
    <t>210 cm²</t>
  </si>
  <si>
    <t>85004.220091</t>
  </si>
  <si>
    <t>8715738766402</t>
  </si>
  <si>
    <t>Sonar S270 Stabilizer</t>
  </si>
  <si>
    <t>270 cm²</t>
  </si>
  <si>
    <t>85004.220092</t>
  </si>
  <si>
    <t>8715738766419</t>
  </si>
  <si>
    <t>Sonar S320 Stabilizer</t>
  </si>
  <si>
    <t>320 cm²</t>
  </si>
  <si>
    <t>85004.230091</t>
  </si>
  <si>
    <t>8715738814073</t>
  </si>
  <si>
    <t>Sonar SF930 Front Wing</t>
  </si>
  <si>
    <t>930 cm²</t>
  </si>
  <si>
    <t>85004.230092</t>
  </si>
  <si>
    <t>8715738814080</t>
  </si>
  <si>
    <t>Sonar SF1080 Front Wing</t>
  </si>
  <si>
    <t>1080 cm²</t>
  </si>
  <si>
    <t>85004.230093</t>
  </si>
  <si>
    <t>8715738814097</t>
  </si>
  <si>
    <t>Sonar SF1230 Front Wing</t>
  </si>
  <si>
    <t>1230 cm²</t>
  </si>
  <si>
    <t>85004.230094</t>
  </si>
  <si>
    <t>8715738784802</t>
  </si>
  <si>
    <t>Sonar S208 Stabilizer</t>
  </si>
  <si>
    <t>208 cm²</t>
  </si>
  <si>
    <t>85004.230095</t>
  </si>
  <si>
    <t>8715738815209</t>
  </si>
  <si>
    <t>Sonar S178 Stabilizer</t>
  </si>
  <si>
    <t>178 cm²</t>
  </si>
  <si>
    <t>85004.230096</t>
  </si>
  <si>
    <t>8715738815216</t>
  </si>
  <si>
    <t>Sonar S215 Stabilizer</t>
  </si>
  <si>
    <t>215 cm²</t>
  </si>
  <si>
    <t>85004.230100</t>
  </si>
  <si>
    <t>8715738784734</t>
  </si>
  <si>
    <t>Sonar HA550 Front Wing</t>
  </si>
  <si>
    <t>550 cm²</t>
  </si>
  <si>
    <t>85004.230101</t>
  </si>
  <si>
    <t>8715738784741</t>
  </si>
  <si>
    <t>Sonar HA650 Front Wing</t>
  </si>
  <si>
    <t>650 cm²</t>
  </si>
  <si>
    <t>85004.230102</t>
  </si>
  <si>
    <t>8715738784758</t>
  </si>
  <si>
    <t>Sonar HA750 Front Wing</t>
  </si>
  <si>
    <t>750 cm²</t>
  </si>
  <si>
    <t>85004.230103</t>
  </si>
  <si>
    <t>8715738783898</t>
  </si>
  <si>
    <t>Sonar HA850 Front Wing</t>
  </si>
  <si>
    <t>850 cm²</t>
  </si>
  <si>
    <t>85004.230104</t>
  </si>
  <si>
    <t>8715738784765</t>
  </si>
  <si>
    <t>Sonar HA950 Front Wing</t>
  </si>
  <si>
    <t>950 cm²</t>
  </si>
  <si>
    <t>85004.230105</t>
  </si>
  <si>
    <t>8715738783904</t>
  </si>
  <si>
    <t>Sonar HA1050 Front Wing</t>
  </si>
  <si>
    <t>1050 cm²</t>
  </si>
  <si>
    <t>85004.230106</t>
  </si>
  <si>
    <t>8715738784772</t>
  </si>
  <si>
    <t>Sonar HA1150 Front Wing</t>
  </si>
  <si>
    <t>1150 cm²</t>
  </si>
  <si>
    <t>85004.230107</t>
  </si>
  <si>
    <t>8715738784789</t>
  </si>
  <si>
    <t>Sonar HA1250 Front Wing</t>
  </si>
  <si>
    <t>1250 cm²</t>
  </si>
  <si>
    <t>85004.230108</t>
  </si>
  <si>
    <t>8715738784796</t>
  </si>
  <si>
    <t>Sonar HA1450 Front Wing</t>
  </si>
  <si>
    <t>1450 cm²</t>
  </si>
  <si>
    <t>85004.240066</t>
  </si>
  <si>
    <t>8715738849792</t>
  </si>
  <si>
    <t>Sonar Foil Edition</t>
  </si>
  <si>
    <t>AF72</t>
  </si>
  <si>
    <t>8715738849808</t>
  </si>
  <si>
    <t>AF85</t>
  </si>
  <si>
    <t>85004.240069</t>
  </si>
  <si>
    <t>8715738863347</t>
  </si>
  <si>
    <t>Sonar DW750 Front Wing</t>
  </si>
  <si>
    <t>85004.240070</t>
  </si>
  <si>
    <t>8715738849815</t>
  </si>
  <si>
    <t>Sonar Carbon Foil Edition</t>
  </si>
  <si>
    <t>CF72</t>
  </si>
  <si>
    <t>8715738849822</t>
  </si>
  <si>
    <t>CF85</t>
  </si>
  <si>
    <t>85004.240071</t>
  </si>
  <si>
    <t>8715738911741</t>
  </si>
  <si>
    <t>Sonar HM Carbon Mast</t>
  </si>
  <si>
    <t>73cm</t>
  </si>
  <si>
    <t>8715738848580</t>
  </si>
  <si>
    <t>80cm</t>
  </si>
  <si>
    <t>8715738848597</t>
  </si>
  <si>
    <t>85cm</t>
  </si>
  <si>
    <t>8715738875746</t>
  </si>
  <si>
    <t>95cm</t>
  </si>
  <si>
    <t>8715738848603</t>
  </si>
  <si>
    <t>105cm</t>
  </si>
  <si>
    <t>85004.240072</t>
  </si>
  <si>
    <t>8715738852853</t>
  </si>
  <si>
    <t>Sonar P1800 Front wing</t>
  </si>
  <si>
    <t>1800 cm²</t>
  </si>
  <si>
    <t>85004.240073</t>
  </si>
  <si>
    <t>8715738852860</t>
  </si>
  <si>
    <t>Sonar P2050 Front Wing</t>
  </si>
  <si>
    <t>2050 cm²</t>
  </si>
  <si>
    <t>85004.240074</t>
  </si>
  <si>
    <t>8715738863330</t>
  </si>
  <si>
    <t>Sonar DW900 Front wing</t>
  </si>
  <si>
    <t>900 cm²</t>
  </si>
  <si>
    <t>85004.240075</t>
  </si>
  <si>
    <t>8715738852891</t>
  </si>
  <si>
    <t>Sonar DW1100 Front wing</t>
  </si>
  <si>
    <t>1100 cm²</t>
  </si>
  <si>
    <t>85004.240076</t>
  </si>
  <si>
    <t>8715738852907</t>
  </si>
  <si>
    <t>Sonar DW1400 Front wing</t>
  </si>
  <si>
    <t>1400 cm²</t>
  </si>
  <si>
    <t>85004.240086</t>
  </si>
  <si>
    <t>8715738825734</t>
  </si>
  <si>
    <t>Sonar MA850v2 Front Wing</t>
  </si>
  <si>
    <t>85004.240087</t>
  </si>
  <si>
    <t>8715738825758</t>
  </si>
  <si>
    <t>Sonar MA1850v2 Front Wing</t>
  </si>
  <si>
    <t>1850 cm²</t>
  </si>
  <si>
    <t>85004.240088</t>
  </si>
  <si>
    <t>8715738825741</t>
  </si>
  <si>
    <t>Sonar MA2100v2 Front Wing</t>
  </si>
  <si>
    <t>2100 cm²</t>
  </si>
  <si>
    <t>85004.240089</t>
  </si>
  <si>
    <t>8715738846111</t>
  </si>
  <si>
    <t>Sonar MA700v2 Front Wing</t>
  </si>
  <si>
    <t>700 cm²</t>
  </si>
  <si>
    <t>85004.240090</t>
  </si>
  <si>
    <t>8715738846128</t>
  </si>
  <si>
    <t>Sonar MA1050v2 Front Wing</t>
  </si>
  <si>
    <t>85004.240091</t>
  </si>
  <si>
    <t>8715738846135</t>
  </si>
  <si>
    <t>Sonar MA1200v2 Front Wing</t>
  </si>
  <si>
    <t>1200 cm²</t>
  </si>
  <si>
    <t>85004.240092</t>
  </si>
  <si>
    <t>8715738846142</t>
  </si>
  <si>
    <t>Sonar MA1500v2 Front Wing</t>
  </si>
  <si>
    <t>1500 cm²</t>
  </si>
  <si>
    <t>85004.240093</t>
  </si>
  <si>
    <t>8715738846159</t>
  </si>
  <si>
    <t>Sonar MA2400v2 Prime Front Wing</t>
  </si>
  <si>
    <t>2400 cm²</t>
  </si>
  <si>
    <t>85004.240095</t>
  </si>
  <si>
    <t>8715738846180</t>
  </si>
  <si>
    <t>Sonar SF680 Front wing</t>
  </si>
  <si>
    <t>680 cm²</t>
  </si>
  <si>
    <t>85004.240096</t>
  </si>
  <si>
    <t>8715738846173</t>
  </si>
  <si>
    <t>Sonar SF830 Front wing</t>
  </si>
  <si>
    <t>830 cm²</t>
  </si>
  <si>
    <t>85004.240097</t>
  </si>
  <si>
    <t>8715738846678</t>
  </si>
  <si>
    <t>Sonar S185 Stabilizer</t>
  </si>
  <si>
    <t>185 cm²</t>
  </si>
  <si>
    <t>85004.240098</t>
  </si>
  <si>
    <t>8715738846685</t>
  </si>
  <si>
    <t>Sonar S238 Stabilizer</t>
  </si>
  <si>
    <t>238 cm²</t>
  </si>
  <si>
    <t>85004.240099</t>
  </si>
  <si>
    <t>8715738863323</t>
  </si>
  <si>
    <t>Sonar S142 Stabilizer</t>
  </si>
  <si>
    <t>142 cm²</t>
  </si>
  <si>
    <t>85004.240100</t>
  </si>
  <si>
    <t>8715738861732</t>
  </si>
  <si>
    <t>Sonar MA1850v2 Prime Front Wing</t>
  </si>
  <si>
    <t>85004.240101</t>
  </si>
  <si>
    <t>8715738861749</t>
  </si>
  <si>
    <t>Sonar MA2100v2 Prime Front Wing</t>
  </si>
  <si>
    <t>85004.240102</t>
  </si>
  <si>
    <t>8715738863101</t>
  </si>
  <si>
    <t>Sonar S192 Stabilizer</t>
  </si>
  <si>
    <t>192 cm²</t>
  </si>
  <si>
    <t>85004.250130</t>
  </si>
  <si>
    <t>8715738876668</t>
  </si>
  <si>
    <t>Sonar MA500v2 Front wing</t>
  </si>
  <si>
    <t>500 cm²</t>
  </si>
  <si>
    <t>85004.250131</t>
  </si>
  <si>
    <t>8715738876675</t>
  </si>
  <si>
    <t>Sonar MA600v2 Front wing</t>
  </si>
  <si>
    <t>600 cm²</t>
  </si>
  <si>
    <t>85004.250132</t>
  </si>
  <si>
    <t>8715738876781</t>
  </si>
  <si>
    <t>Sonar SF530 Front wing</t>
  </si>
  <si>
    <t>530 cm²</t>
  </si>
  <si>
    <t>85004.250135</t>
  </si>
  <si>
    <t>8715738889293</t>
  </si>
  <si>
    <t>Sonar DW690 Front Wing</t>
  </si>
  <si>
    <t>690 cm²</t>
  </si>
  <si>
    <t>85004.250136</t>
  </si>
  <si>
    <t>8715738889323</t>
  </si>
  <si>
    <t>Sonar DW820 Front Wing</t>
  </si>
  <si>
    <t>820 cm²</t>
  </si>
  <si>
    <t>85004.250137</t>
  </si>
  <si>
    <t>8715738889316</t>
  </si>
  <si>
    <t>Sonar S122 Stabilizer</t>
  </si>
  <si>
    <t>122 cm²</t>
  </si>
  <si>
    <t>85004.250138</t>
  </si>
  <si>
    <t>8715738889330</t>
  </si>
  <si>
    <t>Sonar S158 Stabilizer V2</t>
  </si>
  <si>
    <t>158 cm²</t>
  </si>
  <si>
    <t>85004.250139</t>
  </si>
  <si>
    <t>8715738889408</t>
  </si>
  <si>
    <t>Sonar S145v2 Stabilizer</t>
  </si>
  <si>
    <t>145 cm²</t>
  </si>
  <si>
    <t>85004.250200</t>
  </si>
  <si>
    <t>8715738889156</t>
  </si>
  <si>
    <t>Sonar MA1500v2 Prime Front Wing</t>
  </si>
  <si>
    <t>85004.250201</t>
  </si>
  <si>
    <t>8715738889736</t>
  </si>
  <si>
    <t>Sonar MA1200v2 Prime Front Wing</t>
  </si>
  <si>
    <t>85004.250202</t>
  </si>
  <si>
    <t>8715738889767</t>
  </si>
  <si>
    <t>Sonar Prime Edition</t>
  </si>
  <si>
    <t>PE 1200</t>
  </si>
  <si>
    <t>8715738889774</t>
  </si>
  <si>
    <t>PE 1500</t>
  </si>
  <si>
    <t>8715738889781</t>
  </si>
  <si>
    <t>PE 1850</t>
  </si>
  <si>
    <t>8715738889798</t>
  </si>
  <si>
    <t>PE 2100</t>
  </si>
  <si>
    <t>8715738889804</t>
  </si>
  <si>
    <t>PE 2400</t>
  </si>
  <si>
    <t>85004.260088</t>
  </si>
  <si>
    <t>8715738911499</t>
  </si>
  <si>
    <t>Sonar MA950v2 Front Wing</t>
  </si>
  <si>
    <t>85004.260140</t>
  </si>
  <si>
    <t>8715738898547</t>
  </si>
  <si>
    <t>Sonar Speed v2 Stabilizer S178</t>
  </si>
  <si>
    <t>S178</t>
  </si>
  <si>
    <t>85004.260141</t>
  </si>
  <si>
    <t>8715738898554</t>
  </si>
  <si>
    <t>Sonar Speed v2 Stabilizer S208</t>
  </si>
  <si>
    <t>S208</t>
  </si>
  <si>
    <t>85010.210085</t>
  </si>
  <si>
    <t>8715738729452</t>
  </si>
  <si>
    <t>Sonar Fuselage</t>
  </si>
  <si>
    <t>A600</t>
  </si>
  <si>
    <t>8715738732230</t>
  </si>
  <si>
    <t>A700</t>
  </si>
  <si>
    <t>85010.210086</t>
  </si>
  <si>
    <t>8715738732247</t>
  </si>
  <si>
    <t>Sonar Carbon Fuselage</t>
  </si>
  <si>
    <t>C600</t>
  </si>
  <si>
    <t>8715738876798</t>
  </si>
  <si>
    <t>C650</t>
  </si>
  <si>
    <t>8715738732254</t>
  </si>
  <si>
    <t>C700</t>
  </si>
  <si>
    <t>85010.210090</t>
  </si>
  <si>
    <t>8715738732223</t>
  </si>
  <si>
    <t>Sonar AF Board Adaptor</t>
  </si>
  <si>
    <t>85010.210123</t>
  </si>
  <si>
    <t>8715738766617</t>
  </si>
  <si>
    <t>Sonar Foil Mast</t>
  </si>
  <si>
    <t>AF55</t>
  </si>
  <si>
    <t>8715738732292</t>
  </si>
  <si>
    <t>8715738890428</t>
  </si>
  <si>
    <t>AF80</t>
  </si>
  <si>
    <t>8715738732308</t>
  </si>
  <si>
    <t>85010.210124</t>
  </si>
  <si>
    <t>8715738732261</t>
  </si>
  <si>
    <t>Sonar Carbon Foil Mast</t>
  </si>
  <si>
    <t>8715738732278</t>
  </si>
  <si>
    <t>North Promotion &amp; POS</t>
  </si>
  <si>
    <t>85011.242000</t>
  </si>
  <si>
    <t>8715738826038</t>
  </si>
  <si>
    <t>Dune Mountain Board</t>
  </si>
  <si>
    <t>85011.242001</t>
  </si>
  <si>
    <t>8715738826045</t>
  </si>
  <si>
    <t>Track Skate Board</t>
  </si>
  <si>
    <t>85011.242003</t>
  </si>
  <si>
    <t>8715738848757</t>
  </si>
  <si>
    <t>Balance Board</t>
  </si>
  <si>
    <t xml:space="preserve">Essential accessories </t>
  </si>
  <si>
    <t>85005.240080</t>
  </si>
  <si>
    <t>8715738849655</t>
  </si>
  <si>
    <t>Dockstart Launch Pad</t>
  </si>
  <si>
    <t>85010.210033</t>
  </si>
  <si>
    <t>8715738732391</t>
  </si>
  <si>
    <t>Quick Release Board Leash</t>
  </si>
  <si>
    <t>85010.240099</t>
  </si>
  <si>
    <t>8715738849006</t>
  </si>
  <si>
    <t>Tow Rope</t>
  </si>
  <si>
    <t>85010.260250</t>
  </si>
  <si>
    <t>8715738896062</t>
  </si>
  <si>
    <t>Stash Belt</t>
  </si>
  <si>
    <t>85006.200057</t>
  </si>
  <si>
    <t>8715738683242</t>
  </si>
  <si>
    <t>Line Connectors set of 4</t>
  </si>
  <si>
    <t>Multiple color</t>
  </si>
  <si>
    <t>85006.260275</t>
  </si>
  <si>
    <t>8715738899476</t>
  </si>
  <si>
    <t>2026 Parawing Canopy Repair Material</t>
  </si>
  <si>
    <t>1.9mx 2m</t>
  </si>
  <si>
    <t>85006.260280</t>
  </si>
  <si>
    <t>8715738899421</t>
  </si>
  <si>
    <t>2026 Kite Dacron Repair Material</t>
  </si>
  <si>
    <t>2mx1.42m</t>
  </si>
  <si>
    <t>85006.260285</t>
  </si>
  <si>
    <t>8715738911215</t>
  </si>
  <si>
    <t>2026 Canopy Repair Material</t>
  </si>
  <si>
    <t>3m x1.5m</t>
  </si>
  <si>
    <t>8715738899438</t>
  </si>
  <si>
    <t>8715738899445</t>
  </si>
  <si>
    <t>8715738899452</t>
  </si>
  <si>
    <t>8715738911864</t>
  </si>
  <si>
    <t>85015.240123</t>
  </si>
  <si>
    <t>8715738848764</t>
  </si>
  <si>
    <t>2024 Canopy Repair Material - Matrix N-HTRS</t>
  </si>
  <si>
    <t>85015.240126</t>
  </si>
  <si>
    <t>8715738875739</t>
  </si>
  <si>
    <t>2024 N-Max Repair Material</t>
  </si>
  <si>
    <t>85015.250130</t>
  </si>
  <si>
    <t>8715738883291</t>
  </si>
  <si>
    <t>Canopy Repair Material N-Xi</t>
  </si>
  <si>
    <t>85015.250140</t>
  </si>
  <si>
    <t>8715738876859</t>
  </si>
  <si>
    <t>N-Max2 Repair Material</t>
  </si>
  <si>
    <t>85015.260174</t>
  </si>
  <si>
    <t>8715738911871</t>
  </si>
  <si>
    <t>N-U80 Kite repair material - Kite</t>
  </si>
  <si>
    <t>85006.260292</t>
  </si>
  <si>
    <t>8715738917422</t>
  </si>
  <si>
    <t>Parawing Replacement Battens</t>
  </si>
  <si>
    <t>85006.260293</t>
  </si>
  <si>
    <t>8715738917460</t>
  </si>
  <si>
    <t>Rover Parawing Canopy Repair Material</t>
  </si>
  <si>
    <t>85004.220093</t>
  </si>
  <si>
    <t>8715738766426</t>
  </si>
  <si>
    <t>Sonar Stabilizer Shim Kit</t>
  </si>
  <si>
    <t>North Accessories</t>
  </si>
  <si>
    <t>85005.210080</t>
  </si>
  <si>
    <t>8715738763388</t>
  </si>
  <si>
    <t>Kite Pump Hose</t>
  </si>
  <si>
    <t>85005.210091</t>
  </si>
  <si>
    <t>8715738706927</t>
  </si>
  <si>
    <t>Grab-It TT Grab Rail</t>
  </si>
  <si>
    <t>85005.240026</t>
  </si>
  <si>
    <t>8715738824348</t>
  </si>
  <si>
    <t>Handle Pass Leash</t>
  </si>
  <si>
    <t>965</t>
  </si>
  <si>
    <t>Black / Red</t>
  </si>
  <si>
    <t>85005.240027</t>
  </si>
  <si>
    <t>8715738824355</t>
  </si>
  <si>
    <t>Standard Leash</t>
  </si>
  <si>
    <t>Black/Red</t>
  </si>
  <si>
    <t>85005.240030</t>
  </si>
  <si>
    <t>8715738824324</t>
  </si>
  <si>
    <t>Calf Leash</t>
  </si>
  <si>
    <t>85005.240031</t>
  </si>
  <si>
    <t>8715738824331</t>
  </si>
  <si>
    <t>Ankle Leash</t>
  </si>
  <si>
    <t>85005.240032</t>
  </si>
  <si>
    <t>8715738849846</t>
  </si>
  <si>
    <t>Coiled Ankle Leash</t>
  </si>
  <si>
    <t>85005.240060</t>
  </si>
  <si>
    <t>8715738824287</t>
  </si>
  <si>
    <t>Inflatable Board Pump</t>
  </si>
  <si>
    <t>85005.240070</t>
  </si>
  <si>
    <t>8715738824362</t>
  </si>
  <si>
    <t>North Hexcel Coremat Finset</t>
  </si>
  <si>
    <t>8715738824379</t>
  </si>
  <si>
    <t>85005.240079</t>
  </si>
  <si>
    <t>8715738821835</t>
  </si>
  <si>
    <t>Kite &amp; Wing Pump</t>
  </si>
  <si>
    <t>8715738821842</t>
  </si>
  <si>
    <t>85005.240081</t>
  </si>
  <si>
    <t>8715738849631</t>
  </si>
  <si>
    <t>Waist Wing Leash</t>
  </si>
  <si>
    <t>85005.240082</t>
  </si>
  <si>
    <t>8715738849648</t>
  </si>
  <si>
    <t>Waist Board Leash</t>
  </si>
  <si>
    <t>85005.260100</t>
  </si>
  <si>
    <t>8715738898561</t>
  </si>
  <si>
    <t>North Duffle Bag Small</t>
  </si>
  <si>
    <t>85005.260101</t>
  </si>
  <si>
    <t>8715738898578</t>
  </si>
  <si>
    <t>North Duffle Bag Large</t>
  </si>
  <si>
    <t>631</t>
  </si>
  <si>
    <t>Green/Grey</t>
  </si>
  <si>
    <t>85007.210028</t>
  </si>
  <si>
    <t>8715738724730</t>
  </si>
  <si>
    <t>Freestyle Leash Ring</t>
  </si>
  <si>
    <t>909</t>
  </si>
  <si>
    <t>Steel Grey</t>
  </si>
  <si>
    <t>85007.240025</t>
  </si>
  <si>
    <t>8715738848825</t>
  </si>
  <si>
    <t>Slide Surf Loop</t>
  </si>
  <si>
    <t>85007.240028</t>
  </si>
  <si>
    <t>8715738848856</t>
  </si>
  <si>
    <t>Freestyle Leash Ring - PRO</t>
  </si>
  <si>
    <t>85007.240061</t>
  </si>
  <si>
    <t>8715738848993</t>
  </si>
  <si>
    <t>2m Line Extensions</t>
  </si>
  <si>
    <t>85007.240065</t>
  </si>
  <si>
    <t>8715738863293</t>
  </si>
  <si>
    <t>Self Adhesive Stick-On Fin</t>
  </si>
  <si>
    <t>85007.240111</t>
  </si>
  <si>
    <t>8715738859487</t>
  </si>
  <si>
    <t>High V Split Kit</t>
  </si>
  <si>
    <t>85008.230050</t>
  </si>
  <si>
    <t>8715738784598</t>
  </si>
  <si>
    <t>Seek Air Fin</t>
  </si>
  <si>
    <t>85008.230074</t>
  </si>
  <si>
    <t>8715738814110</t>
  </si>
  <si>
    <t>Foilboard Rail Tape</t>
  </si>
  <si>
    <t>85008.230075</t>
  </si>
  <si>
    <t>8715738814127</t>
  </si>
  <si>
    <t>Foil &amp; Bindings Tool Kit</t>
  </si>
  <si>
    <t>85008.240071</t>
  </si>
  <si>
    <t>8715738825215</t>
  </si>
  <si>
    <t>Twintip Accessory Kit</t>
  </si>
  <si>
    <t>40mm</t>
  </si>
  <si>
    <t>8715738825222</t>
  </si>
  <si>
    <t>50mm</t>
  </si>
  <si>
    <t>85009.210142</t>
  </si>
  <si>
    <t>8715738732384</t>
  </si>
  <si>
    <t>Sonar Wing Screw Pack G (M8x35)</t>
  </si>
  <si>
    <t>85009.220134</t>
  </si>
  <si>
    <t>8715738766471</t>
  </si>
  <si>
    <t>Dropbox Screw Pack - 25mm</t>
  </si>
  <si>
    <t>85009.230136</t>
  </si>
  <si>
    <t>8715738813991</t>
  </si>
  <si>
    <t>Dropbox Fin Adaptor</t>
  </si>
  <si>
    <t>85009.230160</t>
  </si>
  <si>
    <t>8715738814172</t>
  </si>
  <si>
    <t>Sonar Session Saver Box</t>
  </si>
  <si>
    <t>85009.230161</t>
  </si>
  <si>
    <t>8715738814189</t>
  </si>
  <si>
    <t>Sonar T40 Tool</t>
  </si>
  <si>
    <t>85009.230162</t>
  </si>
  <si>
    <t>8715738814196</t>
  </si>
  <si>
    <t>North Multi Tool</t>
  </si>
  <si>
    <t>85009.230163</t>
  </si>
  <si>
    <t>8715738814202</t>
  </si>
  <si>
    <t>Sonar Marine Grease</t>
  </si>
  <si>
    <t>85009.240131</t>
  </si>
  <si>
    <t>8715738849839</t>
  </si>
  <si>
    <t>Sonar Travel Bag</t>
  </si>
  <si>
    <t>85009.240137</t>
  </si>
  <si>
    <t>8715738849853</t>
  </si>
  <si>
    <t>Dropbox Thumb Screw Set</t>
  </si>
  <si>
    <t>85009.240162</t>
  </si>
  <si>
    <t>8715738849709</t>
  </si>
  <si>
    <t>North Multitool Driver Bits set of 5</t>
  </si>
  <si>
    <t>Ph3</t>
  </si>
  <si>
    <t>8715738849716</t>
  </si>
  <si>
    <t>T40</t>
  </si>
  <si>
    <t>85009.240170</t>
  </si>
  <si>
    <t>8715738858503</t>
  </si>
  <si>
    <t>Sonar T40 Micro Tool</t>
  </si>
  <si>
    <t>85009.260115</t>
  </si>
  <si>
    <t>8715738898608</t>
  </si>
  <si>
    <t>T40 Tool Set of 10</t>
  </si>
  <si>
    <t>85009.260120</t>
  </si>
  <si>
    <t>8715738898615</t>
  </si>
  <si>
    <t>Multi Tool Pack of 10</t>
  </si>
  <si>
    <t>85015.220101</t>
  </si>
  <si>
    <t>8715738780330</t>
  </si>
  <si>
    <t>2022 Wing Handle</t>
  </si>
  <si>
    <t>400mm</t>
  </si>
  <si>
    <t>8715738780347</t>
  </si>
  <si>
    <t>500mm</t>
  </si>
  <si>
    <t>85015.230105</t>
  </si>
  <si>
    <t>8715738814134</t>
  </si>
  <si>
    <t>Wing Handle - Carbon</t>
  </si>
  <si>
    <t>8715738814141</t>
  </si>
  <si>
    <t>85015.230106</t>
  </si>
  <si>
    <t>8715738814158</t>
  </si>
  <si>
    <t>Wing Harness loop fixed</t>
  </si>
  <si>
    <t>22inch</t>
  </si>
  <si>
    <t>8715738814165</t>
  </si>
  <si>
    <t>26inch</t>
  </si>
  <si>
    <t>8715738865983</t>
  </si>
  <si>
    <t>30inch</t>
  </si>
  <si>
    <t>85015.240083</t>
  </si>
  <si>
    <t>8715738858510</t>
  </si>
  <si>
    <t>Griplock Bridge Boom</t>
  </si>
  <si>
    <t>85015.240107</t>
  </si>
  <si>
    <t>8715738848542</t>
  </si>
  <si>
    <t>ShiftLock Action Camera Mount</t>
  </si>
  <si>
    <t>85015.240110</t>
  </si>
  <si>
    <t>8715738848573</t>
  </si>
  <si>
    <t>GripLock Handle Bumper</t>
  </si>
  <si>
    <t>800</t>
  </si>
  <si>
    <t>Grey</t>
  </si>
  <si>
    <t>85015.240111</t>
  </si>
  <si>
    <t>8715738858497</t>
  </si>
  <si>
    <t>N-Fix Canopy Repair Tape</t>
  </si>
  <si>
    <t>85015.240112</t>
  </si>
  <si>
    <t>8715738865785</t>
  </si>
  <si>
    <t>ShiftLock Paddle Mount</t>
  </si>
  <si>
    <t>85015.250145</t>
  </si>
  <si>
    <t>8715738876866</t>
  </si>
  <si>
    <t>Sonar Mast Shim</t>
  </si>
  <si>
    <t>85015.250280</t>
  </si>
  <si>
    <t>8715738887848</t>
  </si>
  <si>
    <t>Griplock Wing Boom</t>
  </si>
  <si>
    <t>950mm</t>
  </si>
  <si>
    <t>8715738887855</t>
  </si>
  <si>
    <t>1100mm</t>
  </si>
  <si>
    <t>85015.240120</t>
  </si>
  <si>
    <t>8715738824294</t>
  </si>
  <si>
    <t>Wrist Wing Leash</t>
  </si>
  <si>
    <t>8715738824300</t>
  </si>
  <si>
    <t>8715738824317</t>
  </si>
  <si>
    <t>85015.260125</t>
  </si>
  <si>
    <t>8715738911888</t>
  </si>
  <si>
    <t>Harness Loops Pack of 10</t>
  </si>
  <si>
    <t>8715738914094</t>
  </si>
  <si>
    <t>8715738911895</t>
  </si>
  <si>
    <t>North Boards/BindingsSparePart</t>
  </si>
  <si>
    <t>85003.260045</t>
  </si>
  <si>
    <t>8715738910058</t>
  </si>
  <si>
    <t>Flex Pro Strap Adjuster (Pair)</t>
  </si>
  <si>
    <t>85008.210072</t>
  </si>
  <si>
    <t>8715738711228</t>
  </si>
  <si>
    <t>Board Vent Plug</t>
  </si>
  <si>
    <t>85008.230051</t>
  </si>
  <si>
    <t>8715738784604</t>
  </si>
  <si>
    <t>Seek Air Repair Material</t>
  </si>
  <si>
    <t>85008.230052</t>
  </si>
  <si>
    <t>8715738784611</t>
  </si>
  <si>
    <t>Inflatable Board Valve</t>
  </si>
  <si>
    <t>85008.230053</t>
  </si>
  <si>
    <t>8715738812802</t>
  </si>
  <si>
    <t>Seek Air Strap Screw Pack</t>
  </si>
  <si>
    <t>85008.230121</t>
  </si>
  <si>
    <t>8715738814219</t>
  </si>
  <si>
    <t>Free-Lo Strap Washers - set of 4</t>
  </si>
  <si>
    <t>North Wing Spare Parts</t>
  </si>
  <si>
    <t>85015.220102</t>
  </si>
  <si>
    <t>8715738776838</t>
  </si>
  <si>
    <t>2022 Wing Handle Screw Pack</t>
  </si>
  <si>
    <t xml:space="preserve">Carry over </t>
  </si>
  <si>
    <t>85015.230050</t>
  </si>
  <si>
    <t>8715738784628</t>
  </si>
  <si>
    <t>Round Battens set of 3</t>
  </si>
  <si>
    <t>25cm</t>
  </si>
  <si>
    <t>85015.230124</t>
  </si>
  <si>
    <t>8715738784727</t>
  </si>
  <si>
    <t>2023 N-Weave Repair Material</t>
  </si>
  <si>
    <t>85015.230125</t>
  </si>
  <si>
    <t>8715738815049</t>
  </si>
  <si>
    <t>2023 Wing Dacron Repair Material</t>
  </si>
  <si>
    <t>85015.240108</t>
  </si>
  <si>
    <t>8715738848559</t>
  </si>
  <si>
    <t>ShiftLock Replacement Clamps with Screws (set of 2)</t>
  </si>
  <si>
    <t>85015.240109</t>
  </si>
  <si>
    <t>8715738848566</t>
  </si>
  <si>
    <t>ShiftLock Replacement Screws (set of 4)</t>
  </si>
  <si>
    <t>85015.240124</t>
  </si>
  <si>
    <t>8715738823433</t>
  </si>
  <si>
    <t>2024 N-Weave Repair Material</t>
  </si>
  <si>
    <t>85015.250141</t>
  </si>
  <si>
    <t>8715738887749</t>
  </si>
  <si>
    <t>Aluula Repair Material</t>
  </si>
  <si>
    <t>199</t>
  </si>
  <si>
    <t>Gold</t>
  </si>
  <si>
    <t>North Foil Spare Parts</t>
  </si>
  <si>
    <t>Sonar Board Adaptor Screw Pack A</t>
  </si>
  <si>
    <t>Sonar Fuselage Screw Pack B</t>
  </si>
  <si>
    <t>Sonar Stabilizer Screw Pack C</t>
  </si>
  <si>
    <t>Sonar Wing Screw Pack D (M8x25)</t>
  </si>
  <si>
    <t>Sonar Wing Screw Pack E (M8x33)</t>
  </si>
  <si>
    <t>Sonar Wing Screw Pack F (M8x30)</t>
  </si>
  <si>
    <t>85009.230135</t>
  </si>
  <si>
    <t>8715738784635</t>
  </si>
  <si>
    <t>Dropbox Screw Pack - 23mm</t>
  </si>
  <si>
    <t>Sonar Wing Screw Pack H (M8x23)</t>
  </si>
  <si>
    <t>Sonar Carbon Fuselage Screw Pack B2</t>
  </si>
  <si>
    <t>85009.240165</t>
  </si>
  <si>
    <t>8715738849945</t>
  </si>
  <si>
    <t>Sonar Wing Screw Pack I (M8x40)</t>
  </si>
  <si>
    <t>85009.250184</t>
  </si>
  <si>
    <t>Sonar Fuselage Screw Pack B3</t>
  </si>
  <si>
    <t xml:space="preserve">Bridles &amp; Bladders </t>
  </si>
  <si>
    <t>85006.250261</t>
  </si>
  <si>
    <t>8715738887992</t>
  </si>
  <si>
    <t>Bladder Leading Edge Pulse - 5 Line</t>
  </si>
  <si>
    <t>8715738888005</t>
  </si>
  <si>
    <t>8715738888012</t>
  </si>
  <si>
    <t>8715738888029</t>
  </si>
  <si>
    <t>85006.250262</t>
  </si>
  <si>
    <t>8715738887954</t>
  </si>
  <si>
    <t>Bladder Leading Edge Orbit Ultra</t>
  </si>
  <si>
    <t>5.9</t>
  </si>
  <si>
    <t>8715738887961</t>
  </si>
  <si>
    <t>6.6</t>
  </si>
  <si>
    <t>8715738887978</t>
  </si>
  <si>
    <t>7.3</t>
  </si>
  <si>
    <t>8715738887985</t>
  </si>
  <si>
    <t>85006.250280</t>
  </si>
  <si>
    <t>8715738887329</t>
  </si>
  <si>
    <t>2025 Orbit Ultra Canopy Repair Material</t>
  </si>
  <si>
    <t>810</t>
  </si>
  <si>
    <t>Storm Grey</t>
  </si>
  <si>
    <t>85006.260058</t>
  </si>
  <si>
    <t>8715738897182</t>
  </si>
  <si>
    <t>2026 Bridle set Orbit</t>
  </si>
  <si>
    <t>8715738897199</t>
  </si>
  <si>
    <t>8715738897205</t>
  </si>
  <si>
    <t>8715738897212</t>
  </si>
  <si>
    <t>8715738897229</t>
  </si>
  <si>
    <t>8715738897236</t>
  </si>
  <si>
    <t>8715738897243</t>
  </si>
  <si>
    <t>8715738897250</t>
  </si>
  <si>
    <t>85006.260063</t>
  </si>
  <si>
    <t>8715738910331</t>
  </si>
  <si>
    <t>2026 Bridle set Reach</t>
  </si>
  <si>
    <t>8715738910348</t>
  </si>
  <si>
    <t>8715738910355</t>
  </si>
  <si>
    <t>8715738910362</t>
  </si>
  <si>
    <t>8715738910379</t>
  </si>
  <si>
    <t>8715738910386</t>
  </si>
  <si>
    <t>8715738910393</t>
  </si>
  <si>
    <t>8715738910409</t>
  </si>
  <si>
    <t>8715738910416</t>
  </si>
  <si>
    <t>8715738910423</t>
  </si>
  <si>
    <t>8715738910430</t>
  </si>
  <si>
    <t>8715738910447</t>
  </si>
  <si>
    <t>85006.260071</t>
  </si>
  <si>
    <t>8715738897267</t>
  </si>
  <si>
    <t>2026 Bridle set Orbit Ultra</t>
  </si>
  <si>
    <t>8715738897274</t>
  </si>
  <si>
    <t>8715738897281</t>
  </si>
  <si>
    <t>8715738897298</t>
  </si>
  <si>
    <t>8715738897304</t>
  </si>
  <si>
    <t>8715738897311</t>
  </si>
  <si>
    <t>8715738897328</t>
  </si>
  <si>
    <t>8715738897335</t>
  </si>
  <si>
    <t>85006.260074</t>
  </si>
  <si>
    <t>8715738899018</t>
  </si>
  <si>
    <t>2026 Bridle set Reach Ultra</t>
  </si>
  <si>
    <t>8715738899025</t>
  </si>
  <si>
    <t>8715738897373</t>
  </si>
  <si>
    <t>8715738897380</t>
  </si>
  <si>
    <t>8715738897397</t>
  </si>
  <si>
    <t>8715738897403</t>
  </si>
  <si>
    <t>8715738897410</t>
  </si>
  <si>
    <t>8715738897427</t>
  </si>
  <si>
    <t>8715738897434</t>
  </si>
  <si>
    <t>85006.260265</t>
  </si>
  <si>
    <t>8715738898899</t>
  </si>
  <si>
    <t>2026 Bridle Set Ranger Parawing</t>
  </si>
  <si>
    <t>8715738898905</t>
  </si>
  <si>
    <t>8715738898912</t>
  </si>
  <si>
    <t>8715738898929</t>
  </si>
  <si>
    <t>85006.250205</t>
  </si>
  <si>
    <t>8715738889422</t>
  </si>
  <si>
    <t>Bladder Strut - Wing</t>
  </si>
  <si>
    <t>197</t>
  </si>
  <si>
    <t>Transparant</t>
  </si>
  <si>
    <t>W-S165</t>
  </si>
  <si>
    <t>8715738889897</t>
  </si>
  <si>
    <t>W-S180</t>
  </si>
  <si>
    <t>8715738910782</t>
  </si>
  <si>
    <t>W-S190</t>
  </si>
  <si>
    <t>8715738889903</t>
  </si>
  <si>
    <t>W-S195</t>
  </si>
  <si>
    <t>8715738910799</t>
  </si>
  <si>
    <t>W-S200</t>
  </si>
  <si>
    <t>8715738889910</t>
  </si>
  <si>
    <t>W-S215</t>
  </si>
  <si>
    <t>8715738910805</t>
  </si>
  <si>
    <t>W-S220</t>
  </si>
  <si>
    <t>8715738889927</t>
  </si>
  <si>
    <t>W-S225</t>
  </si>
  <si>
    <t>8715738889934</t>
  </si>
  <si>
    <t>W-S230</t>
  </si>
  <si>
    <t>8715738910812</t>
  </si>
  <si>
    <t>W-S235</t>
  </si>
  <si>
    <t>8715738910829</t>
  </si>
  <si>
    <t>W-S250</t>
  </si>
  <si>
    <t>8715738910836</t>
  </si>
  <si>
    <t>W-S270</t>
  </si>
  <si>
    <t>8715738889989</t>
  </si>
  <si>
    <t>W-S290</t>
  </si>
  <si>
    <t>8715738910843</t>
  </si>
  <si>
    <t>W-S310</t>
  </si>
  <si>
    <t>85006.250206</t>
  </si>
  <si>
    <t>8715738889996</t>
  </si>
  <si>
    <t>Bladder Leading Edge - Wing</t>
  </si>
  <si>
    <t>W-LE370</t>
  </si>
  <si>
    <t>8715738890008</t>
  </si>
  <si>
    <t>W-LE425</t>
  </si>
  <si>
    <t>8715738890015</t>
  </si>
  <si>
    <t>W-LE465</t>
  </si>
  <si>
    <t>8715738910850</t>
  </si>
  <si>
    <t>W-LE500</t>
  </si>
  <si>
    <t>8715738890022</t>
  </si>
  <si>
    <t>W-LE515</t>
  </si>
  <si>
    <t>8715738890039</t>
  </si>
  <si>
    <t>W-LE535</t>
  </si>
  <si>
    <t>8715738910867</t>
  </si>
  <si>
    <t>W-LE545</t>
  </si>
  <si>
    <t>8715738890046</t>
  </si>
  <si>
    <t>W-LE565</t>
  </si>
  <si>
    <t>8715738910904</t>
  </si>
  <si>
    <t>W-LE585</t>
  </si>
  <si>
    <t>8715738889675</t>
  </si>
  <si>
    <t>W-LE615</t>
  </si>
  <si>
    <t>8715738910874</t>
  </si>
  <si>
    <t>W-LE620</t>
  </si>
  <si>
    <t>8715738910881</t>
  </si>
  <si>
    <t>W-LE695</t>
  </si>
  <si>
    <t>8715738910898</t>
  </si>
  <si>
    <t>W-LE730</t>
  </si>
  <si>
    <t>85015.240125</t>
  </si>
  <si>
    <t>8715738825277</t>
  </si>
  <si>
    <t>2024 Wing Dacron Repair Material</t>
  </si>
  <si>
    <t>85015.240130</t>
  </si>
  <si>
    <t>8715738887022</t>
  </si>
  <si>
    <t>Canopy Repair Material N-X6</t>
  </si>
  <si>
    <t xml:space="preserve">Spare Parts </t>
  </si>
  <si>
    <t>85006.240052</t>
  </si>
  <si>
    <t>8715738824393</t>
  </si>
  <si>
    <t>Hyperflow Inflation Valve Cover</t>
  </si>
  <si>
    <t>85006.240054</t>
  </si>
  <si>
    <t>8715738824218</t>
  </si>
  <si>
    <t>Hyperflow Pinch Clamp set of 5</t>
  </si>
  <si>
    <t>85006.240055</t>
  </si>
  <si>
    <t>8715738824225</t>
  </si>
  <si>
    <t>Hyperflow Pinch Clamp Cover set of 5</t>
  </si>
  <si>
    <t>85006.250270</t>
  </si>
  <si>
    <t>8715738887312</t>
  </si>
  <si>
    <t>Hyperflow Inflation Valve Ring Seal Pack - Set of 25</t>
  </si>
  <si>
    <t>85007.220022</t>
  </si>
  <si>
    <t>8715738742741</t>
  </si>
  <si>
    <t>Short Freeride Loop with Finger</t>
  </si>
  <si>
    <t>85007.220023</t>
  </si>
  <si>
    <t>8715738742758</t>
  </si>
  <si>
    <t>Standard Freeride Loop with Finger</t>
  </si>
  <si>
    <t>85007.220030</t>
  </si>
  <si>
    <t>8715738742796</t>
  </si>
  <si>
    <t>Standard Freestyle Loop with Finger</t>
  </si>
  <si>
    <t>85007.240024</t>
  </si>
  <si>
    <t>8715738848818</t>
  </si>
  <si>
    <t>Freeride Loop</t>
  </si>
  <si>
    <t>85007.240026</t>
  </si>
  <si>
    <t>8715738848832</t>
  </si>
  <si>
    <t>Freestyle Loop</t>
  </si>
  <si>
    <t>85007.250064</t>
  </si>
  <si>
    <t>8715738864320</t>
  </si>
  <si>
    <t>5th Line Kit</t>
  </si>
  <si>
    <t>85008.240073</t>
  </si>
  <si>
    <t>8715738824447</t>
  </si>
  <si>
    <t>Grub Screw Kit (FCS)</t>
  </si>
  <si>
    <t>85008.240116</t>
  </si>
  <si>
    <t>8715738824386</t>
  </si>
  <si>
    <t>Flare Twintip Accessory Kit</t>
  </si>
  <si>
    <t>20mm</t>
  </si>
  <si>
    <t>85008.240117</t>
  </si>
  <si>
    <t>8715738861442</t>
  </si>
  <si>
    <t>Twintip Handle set of 5</t>
  </si>
  <si>
    <t>85008.240118</t>
  </si>
  <si>
    <t>8715738825727</t>
  </si>
  <si>
    <t>TT handle extension</t>
  </si>
  <si>
    <t>15mm</t>
  </si>
  <si>
    <t>85009.250208</t>
  </si>
  <si>
    <t>8715738890107</t>
  </si>
  <si>
    <t>Hydro Thumbscrew Set</t>
  </si>
  <si>
    <t>85008.240110</t>
  </si>
  <si>
    <t>8715738824263</t>
  </si>
  <si>
    <t>Free Strap M6 Screws (Sense) set of 5</t>
  </si>
  <si>
    <t>85008.240111</t>
  </si>
  <si>
    <t>8715738824249</t>
  </si>
  <si>
    <t>Twintip Hardware Screws M6x16mm, set of 10</t>
  </si>
  <si>
    <t>85008.240112</t>
  </si>
  <si>
    <t>8715738824195</t>
  </si>
  <si>
    <t>Free Strap Self-Tapping Screws 6.3x25mm set of 5</t>
  </si>
  <si>
    <t>85008.240113</t>
  </si>
  <si>
    <t>8715738824256</t>
  </si>
  <si>
    <t>Twintip Fin Washers set of 4</t>
  </si>
  <si>
    <t>85008.240114</t>
  </si>
  <si>
    <t>8715738824270</t>
  </si>
  <si>
    <t>Free Surf Strap Washers set of 5</t>
  </si>
  <si>
    <t>85008.240115</t>
  </si>
  <si>
    <t>8715738825239</t>
  </si>
  <si>
    <t>Free Foil Strap Washers set of 4</t>
  </si>
  <si>
    <t>85008.240120</t>
  </si>
  <si>
    <t>8715738824201</t>
  </si>
  <si>
    <t>Free-V Foil Strap Washers set of 5</t>
  </si>
  <si>
    <t>North CS Spare Parts</t>
  </si>
  <si>
    <t>85007.210044</t>
  </si>
  <si>
    <t>8715738700284</t>
  </si>
  <si>
    <t>Depower Main Line complete with Tubing</t>
  </si>
  <si>
    <t>85007.210045</t>
  </si>
  <si>
    <t>8715738700291</t>
  </si>
  <si>
    <t>Elasticised Trim Line</t>
  </si>
  <si>
    <t>85007.210046</t>
  </si>
  <si>
    <t>8715738700307</t>
  </si>
  <si>
    <t>Landing Line</t>
  </si>
  <si>
    <t>85007.210047</t>
  </si>
  <si>
    <t>8715738700352</t>
  </si>
  <si>
    <t>Leader Line set of 2</t>
  </si>
  <si>
    <t>85007.220032</t>
  </si>
  <si>
    <t>8715738742802</t>
  </si>
  <si>
    <t>Short Connect Security Finger</t>
  </si>
  <si>
    <t>85007.220033</t>
  </si>
  <si>
    <t>8715738742819</t>
  </si>
  <si>
    <t>Standard Connect Security Finger</t>
  </si>
  <si>
    <t>85007.220038</t>
  </si>
  <si>
    <t>8715738741447</t>
  </si>
  <si>
    <t>Connect Quick Release</t>
  </si>
  <si>
    <t>85007.220050</t>
  </si>
  <si>
    <t>8715738741461</t>
  </si>
  <si>
    <t>2022 Bar width inserts</t>
  </si>
  <si>
    <t>85007.220107</t>
  </si>
  <si>
    <t>8715738741478</t>
  </si>
  <si>
    <t>Control Bar with Leaders</t>
  </si>
  <si>
    <t>8715738741485</t>
  </si>
  <si>
    <t>8715738741492</t>
  </si>
  <si>
    <t>85007.240027</t>
  </si>
  <si>
    <t>8715738848849</t>
  </si>
  <si>
    <t>Security Finger</t>
  </si>
  <si>
    <t>85007.240038</t>
  </si>
  <si>
    <t>8715738848863</t>
  </si>
  <si>
    <t>Connect Quick Release - Pro</t>
  </si>
  <si>
    <t>85007.240044</t>
  </si>
  <si>
    <t>8715738848948</t>
  </si>
  <si>
    <t>Depower Mainline with 5x8 Tube</t>
  </si>
  <si>
    <t>85007.240048</t>
  </si>
  <si>
    <t>8715738833296</t>
  </si>
  <si>
    <t>Depower Main Line Complete with Tubing - Short Throw</t>
  </si>
  <si>
    <t>85007.240049</t>
  </si>
  <si>
    <t>8715738833364</t>
  </si>
  <si>
    <t>Landing Line - Short Throw</t>
  </si>
  <si>
    <t>85007.240051</t>
  </si>
  <si>
    <t>8715738833302</t>
  </si>
  <si>
    <t>Bar Width Inserts + Leader Lines - Short Throw</t>
  </si>
  <si>
    <t>85007.240052</t>
  </si>
  <si>
    <t>8715738887039</t>
  </si>
  <si>
    <t>Line Winder Bungee set of 2</t>
  </si>
  <si>
    <t>8715738849891</t>
  </si>
  <si>
    <t>8715738849907</t>
  </si>
  <si>
    <t>85007.240053</t>
  </si>
  <si>
    <t>8715738848900</t>
  </si>
  <si>
    <t>Bar Width Inserts + Leader Lines - PRO</t>
  </si>
  <si>
    <t>85007.240057</t>
  </si>
  <si>
    <t>8715738849914</t>
  </si>
  <si>
    <t>Landing Line - PRO</t>
  </si>
  <si>
    <t>85007.240058</t>
  </si>
  <si>
    <t>8715738849921</t>
  </si>
  <si>
    <t>Landing Line Tube with Inserts - PRO</t>
  </si>
  <si>
    <t>85007.240059</t>
  </si>
  <si>
    <t>8715738849938</t>
  </si>
  <si>
    <t>Navigator Replacement Bearing</t>
  </si>
  <si>
    <t>85007.240104</t>
  </si>
  <si>
    <t>8715738850125</t>
  </si>
  <si>
    <t>Trim handle &amp; Stopper ball - Pro</t>
  </si>
  <si>
    <t>85007.240105</t>
  </si>
  <si>
    <t>8715738833289</t>
  </si>
  <si>
    <t>Trim handle and stopper ball - Short Throw</t>
  </si>
  <si>
    <t>85007.240109</t>
  </si>
  <si>
    <t>8715738848955</t>
  </si>
  <si>
    <t>Cleat Kit - PRO</t>
  </si>
  <si>
    <t>85007.240119</t>
  </si>
  <si>
    <t>8715738824232</t>
  </si>
  <si>
    <t>LockGuard Safety Ring with pull tab set 2</t>
  </si>
  <si>
    <t>85007.260106</t>
  </si>
  <si>
    <t>8715738910546</t>
  </si>
  <si>
    <t>Trim Handle and stopper ball - PRO Short Throw</t>
  </si>
  <si>
    <t>85007.250107</t>
  </si>
  <si>
    <t>8715738866461</t>
  </si>
  <si>
    <t>Fixed Line Stopper - Bag of 5</t>
  </si>
  <si>
    <r>
      <t xml:space="preserve">APPAREL &amp; POS  &gt; </t>
    </r>
    <r>
      <rPr>
        <b/>
        <sz val="10"/>
        <color rgb="FFFF0000"/>
        <rFont val="Aptos Display"/>
        <family val="2"/>
      </rPr>
      <t xml:space="preserve">NO DISCOUNT </t>
    </r>
  </si>
  <si>
    <t>North Tees/Polos/Shirts Men</t>
  </si>
  <si>
    <t>Apparel &amp; POS</t>
  </si>
  <si>
    <t>85105.240023</t>
  </si>
  <si>
    <t>8715738821651</t>
  </si>
  <si>
    <t>Horizon Quick Dry S/S Tee</t>
  </si>
  <si>
    <t>910</t>
  </si>
  <si>
    <t>Caviar</t>
  </si>
  <si>
    <t>XS</t>
  </si>
  <si>
    <t>8715738821668</t>
  </si>
  <si>
    <t>8715738821675</t>
  </si>
  <si>
    <t>8715738821682</t>
  </si>
  <si>
    <t>8715738821699</t>
  </si>
  <si>
    <t>8715738821705</t>
  </si>
  <si>
    <t>XXL</t>
  </si>
  <si>
    <t>85105.250015</t>
  </si>
  <si>
    <t>8715738861923</t>
  </si>
  <si>
    <t>Classic Tee</t>
  </si>
  <si>
    <t>707</t>
  </si>
  <si>
    <t>Sand Grey</t>
  </si>
  <si>
    <t>8715738861930</t>
  </si>
  <si>
    <t>8715738861947</t>
  </si>
  <si>
    <t>8715738861954</t>
  </si>
  <si>
    <t>8715738861961</t>
  </si>
  <si>
    <t>85105.250020</t>
  </si>
  <si>
    <t>8715738861978</t>
  </si>
  <si>
    <t>Extreme Tee</t>
  </si>
  <si>
    <t>608</t>
  </si>
  <si>
    <t>Brave Green</t>
  </si>
  <si>
    <t>8715738861985</t>
  </si>
  <si>
    <t>8715738861992</t>
  </si>
  <si>
    <t>8715738862005</t>
  </si>
  <si>
    <t>8715738862012</t>
  </si>
  <si>
    <t>85105.250040</t>
  </si>
  <si>
    <t>8715738862173</t>
  </si>
  <si>
    <t>Voyager Tee</t>
  </si>
  <si>
    <t>410</t>
  </si>
  <si>
    <t>Navy</t>
  </si>
  <si>
    <t>8715738862180</t>
  </si>
  <si>
    <t>8715738862197</t>
  </si>
  <si>
    <t>8715738862203</t>
  </si>
  <si>
    <t>8715738862210</t>
  </si>
  <si>
    <t>North Accessories LS</t>
  </si>
  <si>
    <t>85108.240025</t>
  </si>
  <si>
    <t>8715738821354</t>
  </si>
  <si>
    <t>Iconic Cap</t>
  </si>
  <si>
    <t>802</t>
  </si>
  <si>
    <t>Dark Grey</t>
  </si>
  <si>
    <t>85108.240026</t>
  </si>
  <si>
    <t>8715738821361</t>
  </si>
  <si>
    <t>Wordmark Cap</t>
  </si>
  <si>
    <t>85108.240027</t>
  </si>
  <si>
    <t>8715738821378</t>
  </si>
  <si>
    <t>Brand Cap</t>
  </si>
  <si>
    <t>85108.240028</t>
  </si>
  <si>
    <t>8715738821385</t>
  </si>
  <si>
    <t>Ease Cap</t>
  </si>
  <si>
    <t>706</t>
  </si>
  <si>
    <t>Warm Sand</t>
  </si>
  <si>
    <t>85108.240029</t>
  </si>
  <si>
    <t>8715738821392</t>
  </si>
  <si>
    <t>Horizon Cap</t>
  </si>
  <si>
    <t>640</t>
  </si>
  <si>
    <t>Olive Green</t>
  </si>
  <si>
    <t>8715738821408</t>
  </si>
  <si>
    <t>842</t>
  </si>
  <si>
    <t>Carbon</t>
  </si>
  <si>
    <t>85108.240030</t>
  </si>
  <si>
    <t>8715738821415</t>
  </si>
  <si>
    <t>Seeker Cap</t>
  </si>
  <si>
    <t>8715738821422</t>
  </si>
  <si>
    <t>704</t>
  </si>
  <si>
    <t>Golden Brown</t>
  </si>
  <si>
    <t>85108.240031</t>
  </si>
  <si>
    <t>8715738821439</t>
  </si>
  <si>
    <t>Heartfelt Cap</t>
  </si>
  <si>
    <t>85108.240033</t>
  </si>
  <si>
    <t>8715738845091</t>
  </si>
  <si>
    <t>Horizon Sun Hat</t>
  </si>
  <si>
    <t>8715738845107</t>
  </si>
  <si>
    <t>85108.240034</t>
  </si>
  <si>
    <t>8715738821569</t>
  </si>
  <si>
    <t>Seaside Beanie</t>
  </si>
  <si>
    <t>8715738821576</t>
  </si>
  <si>
    <t>870</t>
  </si>
  <si>
    <t>Pumice</t>
  </si>
  <si>
    <t>85108.240035</t>
  </si>
  <si>
    <t>8715738821453</t>
  </si>
  <si>
    <t>Passage Beanie</t>
  </si>
  <si>
    <t>420</t>
  </si>
  <si>
    <t>Sailor Blue</t>
  </si>
  <si>
    <t>8715738821460</t>
  </si>
  <si>
    <t>85108.250050</t>
  </si>
  <si>
    <t>8715738863248</t>
  </si>
  <si>
    <t>Classic Cap</t>
  </si>
  <si>
    <t>Blue</t>
  </si>
  <si>
    <t>85108.250055</t>
  </si>
  <si>
    <t>8715738863255</t>
  </si>
  <si>
    <t>Extreme Cap</t>
  </si>
  <si>
    <t>643</t>
  </si>
  <si>
    <t>Dark Olive</t>
  </si>
  <si>
    <t>85108.250060</t>
  </si>
  <si>
    <t>8715738863231</t>
  </si>
  <si>
    <t>Freedom Cap</t>
  </si>
  <si>
    <t>85108.250065</t>
  </si>
  <si>
    <t>8715738863224</t>
  </si>
  <si>
    <t>Icon Cap</t>
  </si>
  <si>
    <t>85108.250070</t>
  </si>
  <si>
    <t>8715738863262</t>
  </si>
  <si>
    <t>Intuition Cap</t>
  </si>
  <si>
    <t>705</t>
  </si>
  <si>
    <t>Sand</t>
  </si>
  <si>
    <t>85108.250080</t>
  </si>
  <si>
    <t>8715738863279</t>
  </si>
  <si>
    <t>Waterman Hat</t>
  </si>
  <si>
    <t>North Poncho's</t>
  </si>
  <si>
    <t>85118.240040</t>
  </si>
  <si>
    <t>8715738821484</t>
  </si>
  <si>
    <t>Brand Poncho</t>
  </si>
  <si>
    <t>626</t>
  </si>
  <si>
    <t>Seasalt Green</t>
  </si>
  <si>
    <t>8715738821491</t>
  </si>
  <si>
    <t>85005.260112</t>
  </si>
  <si>
    <t>8715738912250</t>
  </si>
  <si>
    <t>ShiftLock Demo Strut</t>
  </si>
  <si>
    <t>85011.241001</t>
  </si>
  <si>
    <t>8715738820890</t>
  </si>
  <si>
    <t>North Beach Tent</t>
  </si>
  <si>
    <t>85011.241002</t>
  </si>
  <si>
    <t>8715738820876</t>
  </si>
  <si>
    <t>North Party Tent</t>
  </si>
  <si>
    <t>85011.241003</t>
  </si>
  <si>
    <t>8715738820951</t>
  </si>
  <si>
    <t>North Windsock set of 3</t>
  </si>
  <si>
    <t>85011.241004</t>
  </si>
  <si>
    <t>8715738820913</t>
  </si>
  <si>
    <t>North Beachflag</t>
  </si>
  <si>
    <t>85011.241005</t>
  </si>
  <si>
    <t>8715738820906</t>
  </si>
  <si>
    <t>North Beachflag (no poles)</t>
  </si>
  <si>
    <t>85011.241007</t>
  </si>
  <si>
    <t>8715738820920</t>
  </si>
  <si>
    <t>North Banner set of 3</t>
  </si>
  <si>
    <t>1 x 3m</t>
  </si>
  <si>
    <t>85011.241009</t>
  </si>
  <si>
    <t>8715738820982</t>
  </si>
  <si>
    <t>North Buoy</t>
  </si>
  <si>
    <t>85011.241010</t>
  </si>
  <si>
    <t>8715738820883</t>
  </si>
  <si>
    <t>North Party Tent (no metal frame)</t>
  </si>
  <si>
    <t>85011.241011</t>
  </si>
  <si>
    <t>8715738820937</t>
  </si>
  <si>
    <t>North Wordmark Flag Small set of 3</t>
  </si>
  <si>
    <t>85011.241012</t>
  </si>
  <si>
    <t>8715738820944</t>
  </si>
  <si>
    <t>North Wordmark Flag Large set of 3</t>
  </si>
  <si>
    <t>85011.241013</t>
  </si>
  <si>
    <t>8715738820968</t>
  </si>
  <si>
    <t>North Logo Flag Small set of 3</t>
  </si>
  <si>
    <t>85011.241014</t>
  </si>
  <si>
    <t>8715738820975</t>
  </si>
  <si>
    <t>North Logo Flag Large set of 3</t>
  </si>
  <si>
    <t>85011.241018</t>
  </si>
  <si>
    <t>8715738825499</t>
  </si>
  <si>
    <t>North Twin Tip Board Hanger set of 10</t>
  </si>
  <si>
    <t>85011.241019</t>
  </si>
  <si>
    <t>8715738825505</t>
  </si>
  <si>
    <t>North Surf/Foil Board Hanger set of 10</t>
  </si>
  <si>
    <t>85011.241029</t>
  </si>
  <si>
    <t>8715738821026</t>
  </si>
  <si>
    <t>North Lanyard set of 10</t>
  </si>
  <si>
    <t>85011.241033</t>
  </si>
  <si>
    <t>8715738825536</t>
  </si>
  <si>
    <t>North Paper Bag Large set of 100</t>
  </si>
  <si>
    <t>700</t>
  </si>
  <si>
    <t>Brown</t>
  </si>
  <si>
    <t>85011.241035</t>
  </si>
  <si>
    <t>8715738825543</t>
  </si>
  <si>
    <t>North Shelf Logo</t>
  </si>
  <si>
    <t>85011.241038</t>
  </si>
  <si>
    <t>8715738825567</t>
  </si>
  <si>
    <t>North Logo Promo Sticker set of 10</t>
  </si>
  <si>
    <t>85011.241040</t>
  </si>
  <si>
    <t>8715738825581</t>
  </si>
  <si>
    <t>North Wordmark Promo Sticker Large set of 10</t>
  </si>
  <si>
    <t>85011.241070</t>
  </si>
  <si>
    <t>8715738821040</t>
  </si>
  <si>
    <t>North Dealer Sticker set of 2</t>
  </si>
  <si>
    <t>85011.241073</t>
  </si>
  <si>
    <t>8715738821194</t>
  </si>
  <si>
    <t>North Wordmark Cut Out Sticker Large set of 25</t>
  </si>
  <si>
    <t>198</t>
  </si>
  <si>
    <t>Silver</t>
  </si>
  <si>
    <t>8715738821064</t>
  </si>
  <si>
    <t>85011.241074</t>
  </si>
  <si>
    <t>8715738821095</t>
  </si>
  <si>
    <t>North Logo Cut Out Sticker set of 25</t>
  </si>
  <si>
    <t>8715738821101</t>
  </si>
  <si>
    <t>85011.241076</t>
  </si>
  <si>
    <t>8715738821132</t>
  </si>
  <si>
    <t>North Wordmark Vehicle Sticker X-Large set of 2</t>
  </si>
  <si>
    <t>8715738821149</t>
  </si>
  <si>
    <t>85011.241078</t>
  </si>
  <si>
    <t>8715738821170</t>
  </si>
  <si>
    <t>North Logo Vehicle Sticker X-Large set of 2</t>
  </si>
  <si>
    <t>8715738821187</t>
  </si>
  <si>
    <t>85011.241082</t>
  </si>
  <si>
    <t>8715738858442</t>
  </si>
  <si>
    <t>Shiftlock Display Stand</t>
  </si>
  <si>
    <t>85011.241083</t>
  </si>
  <si>
    <t>8715738858459</t>
  </si>
  <si>
    <t>Universal Display Stand</t>
  </si>
  <si>
    <t>85011.241084</t>
  </si>
  <si>
    <t>8715738858466</t>
  </si>
  <si>
    <t>Universal Display Stand Branding Pack North</t>
  </si>
  <si>
    <t>85011.241085</t>
  </si>
  <si>
    <t>8715738858473</t>
  </si>
  <si>
    <t>Universal Display Stand Branding Pack Shiftlock North</t>
  </si>
  <si>
    <t>85011.241086</t>
  </si>
  <si>
    <t>8715738859456</t>
  </si>
  <si>
    <t>Universal Display Stand Hook Pack set of 25</t>
  </si>
  <si>
    <t>85011.241087</t>
  </si>
  <si>
    <t>8715738863286</t>
  </si>
  <si>
    <t>Sonar Foil Display Stand</t>
  </si>
  <si>
    <t>85011.241088</t>
  </si>
  <si>
    <t>8715738865068</t>
  </si>
  <si>
    <t>Universal Display Stand Spare shelf</t>
  </si>
  <si>
    <t>85011.250600</t>
  </si>
  <si>
    <t>8715738865990</t>
  </si>
  <si>
    <t>North Sandbag</t>
  </si>
  <si>
    <t>475</t>
  </si>
  <si>
    <t>Pacific Blue</t>
  </si>
  <si>
    <t>85011.251017</t>
  </si>
  <si>
    <t>8715738890640</t>
  </si>
  <si>
    <t>North Doormat</t>
  </si>
  <si>
    <t>85011.251045</t>
  </si>
  <si>
    <t>8715738883628</t>
  </si>
  <si>
    <t>North Festival Cups set of 8</t>
  </si>
  <si>
    <t>85011.251090</t>
  </si>
  <si>
    <t>8715738876873</t>
  </si>
  <si>
    <t>Sonar Foil Display Stand Small</t>
  </si>
  <si>
    <t>85011.251091</t>
  </si>
  <si>
    <t>8715738877160</t>
  </si>
  <si>
    <t>North Shapers Stand</t>
  </si>
  <si>
    <t>ORDERFORM NORTH KITEBOARDING MY24.2</t>
  </si>
  <si>
    <t xml:space="preserve">Bladders -Bridles </t>
  </si>
  <si>
    <t>New MY 24.2</t>
  </si>
  <si>
    <t>Available</t>
  </si>
  <si>
    <t>Size Group Price Fraction Purchase</t>
  </si>
  <si>
    <t>Size Group Price Fraction Sales</t>
  </si>
  <si>
    <t>HasSalesPriceStructure</t>
  </si>
  <si>
    <t>85006.240070</t>
  </si>
  <si>
    <t>2024 Bridle set Orbit Pro</t>
  </si>
  <si>
    <t>5</t>
  </si>
  <si>
    <t>8715738848665</t>
  </si>
  <si>
    <t>2-17</t>
  </si>
  <si>
    <t>yes</t>
  </si>
  <si>
    <t>6</t>
  </si>
  <si>
    <t>8715738848672</t>
  </si>
  <si>
    <t>7</t>
  </si>
  <si>
    <t>8715738848689</t>
  </si>
  <si>
    <t>8</t>
  </si>
  <si>
    <t>8715738848696</t>
  </si>
  <si>
    <t>9</t>
  </si>
  <si>
    <t>8715738848702</t>
  </si>
  <si>
    <t>10</t>
  </si>
  <si>
    <t>8715738848719</t>
  </si>
  <si>
    <t>11</t>
  </si>
  <si>
    <t>8715738848726</t>
  </si>
  <si>
    <t>85006.240058</t>
  </si>
  <si>
    <t>2024 Bridle set Orbit</t>
  </si>
  <si>
    <t>8715738823440</t>
  </si>
  <si>
    <t>8715738823457</t>
  </si>
  <si>
    <t>8715738823464</t>
  </si>
  <si>
    <t>8715738823471</t>
  </si>
  <si>
    <t>8715738823488</t>
  </si>
  <si>
    <t>8715738823495</t>
  </si>
  <si>
    <t>8715738823501</t>
  </si>
  <si>
    <t>12</t>
  </si>
  <si>
    <t>8715738823518</t>
  </si>
  <si>
    <t>14</t>
  </si>
  <si>
    <t>8715738823525</t>
  </si>
  <si>
    <t>85006.240059</t>
  </si>
  <si>
    <t>2024 Bridle set Carve</t>
  </si>
  <si>
    <t>4</t>
  </si>
  <si>
    <t>8715738823532</t>
  </si>
  <si>
    <t>8715738823549</t>
  </si>
  <si>
    <t>8715738823556</t>
  </si>
  <si>
    <t>8715738823563</t>
  </si>
  <si>
    <t>8715738823570</t>
  </si>
  <si>
    <t>8715738823587</t>
  </si>
  <si>
    <t>8715738823594</t>
  </si>
  <si>
    <t>8715738823600</t>
  </si>
  <si>
    <t>8715738823617</t>
  </si>
  <si>
    <t>13</t>
  </si>
  <si>
    <t>8715738823624</t>
  </si>
  <si>
    <t>85006.240060</t>
  </si>
  <si>
    <t>2024 Bridle set Pulse</t>
  </si>
  <si>
    <t>8715738823631</t>
  </si>
  <si>
    <t>8715738823648</t>
  </si>
  <si>
    <t>8715738823655</t>
  </si>
  <si>
    <t>8715738823662</t>
  </si>
  <si>
    <t>8715738823679</t>
  </si>
  <si>
    <t>8715738823686</t>
  </si>
  <si>
    <t>8715738823693</t>
  </si>
  <si>
    <t>8715738823709</t>
  </si>
  <si>
    <t>85006.240063</t>
  </si>
  <si>
    <t>2024 Bridle set Reach</t>
  </si>
  <si>
    <t>8715738823716</t>
  </si>
  <si>
    <t>8715738823723</t>
  </si>
  <si>
    <t>8715738823730</t>
  </si>
  <si>
    <t>8715738823747</t>
  </si>
  <si>
    <t>8715738823754</t>
  </si>
  <si>
    <t>8715738823761</t>
  </si>
  <si>
    <t>8715738823778</t>
  </si>
  <si>
    <t>8715738823785</t>
  </si>
  <si>
    <t>8715738823792</t>
  </si>
  <si>
    <t>8715738823808</t>
  </si>
  <si>
    <t>15</t>
  </si>
  <si>
    <t>8715738823815</t>
  </si>
  <si>
    <t>17</t>
  </si>
  <si>
    <t>8715738823822</t>
  </si>
  <si>
    <t>85006.240064</t>
  </si>
  <si>
    <t>2024 Bridle set Code Zero</t>
  </si>
  <si>
    <t>3</t>
  </si>
  <si>
    <t>8715738823839</t>
  </si>
  <si>
    <t>8715738823846</t>
  </si>
  <si>
    <t>8715738823853</t>
  </si>
  <si>
    <t>8715738823860</t>
  </si>
  <si>
    <t>8715738823877</t>
  </si>
  <si>
    <t>8715738823884</t>
  </si>
  <si>
    <t>8715738823891</t>
  </si>
  <si>
    <t>8715738823907</t>
  </si>
  <si>
    <t>8715738845138</t>
  </si>
  <si>
    <t>85006.240075</t>
  </si>
  <si>
    <t>2024 Bladder Leading Edge Code Zero</t>
  </si>
  <si>
    <t>8715738823914</t>
  </si>
  <si>
    <t>8715738823921</t>
  </si>
  <si>
    <t>8715738823938</t>
  </si>
  <si>
    <t>8715738823945</t>
  </si>
  <si>
    <t>8715738823952</t>
  </si>
  <si>
    <t>8715738823969</t>
  </si>
  <si>
    <t>8715738823976</t>
  </si>
  <si>
    <t>8715738823983</t>
  </si>
  <si>
    <t>8715738845121</t>
  </si>
  <si>
    <t>85015.240068</t>
  </si>
  <si>
    <t>2024 Bladder Strut Nova PRO loft</t>
  </si>
  <si>
    <t>8715738824072</t>
  </si>
  <si>
    <t>wings</t>
  </si>
  <si>
    <t>8715738824089</t>
  </si>
  <si>
    <t>85015.240069</t>
  </si>
  <si>
    <t>2024 Bladder Strut Mode PRO</t>
  </si>
  <si>
    <t>3.5</t>
  </si>
  <si>
    <t>8715738824140</t>
  </si>
  <si>
    <t>4.2</t>
  </si>
  <si>
    <t>8715738824157</t>
  </si>
  <si>
    <t>4.8</t>
  </si>
  <si>
    <t>8715738825772</t>
  </si>
  <si>
    <t>5.5</t>
  </si>
  <si>
    <t>8715738824171</t>
  </si>
  <si>
    <t>6.8</t>
  </si>
  <si>
    <t>8715738825291</t>
  </si>
  <si>
    <t>85015.240075</t>
  </si>
  <si>
    <t>2024 Bladder Leading Edge Loft PRO</t>
  </si>
  <si>
    <t>8715738824676</t>
  </si>
  <si>
    <t>8715738824683</t>
  </si>
  <si>
    <t>85015.240076</t>
  </si>
  <si>
    <t>2024 Bladder Leading Edge Mode PRO</t>
  </si>
  <si>
    <t>8715738824096</t>
  </si>
  <si>
    <t>8715738824102</t>
  </si>
  <si>
    <t>8715738825789</t>
  </si>
  <si>
    <t>8715738824126</t>
  </si>
  <si>
    <t>8715738825284</t>
  </si>
  <si>
    <t>North Kite &amp; Foils</t>
  </si>
  <si>
    <t xml:space="preserve">North Apparel &amp; POS </t>
  </si>
  <si>
    <t>North Jackets Men</t>
  </si>
  <si>
    <t>North Sweats/Knits Men</t>
  </si>
  <si>
    <t>North Tees/Tops Women</t>
  </si>
  <si>
    <t xml:space="preserve">Total </t>
  </si>
  <si>
    <t xml:space="preserve">TOTALS </t>
  </si>
  <si>
    <t>North ALL</t>
  </si>
  <si>
    <t>no</t>
  </si>
  <si>
    <t>All</t>
  </si>
  <si>
    <t>S-M-L</t>
  </si>
  <si>
    <t>S-XL</t>
  </si>
  <si>
    <t>L-XL</t>
  </si>
  <si>
    <t>size</t>
  </si>
  <si>
    <t>3.5M</t>
  </si>
  <si>
    <t>MM</t>
  </si>
  <si>
    <t>Ph3+T4</t>
  </si>
  <si>
    <t>INCHES</t>
  </si>
  <si>
    <t>Maat</t>
  </si>
  <si>
    <t>Seek Pro Foil Board   -   Incl Boardbag</t>
  </si>
  <si>
    <t>Swell Pro Foil Board   -  Incl Boardbag</t>
  </si>
  <si>
    <t>85009.240138</t>
  </si>
  <si>
    <t>8715738862821</t>
  </si>
  <si>
    <t>85009.240166</t>
  </si>
  <si>
    <t>8715738862814</t>
  </si>
  <si>
    <t>85009.240167</t>
  </si>
  <si>
    <t>8715738862807</t>
  </si>
  <si>
    <t>85009.240168</t>
  </si>
  <si>
    <t>8715738862791</t>
  </si>
  <si>
    <t>85009.240169</t>
  </si>
  <si>
    <t>8715738862784</t>
  </si>
  <si>
    <t>85009.240180</t>
  </si>
  <si>
    <t>8715738862777</t>
  </si>
  <si>
    <t>85009.240181</t>
  </si>
  <si>
    <t>8715738862760</t>
  </si>
  <si>
    <t>85009.240182</t>
  </si>
  <si>
    <t>8715738862753</t>
  </si>
  <si>
    <t>85009.240183</t>
  </si>
  <si>
    <t>8715738862746</t>
  </si>
  <si>
    <t>8715738884861</t>
  </si>
  <si>
    <t>85104.250001</t>
  </si>
  <si>
    <t>8715738861763</t>
  </si>
  <si>
    <t>Brand Crew Sweat</t>
  </si>
  <si>
    <t>8715738861770</t>
  </si>
  <si>
    <t>8715738861787</t>
  </si>
  <si>
    <t>8715738861794</t>
  </si>
  <si>
    <t>8715738861800</t>
  </si>
  <si>
    <t>8715738861817</t>
  </si>
  <si>
    <t>85105.240013</t>
  </si>
  <si>
    <t>8715738824744</t>
  </si>
  <si>
    <t>Fly Tee</t>
  </si>
  <si>
    <t>8715738824751</t>
  </si>
  <si>
    <t>8715738824768</t>
  </si>
  <si>
    <t>8715738824775</t>
  </si>
  <si>
    <t>8715738824782</t>
  </si>
  <si>
    <t>85105.260019</t>
  </si>
  <si>
    <t>8715738917293</t>
  </si>
  <si>
    <t>Brand Tee</t>
  </si>
  <si>
    <t>8715738917309</t>
  </si>
  <si>
    <t>8715738917316</t>
  </si>
  <si>
    <t>8715738917323</t>
  </si>
  <si>
    <t>8715738917330</t>
  </si>
  <si>
    <t>8715738917347</t>
  </si>
  <si>
    <t>85006.260291</t>
  </si>
  <si>
    <t>8715738917415</t>
  </si>
  <si>
    <t>Rover Parawing Control Bar</t>
  </si>
  <si>
    <t>NEW</t>
  </si>
  <si>
    <t>USDEX Price</t>
  </si>
  <si>
    <t>ORDERFORM NORTH KITEBOARDING SS26 (MY26.2) USDEX</t>
  </si>
  <si>
    <t xml:space="preserve">Delivery from 3PL /CH </t>
  </si>
  <si>
    <t xml:space="preserve">supply chain discount </t>
  </si>
  <si>
    <t xml:space="preserve">Pre order discount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</si>
</sst>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 &quot;€&quot;\ * #,##0.00_ ;_ &quot;€&quot;\ * \-#,##0.00_ ;_ &quot;€&quot;\ * &quot;-&quot;??_ ;_ @_ "/>
    <numFmt numFmtId="164" formatCode="_(* #,##0.00_);_(* \(#,##0.00\);_(* &quot;-&quot;??_);_(@_)"/>
    <numFmt numFmtId="165" formatCode="###,##0.00"/>
    <numFmt numFmtId="166" formatCode="&quot;€&quot;\ #,##0.00"/>
    <numFmt numFmtId="167" formatCode="_-[$$-409]* #,##0.00_ ;_-[$$-409]* \-#,##0.00\ ;_-[$$-409]* &quot;-&quot;??_ ;_-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Aptos Display"/>
      <family val="2"/>
    </font>
    <font>
      <sz val="10"/>
      <color theme="1"/>
      <name val="Aptos Display"/>
      <family val="2"/>
    </font>
    <font>
      <sz val="11"/>
      <color theme="1"/>
      <name val="Aptos Display"/>
      <family val="2"/>
    </font>
    <font>
      <b/>
      <sz val="10"/>
      <color theme="1"/>
      <name val="Aptos Display"/>
      <family val="2"/>
    </font>
    <font>
      <i/>
      <sz val="10"/>
      <color theme="1"/>
      <name val="Aptos Display"/>
      <family val="2"/>
    </font>
    <font>
      <sz val="10"/>
      <color rgb="FFFF0000"/>
      <name val="Aptos Display"/>
      <family val="2"/>
    </font>
    <font>
      <b/>
      <sz val="12"/>
      <color theme="1"/>
      <name val="Aptos Display"/>
      <family val="2"/>
    </font>
    <font>
      <b/>
      <sz val="10"/>
      <name val="Aptos Display"/>
      <family val="2"/>
    </font>
    <font>
      <sz val="10"/>
      <name val="Aptos Display"/>
      <family val="2"/>
    </font>
    <font>
      <sz val="11"/>
      <name val="Aptos Display"/>
      <family val="2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i/>
      <sz val="9"/>
      <color theme="1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3" fillId="0" borderId="0" xfId="0" applyFont="1"/>
    <xf numFmtId="49" fontId="3" fillId="0" borderId="0" xfId="0" applyNumberFormat="1" applyFont="1"/>
    <xf numFmtId="49" fontId="4" fillId="0" borderId="0" xfId="0" applyNumberFormat="1" applyFont="1"/>
    <xf numFmtId="165" fontId="3" fillId="0" borderId="0" xfId="0" applyNumberFormat="1" applyFont="1"/>
    <xf numFmtId="49" fontId="5" fillId="0" borderId="0" xfId="0" applyNumberFormat="1" applyFont="1"/>
    <xf numFmtId="166" fontId="6" fillId="0" borderId="0" xfId="0" applyNumberFormat="1" applyFont="1" applyAlignment="1">
      <alignment horizontal="right"/>
    </xf>
    <xf numFmtId="44" fontId="6" fillId="0" borderId="0" xfId="0" applyNumberFormat="1" applyFont="1"/>
    <xf numFmtId="3" fontId="6" fillId="0" borderId="0" xfId="0" applyNumberFormat="1" applyFont="1"/>
    <xf numFmtId="49" fontId="7" fillId="0" borderId="0" xfId="0" applyNumberFormat="1" applyFont="1"/>
    <xf numFmtId="0" fontId="5" fillId="0" borderId="0" xfId="0" applyFont="1"/>
    <xf numFmtId="0" fontId="5" fillId="0" borderId="1" xfId="0" applyFont="1" applyBorder="1"/>
    <xf numFmtId="49" fontId="5" fillId="0" borderId="1" xfId="0" applyNumberFormat="1" applyFont="1" applyBorder="1"/>
    <xf numFmtId="49" fontId="5" fillId="2" borderId="1" xfId="0" applyNumberFormat="1" applyFont="1" applyFill="1" applyBorder="1"/>
    <xf numFmtId="165" fontId="5" fillId="0" borderId="1" xfId="0" applyNumberFormat="1" applyFont="1" applyBorder="1"/>
    <xf numFmtId="49" fontId="3" fillId="0" borderId="1" xfId="0" applyNumberFormat="1" applyFont="1" applyBorder="1"/>
    <xf numFmtId="49" fontId="3" fillId="0" borderId="1" xfId="0" quotePrefix="1" applyNumberFormat="1" applyFont="1" applyBorder="1"/>
    <xf numFmtId="0" fontId="0" fillId="0" borderId="1" xfId="0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44" fontId="0" fillId="3" borderId="6" xfId="1" applyFont="1" applyFill="1" applyBorder="1" applyAlignment="1">
      <alignment horizontal="center"/>
    </xf>
    <xf numFmtId="0" fontId="0" fillId="3" borderId="7" xfId="0" applyFill="1" applyBorder="1"/>
    <xf numFmtId="0" fontId="0" fillId="3" borderId="7" xfId="0" applyFill="1" applyBorder="1" applyAlignment="1">
      <alignment horizontal="center"/>
    </xf>
    <xf numFmtId="44" fontId="0" fillId="3" borderId="6" xfId="1" applyFont="1" applyFill="1" applyBorder="1"/>
    <xf numFmtId="9" fontId="0" fillId="3" borderId="6" xfId="0" applyNumberFormat="1" applyFill="1" applyBorder="1" applyAlignment="1">
      <alignment horizontal="center"/>
    </xf>
    <xf numFmtId="0" fontId="0" fillId="3" borderId="9" xfId="0" applyFill="1" applyBorder="1"/>
    <xf numFmtId="0" fontId="0" fillId="3" borderId="10" xfId="0" applyFill="1" applyBorder="1"/>
    <xf numFmtId="9" fontId="0" fillId="3" borderId="11" xfId="0" applyNumberFormat="1" applyFill="1" applyBorder="1" applyAlignment="1">
      <alignment horizontal="center"/>
    </xf>
    <xf numFmtId="0" fontId="2" fillId="3" borderId="8" xfId="0" applyFont="1" applyFill="1" applyBorder="1"/>
    <xf numFmtId="0" fontId="2" fillId="3" borderId="8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164" fontId="3" fillId="0" borderId="0" xfId="0" applyNumberFormat="1" applyFont="1"/>
    <xf numFmtId="49" fontId="5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quotePrefix="1" applyNumberFormat="1" applyFont="1" applyFill="1" applyBorder="1"/>
    <xf numFmtId="165" fontId="3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44" fontId="3" fillId="0" borderId="1" xfId="1" applyFont="1" applyBorder="1"/>
    <xf numFmtId="44" fontId="8" fillId="2" borderId="1" xfId="1" applyFont="1" applyFill="1" applyBorder="1"/>
    <xf numFmtId="44" fontId="3" fillId="2" borderId="1" xfId="1" applyFont="1" applyFill="1" applyBorder="1"/>
    <xf numFmtId="3" fontId="3" fillId="0" borderId="1" xfId="0" applyNumberFormat="1" applyFont="1" applyBorder="1"/>
    <xf numFmtId="3" fontId="3" fillId="0" borderId="0" xfId="0" applyNumberFormat="1" applyFont="1"/>
    <xf numFmtId="0" fontId="10" fillId="0" borderId="0" xfId="0" applyFont="1"/>
    <xf numFmtId="49" fontId="10" fillId="0" borderId="0" xfId="0" applyNumberFormat="1" applyFont="1"/>
    <xf numFmtId="165" fontId="10" fillId="0" borderId="0" xfId="0" applyNumberFormat="1" applyFont="1" applyAlignment="1">
      <alignment horizontal="center"/>
    </xf>
    <xf numFmtId="165" fontId="10" fillId="0" borderId="0" xfId="0" applyNumberFormat="1" applyFont="1"/>
    <xf numFmtId="49" fontId="12" fillId="0" borderId="0" xfId="0" applyNumberFormat="1" applyFont="1"/>
    <xf numFmtId="49" fontId="14" fillId="0" borderId="0" xfId="0" applyNumberFormat="1" applyFont="1"/>
    <xf numFmtId="49" fontId="10" fillId="0" borderId="1" xfId="0" applyNumberFormat="1" applyFont="1" applyBorder="1"/>
    <xf numFmtId="44" fontId="10" fillId="0" borderId="1" xfId="1" applyFont="1" applyBorder="1"/>
    <xf numFmtId="0" fontId="10" fillId="0" borderId="1" xfId="0" applyFont="1" applyBorder="1"/>
    <xf numFmtId="49" fontId="15" fillId="0" borderId="0" xfId="0" applyNumberFormat="1" applyFont="1"/>
    <xf numFmtId="164" fontId="10" fillId="0" borderId="0" xfId="0" applyNumberFormat="1" applyFont="1"/>
    <xf numFmtId="165" fontId="12" fillId="0" borderId="0" xfId="0" applyNumberFormat="1" applyFont="1" applyAlignment="1">
      <alignment horizontal="center"/>
    </xf>
    <xf numFmtId="49" fontId="16" fillId="0" borderId="2" xfId="0" applyNumberFormat="1" applyFont="1" applyBorder="1"/>
    <xf numFmtId="49" fontId="16" fillId="0" borderId="2" xfId="0" applyNumberFormat="1" applyFont="1" applyBorder="1" applyAlignment="1">
      <alignment horizontal="center"/>
    </xf>
    <xf numFmtId="165" fontId="16" fillId="0" borderId="2" xfId="0" applyNumberFormat="1" applyFont="1" applyBorder="1"/>
    <xf numFmtId="165" fontId="16" fillId="0" borderId="12" xfId="0" applyNumberFormat="1" applyFont="1" applyBorder="1"/>
    <xf numFmtId="0" fontId="12" fillId="0" borderId="0" xfId="0" applyFont="1"/>
    <xf numFmtId="44" fontId="10" fillId="0" borderId="2" xfId="1" applyFont="1" applyBorder="1"/>
    <xf numFmtId="44" fontId="10" fillId="0" borderId="12" xfId="1" applyFont="1" applyBorder="1"/>
    <xf numFmtId="0" fontId="17" fillId="0" borderId="0" xfId="0" applyFont="1"/>
    <xf numFmtId="0" fontId="14" fillId="0" borderId="0" xfId="0" applyFont="1"/>
    <xf numFmtId="3" fontId="10" fillId="0" borderId="0" xfId="0" applyNumberFormat="1" applyFont="1"/>
    <xf numFmtId="0" fontId="10" fillId="0" borderId="0" xfId="0" applyFont="1" applyAlignment="1">
      <alignment horizontal="center"/>
    </xf>
    <xf numFmtId="1" fontId="10" fillId="0" borderId="0" xfId="0" applyNumberFormat="1" applyFont="1"/>
    <xf numFmtId="0" fontId="2" fillId="4" borderId="1" xfId="0" applyFont="1" applyFill="1" applyBorder="1"/>
    <xf numFmtId="0" fontId="2" fillId="7" borderId="1" xfId="0" applyFont="1" applyFill="1" applyBorder="1"/>
    <xf numFmtId="0" fontId="2" fillId="5" borderId="1" xfId="0" applyFont="1" applyFill="1" applyBorder="1"/>
    <xf numFmtId="0" fontId="2" fillId="8" borderId="1" xfId="0" applyFont="1" applyFill="1" applyBorder="1"/>
    <xf numFmtId="0" fontId="2" fillId="6" borderId="1" xfId="0" applyFont="1" applyFill="1" applyBorder="1"/>
    <xf numFmtId="0" fontId="2" fillId="4" borderId="13" xfId="0" applyFont="1" applyFill="1" applyBorder="1"/>
    <xf numFmtId="0" fontId="2" fillId="7" borderId="13" xfId="0" applyFont="1" applyFill="1" applyBorder="1"/>
    <xf numFmtId="0" fontId="2" fillId="5" borderId="13" xfId="0" applyFont="1" applyFill="1" applyBorder="1"/>
    <xf numFmtId="0" fontId="2" fillId="8" borderId="13" xfId="0" applyFont="1" applyFill="1" applyBorder="1"/>
    <xf numFmtId="0" fontId="2" fillId="6" borderId="13" xfId="0" applyFont="1" applyFill="1" applyBorder="1"/>
    <xf numFmtId="49" fontId="12" fillId="9" borderId="0" xfId="0" applyNumberFormat="1" applyFont="1" applyFill="1"/>
    <xf numFmtId="49" fontId="12" fillId="4" borderId="0" xfId="0" applyNumberFormat="1" applyFont="1" applyFill="1"/>
    <xf numFmtId="49" fontId="12" fillId="10" borderId="0" xfId="0" applyNumberFormat="1" applyFont="1" applyFill="1"/>
    <xf numFmtId="165" fontId="10" fillId="10" borderId="0" xfId="0" applyNumberFormat="1" applyFont="1" applyFill="1" applyAlignment="1">
      <alignment horizontal="center"/>
    </xf>
    <xf numFmtId="165" fontId="10" fillId="9" borderId="0" xfId="0" applyNumberFormat="1" applyFont="1" applyFill="1" applyAlignment="1">
      <alignment horizontal="center"/>
    </xf>
    <xf numFmtId="49" fontId="12" fillId="11" borderId="0" xfId="0" applyNumberFormat="1" applyFont="1" applyFill="1"/>
    <xf numFmtId="165" fontId="10" fillId="11" borderId="0" xfId="0" applyNumberFormat="1" applyFont="1" applyFill="1" applyAlignment="1">
      <alignment horizontal="center"/>
    </xf>
    <xf numFmtId="166" fontId="13" fillId="0" borderId="0" xfId="0" applyNumberFormat="1" applyFont="1" applyAlignment="1">
      <alignment horizontal="right"/>
    </xf>
    <xf numFmtId="3" fontId="11" fillId="0" borderId="0" xfId="0" applyNumberFormat="1" applyFont="1"/>
    <xf numFmtId="3" fontId="13" fillId="0" borderId="0" xfId="0" applyNumberFormat="1" applyFont="1"/>
    <xf numFmtId="165" fontId="10" fillId="4" borderId="0" xfId="0" applyNumberFormat="1" applyFont="1" applyFill="1" applyAlignment="1">
      <alignment horizontal="center"/>
    </xf>
    <xf numFmtId="49" fontId="16" fillId="0" borderId="12" xfId="0" applyNumberFormat="1" applyFont="1" applyBorder="1"/>
    <xf numFmtId="49" fontId="12" fillId="12" borderId="0" xfId="0" applyNumberFormat="1" applyFont="1" applyFill="1"/>
    <xf numFmtId="165" fontId="10" fillId="12" borderId="0" xfId="0" applyNumberFormat="1" applyFont="1" applyFill="1" applyAlignment="1">
      <alignment horizontal="center"/>
    </xf>
    <xf numFmtId="0" fontId="0" fillId="13" borderId="7" xfId="0" applyFill="1" applyBorder="1"/>
    <xf numFmtId="0" fontId="0" fillId="14" borderId="2" xfId="0" applyFill="1" applyBorder="1"/>
    <xf numFmtId="0" fontId="0" fillId="14" borderId="3" xfId="0" applyFill="1" applyBorder="1"/>
    <xf numFmtId="0" fontId="0" fillId="14" borderId="4" xfId="0" applyFill="1" applyBorder="1"/>
    <xf numFmtId="0" fontId="0" fillId="14" borderId="5" xfId="0" applyFill="1" applyBorder="1"/>
    <xf numFmtId="0" fontId="0" fillId="14" borderId="0" xfId="0" applyFill="1"/>
    <xf numFmtId="0" fontId="0" fillId="14" borderId="6" xfId="0" applyFill="1" applyBorder="1"/>
    <xf numFmtId="0" fontId="2" fillId="14" borderId="13" xfId="0" applyFont="1" applyFill="1" applyBorder="1"/>
    <xf numFmtId="0" fontId="2" fillId="14" borderId="6" xfId="0" applyFont="1" applyFill="1" applyBorder="1" applyAlignment="1">
      <alignment horizontal="center" vertical="center" wrapText="1"/>
    </xf>
    <xf numFmtId="44" fontId="0" fillId="14" borderId="6" xfId="1" applyFont="1" applyFill="1" applyBorder="1" applyAlignment="1">
      <alignment horizontal="center"/>
    </xf>
    <xf numFmtId="44" fontId="0" fillId="14" borderId="6" xfId="1" applyFont="1" applyFill="1" applyBorder="1"/>
    <xf numFmtId="0" fontId="0" fillId="14" borderId="9" xfId="0" applyFill="1" applyBorder="1"/>
    <xf numFmtId="0" fontId="0" fillId="14" borderId="10" xfId="0" applyFill="1" applyBorder="1"/>
    <xf numFmtId="9" fontId="0" fillId="14" borderId="11" xfId="0" applyNumberFormat="1" applyFill="1" applyBorder="1" applyAlignment="1">
      <alignment horizontal="center"/>
    </xf>
    <xf numFmtId="49" fontId="10" fillId="0" borderId="1" xfId="0" quotePrefix="1" applyNumberFormat="1" applyFont="1" applyBorder="1"/>
    <xf numFmtId="3" fontId="10" fillId="0" borderId="2" xfId="0" applyNumberFormat="1" applyFont="1" applyBorder="1" applyProtection="1">
      <protection hidden="1"/>
    </xf>
    <xf numFmtId="3" fontId="17" fillId="0" borderId="2" xfId="0" applyNumberFormat="1" applyFont="1" applyBorder="1" applyProtection="1">
      <protection hidden="1"/>
    </xf>
    <xf numFmtId="3" fontId="17" fillId="0" borderId="1" xfId="0" applyNumberFormat="1" applyFont="1" applyBorder="1" applyProtection="1">
      <protection hidden="1"/>
    </xf>
    <xf numFmtId="3" fontId="10" fillId="0" borderId="1" xfId="0" applyNumberFormat="1" applyFont="1" applyBorder="1" applyProtection="1">
      <protection hidden="1"/>
    </xf>
    <xf numFmtId="44" fontId="0" fillId="0" borderId="0" xfId="0" applyNumberFormat="1"/>
    <xf numFmtId="0" fontId="11" fillId="0" borderId="0" xfId="0" applyFont="1"/>
    <xf numFmtId="49" fontId="17" fillId="0" borderId="1" xfId="0" applyNumberFormat="1" applyFont="1" applyBorder="1"/>
    <xf numFmtId="49" fontId="17" fillId="0" borderId="1" xfId="0" quotePrefix="1" applyNumberFormat="1" applyFont="1" applyBorder="1"/>
    <xf numFmtId="0" fontId="11" fillId="0" borderId="1" xfId="0" applyFont="1" applyBorder="1"/>
    <xf numFmtId="165" fontId="10" fillId="0" borderId="1" xfId="0" applyNumberFormat="1" applyFont="1" applyBorder="1" applyAlignment="1">
      <alignment horizontal="center"/>
    </xf>
    <xf numFmtId="0" fontId="16" fillId="0" borderId="2" xfId="0" applyFont="1" applyBorder="1" applyAlignment="1">
      <alignment vertical="center"/>
    </xf>
    <xf numFmtId="49" fontId="16" fillId="0" borderId="2" xfId="0" applyNumberFormat="1" applyFont="1" applyBorder="1" applyAlignment="1">
      <alignment vertical="center"/>
    </xf>
    <xf numFmtId="49" fontId="16" fillId="0" borderId="2" xfId="0" applyNumberFormat="1" applyFont="1" applyBorder="1" applyAlignment="1">
      <alignment horizontal="center" vertical="center"/>
    </xf>
    <xf numFmtId="165" fontId="16" fillId="0" borderId="2" xfId="0" applyNumberFormat="1" applyFont="1" applyBorder="1" applyAlignment="1">
      <alignment horizontal="center" vertical="center" wrapText="1"/>
    </xf>
    <xf numFmtId="165" fontId="16" fillId="0" borderId="2" xfId="0" applyNumberFormat="1" applyFont="1" applyBorder="1" applyAlignment="1">
      <alignment vertical="center"/>
    </xf>
    <xf numFmtId="165" fontId="16" fillId="0" borderId="12" xfId="0" applyNumberFormat="1" applyFont="1" applyBorder="1" applyAlignment="1">
      <alignment vertical="center"/>
    </xf>
    <xf numFmtId="44" fontId="10" fillId="0" borderId="14" xfId="1" applyFont="1" applyBorder="1"/>
    <xf numFmtId="0" fontId="19" fillId="0" borderId="0" xfId="0" applyFont="1" applyAlignment="1">
      <alignment horizontal="left" vertical="center" indent="1"/>
    </xf>
    <xf numFmtId="44" fontId="10" fillId="0" borderId="2" xfId="1" applyFont="1" applyFill="1" applyBorder="1"/>
    <xf numFmtId="44" fontId="10" fillId="0" borderId="12" xfId="1" applyFont="1" applyFill="1" applyBorder="1"/>
    <xf numFmtId="0" fontId="18" fillId="0" borderId="1" xfId="0" applyFont="1" applyBorder="1" applyAlignment="1">
      <alignment horizontal="center"/>
    </xf>
    <xf numFmtId="165" fontId="16" fillId="0" borderId="2" xfId="0" applyNumberFormat="1" applyFont="1" applyBorder="1" applyAlignment="1">
      <alignment horizontal="center"/>
    </xf>
    <xf numFmtId="167" fontId="10" fillId="0" borderId="0" xfId="0" applyNumberFormat="1" applyFont="1"/>
    <xf numFmtId="167" fontId="10" fillId="0" borderId="2" xfId="1" applyNumberFormat="1" applyFont="1" applyBorder="1"/>
    <xf numFmtId="167" fontId="0" fillId="3" borderId="1" xfId="1" applyNumberFormat="1" applyFont="1" applyFill="1" applyBorder="1" applyAlignment="1">
      <alignment horizontal="center"/>
    </xf>
    <xf numFmtId="167" fontId="0" fillId="3" borderId="7" xfId="1" applyNumberFormat="1" applyFont="1" applyFill="1" applyBorder="1" applyAlignment="1">
      <alignment horizontal="center"/>
    </xf>
    <xf numFmtId="167" fontId="2" fillId="3" borderId="8" xfId="1" applyNumberFormat="1" applyFont="1" applyFill="1" applyBorder="1"/>
    <xf numFmtId="167" fontId="13" fillId="0" borderId="0" xfId="0" applyNumberFormat="1" applyFont="1"/>
    <xf numFmtId="9" fontId="10" fillId="0" borderId="0" xfId="3" applyFont="1"/>
    <xf numFmtId="165" fontId="12" fillId="0" borderId="0" xfId="0" applyNumberFormat="1" applyFont="1"/>
    <xf numFmtId="9" fontId="12" fillId="0" borderId="0" xfId="3" applyFont="1"/>
    <xf numFmtId="49" fontId="10" fillId="0" borderId="0" xfId="0" quotePrefix="1" applyNumberFormat="1" applyFont="1"/>
    <xf numFmtId="1" fontId="11" fillId="0" borderId="1" xfId="0" applyNumberFormat="1" applyFont="1" applyBorder="1"/>
    <xf numFmtId="1" fontId="18" fillId="0" borderId="1" xfId="0" applyNumberFormat="1" applyFont="1" applyBorder="1"/>
    <xf numFmtId="0" fontId="2" fillId="14" borderId="15" xfId="0" applyFont="1" applyFill="1" applyBorder="1" applyAlignment="1">
      <alignment horizontal="center" vertical="center"/>
    </xf>
    <xf numFmtId="0" fontId="2" fillId="14" borderId="16" xfId="0" applyFont="1" applyFill="1" applyBorder="1" applyAlignment="1">
      <alignment horizontal="center" vertical="center"/>
    </xf>
    <xf numFmtId="0" fontId="2" fillId="14" borderId="17" xfId="0" applyFont="1" applyFill="1" applyBorder="1" applyAlignment="1">
      <alignment horizontal="center" vertical="center"/>
    </xf>
    <xf numFmtId="0" fontId="2" fillId="14" borderId="18" xfId="0" applyFont="1" applyFill="1" applyBorder="1" applyAlignment="1">
      <alignment horizontal="center" vertical="center"/>
    </xf>
    <xf numFmtId="0" fontId="2" fillId="14" borderId="19" xfId="0" applyFont="1" applyFill="1" applyBorder="1" applyAlignment="1">
      <alignment horizontal="center" vertical="center"/>
    </xf>
    <xf numFmtId="0" fontId="2" fillId="14" borderId="20" xfId="0" applyFont="1" applyFill="1" applyBorder="1" applyAlignment="1">
      <alignment horizontal="center" vertical="center"/>
    </xf>
  </cellXfs>
  <cellStyles count="4">
    <cellStyle name="Procent" xfId="3" builtinId="5"/>
    <cellStyle name="Standaard" xfId="0" builtinId="0"/>
    <cellStyle name="Valuta" xfId="1" builtinId="4"/>
    <cellStyle name="Valuta 2" xfId="2" xr:uid="{6F3CC7FA-18A2-4B17-9D3D-CAA4CE88438C}"/>
  </cellStyles>
  <dxfs count="0"/>
  <tableStyles count="1" defaultTableStyle="TableStyleMedium2" defaultPivotStyle="PivotStyleLight16">
    <tableStyle name="Slicerstijl 1" pivot="0" table="0" count="0" xr9:uid="{74C3C247-72C7-4C35-82B6-1CBCFC84D749}"/>
  </tableStyles>
  <colors>
    <mruColors>
      <color rgb="FFD0CECE"/>
      <color rgb="FF00CC66"/>
      <color rgb="FFBDE35F"/>
    </mruColors>
  </colors>
  <extLst>
    <ext xmlns:x14="http://schemas.microsoft.com/office/spreadsheetml/2009/9/main" uri="{EB79DEF2-80B8-43e5-95BD-54CBDDF9020C}">
      <x14:slicerStyles defaultSlicerStyle="SlicerStyleLight1">
        <x14:slicerStyle name="Slicerstijl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38100</xdr:rowOff>
    </xdr:from>
    <xdr:to>
      <xdr:col>5</xdr:col>
      <xdr:colOff>1009650</xdr:colOff>
      <xdr:row>7</xdr:row>
      <xdr:rowOff>161925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F67485A5-36C8-0E4F-11FC-CC82CF8C0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38100"/>
          <a:ext cx="6324600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1</xdr:row>
      <xdr:rowOff>19050</xdr:rowOff>
    </xdr:from>
    <xdr:to>
      <xdr:col>5</xdr:col>
      <xdr:colOff>1276350</xdr:colOff>
      <xdr:row>8</xdr:row>
      <xdr:rowOff>152400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68626C71-93D5-A82F-4E04-4FB83C066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09550"/>
          <a:ext cx="6324600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</xdr:row>
      <xdr:rowOff>9525</xdr:rowOff>
    </xdr:from>
    <xdr:to>
      <xdr:col>5</xdr:col>
      <xdr:colOff>1590675</xdr:colOff>
      <xdr:row>9</xdr:row>
      <xdr:rowOff>66675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AC3DD7D3-077C-A3A9-FC75-EA6EC1B9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80975"/>
          <a:ext cx="6324600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1819275</xdr:colOff>
      <xdr:row>9</xdr:row>
      <xdr:rowOff>76200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4F2DEB45-FFC2-2FEB-E411-73DE5F12A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71450"/>
          <a:ext cx="6324600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1905001</xdr:colOff>
      <xdr:row>9</xdr:row>
      <xdr:rowOff>57150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3B146806-C96A-B6DE-BCD5-AA299486A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71450"/>
          <a:ext cx="6324600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6</xdr:col>
      <xdr:colOff>381001</xdr:colOff>
      <xdr:row>9</xdr:row>
      <xdr:rowOff>70561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67F470F6-0351-4584-A7D8-ED4117DE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7793831" cy="17945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2</xdr:row>
      <xdr:rowOff>0</xdr:rowOff>
    </xdr:from>
    <xdr:to>
      <xdr:col>4</xdr:col>
      <xdr:colOff>1428751</xdr:colOff>
      <xdr:row>7</xdr:row>
      <xdr:rowOff>115446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79E1040A-8F88-5982-15BE-03EDB9512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1" y="301625"/>
          <a:ext cx="4572000" cy="1067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904875</xdr:colOff>
      <xdr:row>6</xdr:row>
      <xdr:rowOff>183577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0AC5B328-D704-489D-A16E-C4615D490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3875" y="301625"/>
          <a:ext cx="4048125" cy="945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15875</xdr:colOff>
      <xdr:row>2</xdr:row>
      <xdr:rowOff>0</xdr:rowOff>
    </xdr:from>
    <xdr:to>
      <xdr:col>17</xdr:col>
      <xdr:colOff>13762</xdr:colOff>
      <xdr:row>7</xdr:row>
      <xdr:rowOff>0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B2DD4A81-1E0C-46BB-A6EF-2D032FAD2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0625" y="301625"/>
          <a:ext cx="4077762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33</xdr:row>
      <xdr:rowOff>47625</xdr:rowOff>
    </xdr:from>
    <xdr:to>
      <xdr:col>4</xdr:col>
      <xdr:colOff>1369577</xdr:colOff>
      <xdr:row>39</xdr:row>
      <xdr:rowOff>31750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E156C01A-C6AA-4368-B2EB-0427860C4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6238875"/>
          <a:ext cx="4417577" cy="1031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15875</xdr:colOff>
      <xdr:row>1</xdr:row>
      <xdr:rowOff>142875</xdr:rowOff>
    </xdr:from>
    <xdr:to>
      <xdr:col>23</xdr:col>
      <xdr:colOff>13762</xdr:colOff>
      <xdr:row>6</xdr:row>
      <xdr:rowOff>142875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57485A4F-90AA-42C0-B891-80BE869E7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41500" y="254000"/>
          <a:ext cx="4077762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</xdr:row>
      <xdr:rowOff>142875</xdr:rowOff>
    </xdr:from>
    <xdr:to>
      <xdr:col>29</xdr:col>
      <xdr:colOff>1062</xdr:colOff>
      <xdr:row>6</xdr:row>
      <xdr:rowOff>142875</xdr:rowOff>
    </xdr:to>
    <xdr:pic>
      <xdr:nvPicPr>
        <xdr:cNvPr id="8" name="Afbeelding 7">
          <a:extLst>
            <a:ext uri="{FF2B5EF4-FFF2-40B4-BE49-F238E27FC236}">
              <a16:creationId xmlns:a16="http://schemas.microsoft.com/office/drawing/2014/main" id="{10D95A0F-6D10-461C-A656-3E8DF6364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54000"/>
          <a:ext cx="4077762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47626</xdr:colOff>
      <xdr:row>1</xdr:row>
      <xdr:rowOff>158750</xdr:rowOff>
    </xdr:from>
    <xdr:to>
      <xdr:col>4</xdr:col>
      <xdr:colOff>1476376</xdr:colOff>
      <xdr:row>7</xdr:row>
      <xdr:rowOff>83696</xdr:rowOff>
    </xdr:to>
    <xdr:pic>
      <xdr:nvPicPr>
        <xdr:cNvPr id="12" name="Afbeelding 11">
          <a:extLst>
            <a:ext uri="{FF2B5EF4-FFF2-40B4-BE49-F238E27FC236}">
              <a16:creationId xmlns:a16="http://schemas.microsoft.com/office/drawing/2014/main" id="{BB4AC08F-5F43-5E3B-EA09-EA0B8EA4D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6" y="269875"/>
          <a:ext cx="4572000" cy="1067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47625</xdr:colOff>
      <xdr:row>1</xdr:row>
      <xdr:rowOff>158750</xdr:rowOff>
    </xdr:from>
    <xdr:to>
      <xdr:col>11</xdr:col>
      <xdr:colOff>15875</xdr:colOff>
      <xdr:row>6</xdr:row>
      <xdr:rowOff>151827</xdr:rowOff>
    </xdr:to>
    <xdr:pic>
      <xdr:nvPicPr>
        <xdr:cNvPr id="13" name="Afbeelding 12">
          <a:extLst>
            <a:ext uri="{FF2B5EF4-FFF2-40B4-BE49-F238E27FC236}">
              <a16:creationId xmlns:a16="http://schemas.microsoft.com/office/drawing/2014/main" id="{B6D7F88F-444D-140A-A7D3-01C3B6F7F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0" y="269875"/>
          <a:ext cx="4048125" cy="945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63500</xdr:colOff>
      <xdr:row>1</xdr:row>
      <xdr:rowOff>158750</xdr:rowOff>
    </xdr:from>
    <xdr:to>
      <xdr:col>17</xdr:col>
      <xdr:colOff>61387</xdr:colOff>
      <xdr:row>6</xdr:row>
      <xdr:rowOff>158750</xdr:rowOff>
    </xdr:to>
    <xdr:pic>
      <xdr:nvPicPr>
        <xdr:cNvPr id="14" name="Afbeelding 13">
          <a:extLst>
            <a:ext uri="{FF2B5EF4-FFF2-40B4-BE49-F238E27FC236}">
              <a16:creationId xmlns:a16="http://schemas.microsoft.com/office/drawing/2014/main" id="{0B38EEEF-36EA-CC45-AA6C-1929FEB7E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69875"/>
          <a:ext cx="4077762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142875</xdr:colOff>
      <xdr:row>33</xdr:row>
      <xdr:rowOff>15875</xdr:rowOff>
    </xdr:from>
    <xdr:to>
      <xdr:col>4</xdr:col>
      <xdr:colOff>1417202</xdr:colOff>
      <xdr:row>39</xdr:row>
      <xdr:rowOff>0</xdr:rowOff>
    </xdr:to>
    <xdr:pic>
      <xdr:nvPicPr>
        <xdr:cNvPr id="15" name="Afbeelding 14">
          <a:extLst>
            <a:ext uri="{FF2B5EF4-FFF2-40B4-BE49-F238E27FC236}">
              <a16:creationId xmlns:a16="http://schemas.microsoft.com/office/drawing/2014/main" id="{87B05449-644D-AAB9-70D0-D08D08B83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125" y="6207125"/>
          <a:ext cx="4417577" cy="1031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63500</xdr:colOff>
      <xdr:row>1</xdr:row>
      <xdr:rowOff>111125</xdr:rowOff>
    </xdr:from>
    <xdr:to>
      <xdr:col>23</xdr:col>
      <xdr:colOff>61387</xdr:colOff>
      <xdr:row>6</xdr:row>
      <xdr:rowOff>111125</xdr:rowOff>
    </xdr:to>
    <xdr:pic>
      <xdr:nvPicPr>
        <xdr:cNvPr id="16" name="Afbeelding 15">
          <a:extLst>
            <a:ext uri="{FF2B5EF4-FFF2-40B4-BE49-F238E27FC236}">
              <a16:creationId xmlns:a16="http://schemas.microsoft.com/office/drawing/2014/main" id="{9FDF8FD1-D8AE-6819-EB79-330552F69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222250"/>
          <a:ext cx="4077762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47625</xdr:colOff>
      <xdr:row>1</xdr:row>
      <xdr:rowOff>111125</xdr:rowOff>
    </xdr:from>
    <xdr:to>
      <xdr:col>29</xdr:col>
      <xdr:colOff>45512</xdr:colOff>
      <xdr:row>6</xdr:row>
      <xdr:rowOff>111125</xdr:rowOff>
    </xdr:to>
    <xdr:pic>
      <xdr:nvPicPr>
        <xdr:cNvPr id="17" name="Afbeelding 16">
          <a:extLst>
            <a:ext uri="{FF2B5EF4-FFF2-40B4-BE49-F238E27FC236}">
              <a16:creationId xmlns:a16="http://schemas.microsoft.com/office/drawing/2014/main" id="{4F59AEF7-CB87-E4CC-E0B0-532492A5C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34125" y="222250"/>
          <a:ext cx="4077762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104775</xdr:rowOff>
    </xdr:from>
    <xdr:to>
      <xdr:col>5</xdr:col>
      <xdr:colOff>666750</xdr:colOff>
      <xdr:row>8</xdr:row>
      <xdr:rowOff>161925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164DABCF-6174-F701-19CE-0D7DF5D19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4775"/>
          <a:ext cx="6324600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381000</xdr:colOff>
      <xdr:row>76</xdr:row>
      <xdr:rowOff>140586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6254B706-ECBD-4715-9673-49153500A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28760" cy="140394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orthasg.sharepoint.com/Gedeelde%20documenten/Sales/Prices%20collections/North%20KB/2026/SS26%20-%20MY26.2/Workfile%20North%20KB%20MY26.2%20-%20FW26.xlsx" TargetMode="External"/><Relationship Id="rId1" Type="http://schemas.openxmlformats.org/officeDocument/2006/relationships/externalLinkPath" Target="Workfile%20North%20KB%20MY26.2%20-%20FW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WORKFILE MY26.2"/>
      <sheetName val="CC sheet "/>
      <sheetName val="Opzet form"/>
      <sheetName val="North wholesale 26.1"/>
      <sheetName val="North export 26.1"/>
      <sheetName val="USDEX 26.1"/>
      <sheetName val="3PL 26.1"/>
      <sheetName val="AUS 26.1"/>
      <sheetName val="USA 26.1"/>
      <sheetName val="North Staff 26.1 NL"/>
      <sheetName val="North Staff 26.1 NZ"/>
      <sheetName val="Blad7"/>
      <sheetName val="Mark up AUS"/>
      <sheetName val="Ranking "/>
      <sheetName val="Blad3"/>
      <sheetName val="Blad2"/>
      <sheetName val="Blad1"/>
    </sheetNames>
    <sheetDataSet>
      <sheetData sheetId="0">
        <row r="4">
          <cell r="M4" t="str">
            <v>ORDERFORM NORTH KITEBOARDING MY26.2 - FW26</v>
          </cell>
        </row>
        <row r="5">
          <cell r="M5" t="str">
            <v>HARDWARE</v>
          </cell>
          <cell r="AC5" t="str">
            <v>26.1 Exchange rate 1,05</v>
          </cell>
        </row>
        <row r="14">
          <cell r="H14" t="str">
            <v>Barcode (Item)</v>
          </cell>
          <cell r="I14" t="str">
            <v>Item Description</v>
          </cell>
          <cell r="J14" t="str">
            <v>Color</v>
          </cell>
          <cell r="K14" t="str">
            <v>Color Description</v>
          </cell>
          <cell r="L14" t="str">
            <v>Size</v>
          </cell>
          <cell r="M14" t="str">
            <v xml:space="preserve">New / Carry over </v>
          </cell>
          <cell r="N14" t="str">
            <v xml:space="preserve">Segment </v>
          </cell>
          <cell r="O14" t="str">
            <v>Samen</v>
          </cell>
          <cell r="P14" t="str">
            <v xml:space="preserve">Samen naam en maat </v>
          </cell>
          <cell r="Q14" t="str">
            <v xml:space="preserve">New ranking </v>
          </cell>
          <cell r="R14" t="str">
            <v>difference RRP</v>
          </cell>
          <cell r="S14" t="str">
            <v xml:space="preserve">Increase </v>
          </cell>
          <cell r="T14" t="str">
            <v>RRP 26.1</v>
          </cell>
          <cell r="U14" t="str">
            <v>WS 26.1</v>
          </cell>
          <cell r="V14" t="str">
            <v xml:space="preserve">wholesales price CC sheet </v>
          </cell>
          <cell r="W14" t="str">
            <v xml:space="preserve">retail price CC sheet </v>
          </cell>
          <cell r="X14" t="str">
            <v>wholesales price CC Rounded</v>
          </cell>
          <cell r="Y14" t="str">
            <v xml:space="preserve">mark up </v>
          </cell>
          <cell r="Z14" t="str">
            <v xml:space="preserve">Export price CC sheet </v>
          </cell>
          <cell r="AA14" t="str">
            <v>export Rounded</v>
          </cell>
          <cell r="AB14" t="str">
            <v>usdex 1,21</v>
          </cell>
          <cell r="AC14" t="str">
            <v xml:space="preserve">usdex rounded </v>
          </cell>
        </row>
        <row r="15">
          <cell r="H15" t="str">
            <v>8715738911000</v>
          </cell>
          <cell r="I15" t="str">
            <v>Reach Ultra Kite</v>
          </cell>
          <cell r="J15" t="str">
            <v>900</v>
          </cell>
          <cell r="K15" t="str">
            <v>Black</v>
          </cell>
          <cell r="L15" t="str">
            <v>7m</v>
          </cell>
          <cell r="M15" t="str">
            <v>New</v>
          </cell>
          <cell r="N15" t="str">
            <v xml:space="preserve">North Kite &amp; Foils </v>
          </cell>
          <cell r="P15" t="str">
            <v>85000.2600149007m</v>
          </cell>
          <cell r="Q15">
            <v>1</v>
          </cell>
          <cell r="R15" t="e">
            <v>#VALUE!</v>
          </cell>
          <cell r="S15" t="e">
            <v>#VALUE!</v>
          </cell>
          <cell r="T15" t="str">
            <v/>
          </cell>
          <cell r="U15" t="str">
            <v/>
          </cell>
          <cell r="V15">
            <v>1399.3548387096773</v>
          </cell>
          <cell r="W15">
            <v>2169</v>
          </cell>
          <cell r="X15">
            <v>1399.3999999999999</v>
          </cell>
          <cell r="Y15">
            <v>1.549949978562241</v>
          </cell>
          <cell r="Z15">
            <v>909.58064516129025</v>
          </cell>
          <cell r="AA15">
            <v>909.6</v>
          </cell>
          <cell r="AB15">
            <v>1100.5925806451612</v>
          </cell>
          <cell r="AC15">
            <v>1100.5999999999999</v>
          </cell>
        </row>
        <row r="16">
          <cell r="H16" t="str">
            <v>8715738911017</v>
          </cell>
          <cell r="I16" t="str">
            <v>Reach Ultra Kite</v>
          </cell>
          <cell r="J16" t="str">
            <v>900</v>
          </cell>
          <cell r="K16" t="str">
            <v>Black</v>
          </cell>
          <cell r="L16" t="str">
            <v>8m</v>
          </cell>
          <cell r="M16" t="str">
            <v>New</v>
          </cell>
          <cell r="N16" t="str">
            <v xml:space="preserve">North Kite &amp; Foils </v>
          </cell>
          <cell r="P16" t="str">
            <v>85000.2600149008m</v>
          </cell>
          <cell r="Q16">
            <v>2</v>
          </cell>
          <cell r="R16" t="e">
            <v>#VALUE!</v>
          </cell>
          <cell r="S16" t="e">
            <v>#VALUE!</v>
          </cell>
          <cell r="T16" t="str">
            <v/>
          </cell>
          <cell r="U16" t="str">
            <v/>
          </cell>
          <cell r="V16">
            <v>1450.9677419354839</v>
          </cell>
          <cell r="W16">
            <v>2249</v>
          </cell>
          <cell r="X16">
            <v>1451</v>
          </cell>
          <cell r="Y16">
            <v>1.5499655410062025</v>
          </cell>
          <cell r="Z16">
            <v>943.12903225806451</v>
          </cell>
          <cell r="AA16">
            <v>943.2</v>
          </cell>
          <cell r="AB16">
            <v>1141.1861290322581</v>
          </cell>
          <cell r="AC16">
            <v>1141.1999999999998</v>
          </cell>
        </row>
        <row r="17">
          <cell r="H17" t="str">
            <v>8715738911024</v>
          </cell>
          <cell r="I17" t="str">
            <v>Reach Ultra Kite</v>
          </cell>
          <cell r="J17" t="str">
            <v>900</v>
          </cell>
          <cell r="K17" t="str">
            <v>Black</v>
          </cell>
          <cell r="L17" t="str">
            <v>9m</v>
          </cell>
          <cell r="M17" t="str">
            <v>New</v>
          </cell>
          <cell r="N17" t="str">
            <v xml:space="preserve">North Kite &amp; Foils </v>
          </cell>
          <cell r="P17" t="str">
            <v>85000.2600149009m</v>
          </cell>
          <cell r="Q17">
            <v>3</v>
          </cell>
          <cell r="R17" t="e">
            <v>#VALUE!</v>
          </cell>
          <cell r="S17" t="e">
            <v>#VALUE!</v>
          </cell>
          <cell r="T17" t="str">
            <v/>
          </cell>
          <cell r="U17" t="str">
            <v/>
          </cell>
          <cell r="V17">
            <v>1509.0322580645161</v>
          </cell>
          <cell r="W17">
            <v>2339</v>
          </cell>
          <cell r="X17">
            <v>1509.1</v>
          </cell>
          <cell r="Y17">
            <v>1.5499304221058909</v>
          </cell>
          <cell r="Z17">
            <v>980.87096774193549</v>
          </cell>
          <cell r="AA17">
            <v>980.9</v>
          </cell>
          <cell r="AB17">
            <v>1186.8538709677418</v>
          </cell>
          <cell r="AC17">
            <v>1186.8999999999999</v>
          </cell>
        </row>
        <row r="18">
          <cell r="H18" t="str">
            <v>8715738911031</v>
          </cell>
          <cell r="I18" t="str">
            <v>Reach Ultra Kite</v>
          </cell>
          <cell r="J18" t="str">
            <v>900</v>
          </cell>
          <cell r="K18" t="str">
            <v>Black</v>
          </cell>
          <cell r="L18" t="str">
            <v>10m</v>
          </cell>
          <cell r="M18" t="str">
            <v>New</v>
          </cell>
          <cell r="N18" t="str">
            <v xml:space="preserve">North Kite &amp; Foils </v>
          </cell>
          <cell r="P18" t="str">
            <v>85000.26001490010m</v>
          </cell>
          <cell r="Q18">
            <v>4</v>
          </cell>
          <cell r="R18" t="e">
            <v>#VALUE!</v>
          </cell>
          <cell r="S18" t="e">
            <v>#VALUE!</v>
          </cell>
          <cell r="T18" t="str">
            <v/>
          </cell>
          <cell r="U18" t="str">
            <v/>
          </cell>
          <cell r="V18">
            <v>1560.6451612903224</v>
          </cell>
          <cell r="W18">
            <v>2419</v>
          </cell>
          <cell r="X18">
            <v>1560.6999999999998</v>
          </cell>
          <cell r="Y18">
            <v>1.5499455372589224</v>
          </cell>
          <cell r="Z18">
            <v>1014.4193548387096</v>
          </cell>
          <cell r="AA18">
            <v>1014.5</v>
          </cell>
          <cell r="AB18">
            <v>1227.4474193548385</v>
          </cell>
          <cell r="AC18">
            <v>1227.5</v>
          </cell>
        </row>
        <row r="19">
          <cell r="H19" t="str">
            <v>8715738911048</v>
          </cell>
          <cell r="I19" t="str">
            <v>Reach Ultra Kite</v>
          </cell>
          <cell r="J19" t="str">
            <v>900</v>
          </cell>
          <cell r="K19" t="str">
            <v>Black</v>
          </cell>
          <cell r="L19" t="str">
            <v>11m</v>
          </cell>
          <cell r="M19" t="str">
            <v>New</v>
          </cell>
          <cell r="N19" t="str">
            <v xml:space="preserve">North Kite &amp; Foils </v>
          </cell>
          <cell r="P19" t="str">
            <v>85000.26001490011m</v>
          </cell>
          <cell r="Q19">
            <v>5</v>
          </cell>
          <cell r="R19" t="e">
            <v>#VALUE!</v>
          </cell>
          <cell r="S19" t="e">
            <v>#VALUE!</v>
          </cell>
          <cell r="T19" t="str">
            <v/>
          </cell>
          <cell r="U19" t="str">
            <v/>
          </cell>
          <cell r="V19">
            <v>1612.258064516129</v>
          </cell>
          <cell r="W19">
            <v>2499</v>
          </cell>
          <cell r="X19">
            <v>1612.3</v>
          </cell>
          <cell r="Y19">
            <v>1.5499596849221609</v>
          </cell>
          <cell r="Z19">
            <v>1047.9677419354839</v>
          </cell>
          <cell r="AA19">
            <v>1048</v>
          </cell>
          <cell r="AB19">
            <v>1268.0409677419354</v>
          </cell>
          <cell r="AC19">
            <v>1268.0999999999999</v>
          </cell>
        </row>
        <row r="20">
          <cell r="H20" t="str">
            <v>8715738911055</v>
          </cell>
          <cell r="I20" t="str">
            <v>Reach Ultra Kite</v>
          </cell>
          <cell r="J20" t="str">
            <v>900</v>
          </cell>
          <cell r="K20" t="str">
            <v>Black</v>
          </cell>
          <cell r="L20" t="str">
            <v>12m</v>
          </cell>
          <cell r="M20" t="str">
            <v>New</v>
          </cell>
          <cell r="N20" t="str">
            <v xml:space="preserve">North Kite &amp; Foils </v>
          </cell>
          <cell r="P20" t="str">
            <v>85000.26001490012m</v>
          </cell>
          <cell r="Q20">
            <v>6</v>
          </cell>
          <cell r="R20" t="e">
            <v>#VALUE!</v>
          </cell>
          <cell r="S20" t="e">
            <v>#VALUE!</v>
          </cell>
          <cell r="T20" t="str">
            <v/>
          </cell>
          <cell r="U20" t="str">
            <v/>
          </cell>
          <cell r="V20">
            <v>1670.3225806451612</v>
          </cell>
          <cell r="W20">
            <v>2589</v>
          </cell>
          <cell r="X20">
            <v>1670.3999999999999</v>
          </cell>
          <cell r="Y20">
            <v>1.5499281609195403</v>
          </cell>
          <cell r="Z20">
            <v>1085.7096774193549</v>
          </cell>
          <cell r="AA20">
            <v>1085.8</v>
          </cell>
          <cell r="AB20">
            <v>1313.7087096774194</v>
          </cell>
          <cell r="AC20">
            <v>1313.8</v>
          </cell>
        </row>
        <row r="21">
          <cell r="H21" t="str">
            <v>8715738911062</v>
          </cell>
          <cell r="I21" t="str">
            <v>Reach Ultra Kite</v>
          </cell>
          <cell r="J21" t="str">
            <v>900</v>
          </cell>
          <cell r="K21" t="str">
            <v>Black</v>
          </cell>
          <cell r="L21" t="str">
            <v>13m</v>
          </cell>
          <cell r="M21" t="str">
            <v>New</v>
          </cell>
          <cell r="N21" t="str">
            <v xml:space="preserve">North Kite &amp; Foils </v>
          </cell>
          <cell r="P21" t="str">
            <v>85000.26001490013m</v>
          </cell>
          <cell r="Q21">
            <v>7</v>
          </cell>
          <cell r="R21" t="e">
            <v>#VALUE!</v>
          </cell>
          <cell r="S21" t="e">
            <v>#VALUE!</v>
          </cell>
          <cell r="T21" t="str">
            <v/>
          </cell>
          <cell r="U21" t="str">
            <v/>
          </cell>
          <cell r="V21">
            <v>1728.3870967741934</v>
          </cell>
          <cell r="W21">
            <v>2679</v>
          </cell>
          <cell r="X21">
            <v>1728.3999999999999</v>
          </cell>
          <cell r="Y21">
            <v>1.5499884286044898</v>
          </cell>
          <cell r="Z21">
            <v>1123.4516129032259</v>
          </cell>
          <cell r="AA21">
            <v>1123.5</v>
          </cell>
          <cell r="AB21">
            <v>1359.3764516129033</v>
          </cell>
          <cell r="AC21">
            <v>1359.3999999999999</v>
          </cell>
        </row>
        <row r="22">
          <cell r="H22" t="str">
            <v>8715738911079</v>
          </cell>
          <cell r="I22" t="str">
            <v>Reach Ultra Kite</v>
          </cell>
          <cell r="J22" t="str">
            <v>900</v>
          </cell>
          <cell r="K22" t="str">
            <v>Black</v>
          </cell>
          <cell r="L22" t="str">
            <v>15m</v>
          </cell>
          <cell r="M22" t="str">
            <v>New</v>
          </cell>
          <cell r="N22" t="str">
            <v xml:space="preserve">North Kite &amp; Foils </v>
          </cell>
          <cell r="P22" t="str">
            <v>85000.26001490015m</v>
          </cell>
          <cell r="Q22">
            <v>8</v>
          </cell>
          <cell r="R22" t="e">
            <v>#VALUE!</v>
          </cell>
          <cell r="S22" t="e">
            <v>#VALUE!</v>
          </cell>
          <cell r="T22" t="str">
            <v/>
          </cell>
          <cell r="U22" t="str">
            <v/>
          </cell>
          <cell r="V22">
            <v>1786.4516129032259</v>
          </cell>
          <cell r="W22">
            <v>2769</v>
          </cell>
          <cell r="X22">
            <v>1786.5</v>
          </cell>
          <cell r="Y22">
            <v>1.5499580184718724</v>
          </cell>
          <cell r="Z22">
            <v>1161.1935483870968</v>
          </cell>
          <cell r="AA22">
            <v>1161.1999999999998</v>
          </cell>
          <cell r="AB22">
            <v>1405.0441935483871</v>
          </cell>
          <cell r="AC22">
            <v>1405.1</v>
          </cell>
        </row>
        <row r="23">
          <cell r="H23" t="str">
            <v>8715738911086</v>
          </cell>
          <cell r="I23" t="str">
            <v>Reach Ultra Kite</v>
          </cell>
          <cell r="J23" t="str">
            <v>900</v>
          </cell>
          <cell r="K23" t="str">
            <v>Black</v>
          </cell>
          <cell r="L23" t="str">
            <v>17m</v>
          </cell>
          <cell r="M23" t="str">
            <v>New</v>
          </cell>
          <cell r="N23" t="str">
            <v xml:space="preserve">North Kite &amp; Foils </v>
          </cell>
          <cell r="P23" t="str">
            <v>85000.26001490017m</v>
          </cell>
          <cell r="Q23">
            <v>9</v>
          </cell>
          <cell r="R23" t="e">
            <v>#VALUE!</v>
          </cell>
          <cell r="S23" t="e">
            <v>#VALUE!</v>
          </cell>
          <cell r="T23" t="str">
            <v/>
          </cell>
          <cell r="U23" t="str">
            <v/>
          </cell>
          <cell r="V23">
            <v>1844.516129032258</v>
          </cell>
          <cell r="W23">
            <v>2859</v>
          </cell>
          <cell r="X23">
            <v>1844.6</v>
          </cell>
          <cell r="Y23">
            <v>1.5499295240160469</v>
          </cell>
          <cell r="Z23">
            <v>1198.9354838709678</v>
          </cell>
          <cell r="AA23">
            <v>1199</v>
          </cell>
          <cell r="AB23">
            <v>1450.711935483871</v>
          </cell>
          <cell r="AC23">
            <v>1450.8</v>
          </cell>
        </row>
        <row r="24">
          <cell r="H24" t="str">
            <v>8715738909267</v>
          </cell>
          <cell r="I24" t="str">
            <v>Reach Kite</v>
          </cell>
          <cell r="J24" t="str">
            <v>200</v>
          </cell>
          <cell r="K24" t="str">
            <v>Orange</v>
          </cell>
          <cell r="L24" t="str">
            <v>5m</v>
          </cell>
          <cell r="M24" t="str">
            <v>New</v>
          </cell>
          <cell r="N24" t="str">
            <v xml:space="preserve">North Kite &amp; Foils </v>
          </cell>
          <cell r="P24" t="str">
            <v>85000.2600042005m</v>
          </cell>
          <cell r="Q24">
            <v>10</v>
          </cell>
          <cell r="R24" t="e">
            <v>#VALUE!</v>
          </cell>
          <cell r="S24" t="e">
            <v>#VALUE!</v>
          </cell>
          <cell r="T24" t="str">
            <v/>
          </cell>
          <cell r="U24" t="str">
            <v/>
          </cell>
          <cell r="V24">
            <v>967.09677419354841</v>
          </cell>
          <cell r="W24">
            <v>1499</v>
          </cell>
          <cell r="X24">
            <v>967.1</v>
          </cell>
          <cell r="Y24">
            <v>1.5499948299038362</v>
          </cell>
          <cell r="Z24">
            <v>628.61290322580646</v>
          </cell>
          <cell r="AA24">
            <v>628.70000000000005</v>
          </cell>
          <cell r="AB24">
            <v>760.62161290322581</v>
          </cell>
          <cell r="AC24">
            <v>760.7</v>
          </cell>
        </row>
        <row r="25">
          <cell r="H25" t="str">
            <v>8715738909274</v>
          </cell>
          <cell r="I25" t="str">
            <v>Reach Kite</v>
          </cell>
          <cell r="J25" t="str">
            <v>200</v>
          </cell>
          <cell r="K25" t="str">
            <v>Orange</v>
          </cell>
          <cell r="L25" t="str">
            <v>6m</v>
          </cell>
          <cell r="M25" t="str">
            <v>New</v>
          </cell>
          <cell r="N25" t="str">
            <v xml:space="preserve">North Kite &amp; Foils </v>
          </cell>
          <cell r="P25" t="str">
            <v>85000.2600042006m</v>
          </cell>
          <cell r="Q25">
            <v>11</v>
          </cell>
          <cell r="R25" t="e">
            <v>#VALUE!</v>
          </cell>
          <cell r="S25" t="e">
            <v>#VALUE!</v>
          </cell>
          <cell r="T25" t="str">
            <v/>
          </cell>
          <cell r="U25" t="str">
            <v/>
          </cell>
          <cell r="V25">
            <v>1018.7096774193548</v>
          </cell>
          <cell r="W25">
            <v>1579</v>
          </cell>
          <cell r="X25">
            <v>1018.8000000000001</v>
          </cell>
          <cell r="Y25">
            <v>1.5498625834314879</v>
          </cell>
          <cell r="Z25">
            <v>662.16129032258061</v>
          </cell>
          <cell r="AA25">
            <v>662.2</v>
          </cell>
          <cell r="AB25">
            <v>801.2151612903225</v>
          </cell>
          <cell r="AC25">
            <v>801.30000000000007</v>
          </cell>
        </row>
        <row r="26">
          <cell r="H26" t="str">
            <v>8715738909281</v>
          </cell>
          <cell r="I26" t="str">
            <v>Reach Kite</v>
          </cell>
          <cell r="J26" t="str">
            <v>200</v>
          </cell>
          <cell r="K26" t="str">
            <v>Orange</v>
          </cell>
          <cell r="L26" t="str">
            <v>7m</v>
          </cell>
          <cell r="M26" t="str">
            <v>New</v>
          </cell>
          <cell r="N26" t="str">
            <v xml:space="preserve">North Kite &amp; Foils </v>
          </cell>
          <cell r="P26" t="str">
            <v>85000.2600042007m</v>
          </cell>
          <cell r="Q26">
            <v>12</v>
          </cell>
          <cell r="R26" t="e">
            <v>#VALUE!</v>
          </cell>
          <cell r="S26" t="e">
            <v>#VALUE!</v>
          </cell>
          <cell r="T26" t="str">
            <v/>
          </cell>
          <cell r="U26" t="str">
            <v/>
          </cell>
          <cell r="V26">
            <v>1070.3225806451612</v>
          </cell>
          <cell r="W26">
            <v>1659</v>
          </cell>
          <cell r="X26">
            <v>1070.3999999999999</v>
          </cell>
          <cell r="Y26">
            <v>1.5498878923766819</v>
          </cell>
          <cell r="Z26">
            <v>695.70967741935488</v>
          </cell>
          <cell r="AA26">
            <v>695.80000000000007</v>
          </cell>
          <cell r="AB26">
            <v>841.80870967741942</v>
          </cell>
          <cell r="AC26">
            <v>841.9</v>
          </cell>
        </row>
        <row r="27">
          <cell r="H27" t="str">
            <v>8715738909298</v>
          </cell>
          <cell r="I27" t="str">
            <v>Reach Kite</v>
          </cell>
          <cell r="J27" t="str">
            <v>200</v>
          </cell>
          <cell r="K27" t="str">
            <v>Orange</v>
          </cell>
          <cell r="L27" t="str">
            <v>8m</v>
          </cell>
          <cell r="M27" t="str">
            <v>New</v>
          </cell>
          <cell r="N27" t="str">
            <v xml:space="preserve">North Kite &amp; Foils </v>
          </cell>
          <cell r="P27" t="str">
            <v>85000.2600042008m</v>
          </cell>
          <cell r="Q27">
            <v>13</v>
          </cell>
          <cell r="R27" t="e">
            <v>#VALUE!</v>
          </cell>
          <cell r="S27" t="e">
            <v>#VALUE!</v>
          </cell>
          <cell r="T27" t="str">
            <v/>
          </cell>
          <cell r="U27" t="str">
            <v/>
          </cell>
          <cell r="V27">
            <v>1115.483870967742</v>
          </cell>
          <cell r="W27">
            <v>1729</v>
          </cell>
          <cell r="X27">
            <v>1115.5</v>
          </cell>
          <cell r="Y27">
            <v>1.5499775885253249</v>
          </cell>
          <cell r="Z27">
            <v>725.06451612903231</v>
          </cell>
          <cell r="AA27">
            <v>725.1</v>
          </cell>
          <cell r="AB27">
            <v>877.32806451612907</v>
          </cell>
          <cell r="AC27">
            <v>877.4</v>
          </cell>
        </row>
        <row r="28">
          <cell r="H28" t="str">
            <v>8715738909304</v>
          </cell>
          <cell r="I28" t="str">
            <v>Reach Kite</v>
          </cell>
          <cell r="J28" t="str">
            <v>200</v>
          </cell>
          <cell r="K28" t="str">
            <v>Orange</v>
          </cell>
          <cell r="L28" t="str">
            <v>9m</v>
          </cell>
          <cell r="M28" t="str">
            <v>New</v>
          </cell>
          <cell r="N28" t="str">
            <v xml:space="preserve">North Kite &amp; Foils </v>
          </cell>
          <cell r="P28" t="str">
            <v>85000.2600042009m</v>
          </cell>
          <cell r="Q28">
            <v>14</v>
          </cell>
          <cell r="R28" t="e">
            <v>#VALUE!</v>
          </cell>
          <cell r="S28" t="e">
            <v>#VALUE!</v>
          </cell>
          <cell r="T28" t="str">
            <v/>
          </cell>
          <cell r="U28" t="str">
            <v/>
          </cell>
          <cell r="V28">
            <v>1167.0967741935483</v>
          </cell>
          <cell r="W28">
            <v>1809</v>
          </cell>
          <cell r="X28">
            <v>1167.0999999999999</v>
          </cell>
          <cell r="Y28">
            <v>1.5499957158769602</v>
          </cell>
          <cell r="Z28">
            <v>758.61290322580646</v>
          </cell>
          <cell r="AA28">
            <v>758.7</v>
          </cell>
          <cell r="AB28">
            <v>917.92161290322576</v>
          </cell>
          <cell r="AC28">
            <v>918</v>
          </cell>
        </row>
        <row r="29">
          <cell r="H29" t="str">
            <v>8715738909311</v>
          </cell>
          <cell r="I29" t="str">
            <v>Reach Kite</v>
          </cell>
          <cell r="J29" t="str">
            <v>200</v>
          </cell>
          <cell r="K29" t="str">
            <v>Orange</v>
          </cell>
          <cell r="L29" t="str">
            <v>10m</v>
          </cell>
          <cell r="M29" t="str">
            <v>New</v>
          </cell>
          <cell r="N29" t="str">
            <v xml:space="preserve">North Kite &amp; Foils </v>
          </cell>
          <cell r="P29" t="str">
            <v>85000.26000420010m</v>
          </cell>
          <cell r="Q29">
            <v>15</v>
          </cell>
          <cell r="R29" t="e">
            <v>#VALUE!</v>
          </cell>
          <cell r="S29" t="e">
            <v>#VALUE!</v>
          </cell>
          <cell r="T29" t="str">
            <v/>
          </cell>
          <cell r="U29" t="str">
            <v/>
          </cell>
          <cell r="V29">
            <v>1218.7096774193549</v>
          </cell>
          <cell r="W29">
            <v>1889</v>
          </cell>
          <cell r="X29">
            <v>1218.8</v>
          </cell>
          <cell r="Y29">
            <v>1.549885132917624</v>
          </cell>
          <cell r="Z29">
            <v>792.16129032258073</v>
          </cell>
          <cell r="AA29">
            <v>792.2</v>
          </cell>
          <cell r="AB29">
            <v>958.51516129032268</v>
          </cell>
          <cell r="AC29">
            <v>958.6</v>
          </cell>
        </row>
        <row r="30">
          <cell r="H30" t="str">
            <v>8715738909328</v>
          </cell>
          <cell r="I30" t="str">
            <v>Reach Kite</v>
          </cell>
          <cell r="J30" t="str">
            <v>200</v>
          </cell>
          <cell r="K30" t="str">
            <v>Orange</v>
          </cell>
          <cell r="L30" t="str">
            <v>11m</v>
          </cell>
          <cell r="M30" t="str">
            <v>New</v>
          </cell>
          <cell r="N30" t="str">
            <v xml:space="preserve">North Kite &amp; Foils </v>
          </cell>
          <cell r="P30" t="str">
            <v>85000.26000420011m</v>
          </cell>
          <cell r="Q30">
            <v>16</v>
          </cell>
          <cell r="R30" t="e">
            <v>#VALUE!</v>
          </cell>
          <cell r="S30" t="e">
            <v>#VALUE!</v>
          </cell>
          <cell r="T30" t="str">
            <v/>
          </cell>
          <cell r="U30" t="str">
            <v/>
          </cell>
          <cell r="V30">
            <v>1270.3225806451612</v>
          </cell>
          <cell r="W30">
            <v>1969</v>
          </cell>
          <cell r="X30">
            <v>1270.3999999999999</v>
          </cell>
          <cell r="Y30">
            <v>1.5499055415617131</v>
          </cell>
          <cell r="Z30">
            <v>825.70967741935488</v>
          </cell>
          <cell r="AA30">
            <v>825.80000000000007</v>
          </cell>
          <cell r="AB30">
            <v>999.10870967741937</v>
          </cell>
          <cell r="AC30">
            <v>999.2</v>
          </cell>
        </row>
        <row r="31">
          <cell r="H31" t="str">
            <v>8715738909335</v>
          </cell>
          <cell r="I31" t="str">
            <v>Reach Kite</v>
          </cell>
          <cell r="J31" t="str">
            <v>200</v>
          </cell>
          <cell r="K31" t="str">
            <v>Orange</v>
          </cell>
          <cell r="L31" t="str">
            <v>12m</v>
          </cell>
          <cell r="M31" t="str">
            <v>New</v>
          </cell>
          <cell r="N31" t="str">
            <v xml:space="preserve">North Kite &amp; Foils </v>
          </cell>
          <cell r="P31" t="str">
            <v>85000.26000420012m</v>
          </cell>
          <cell r="Q31">
            <v>17</v>
          </cell>
          <cell r="R31" t="e">
            <v>#VALUE!</v>
          </cell>
          <cell r="S31" t="e">
            <v>#VALUE!</v>
          </cell>
          <cell r="T31" t="str">
            <v/>
          </cell>
          <cell r="U31" t="str">
            <v/>
          </cell>
          <cell r="V31">
            <v>1321.9354838709678</v>
          </cell>
          <cell r="W31">
            <v>2049</v>
          </cell>
          <cell r="X31">
            <v>1322</v>
          </cell>
          <cell r="Y31">
            <v>1.5499243570347958</v>
          </cell>
          <cell r="Z31">
            <v>859.25806451612914</v>
          </cell>
          <cell r="AA31">
            <v>859.30000000000007</v>
          </cell>
          <cell r="AB31">
            <v>1039.7022580645162</v>
          </cell>
          <cell r="AC31">
            <v>1039.8</v>
          </cell>
        </row>
        <row r="32">
          <cell r="H32" t="str">
            <v>8715738909397</v>
          </cell>
          <cell r="I32" t="str">
            <v>Reach Kite</v>
          </cell>
          <cell r="J32" t="str">
            <v>415</v>
          </cell>
          <cell r="K32" t="str">
            <v>Turquoise</v>
          </cell>
          <cell r="L32" t="str">
            <v>6m</v>
          </cell>
          <cell r="M32" t="str">
            <v>New</v>
          </cell>
          <cell r="N32" t="str">
            <v xml:space="preserve">North Kite &amp; Foils </v>
          </cell>
          <cell r="P32" t="str">
            <v>85000.2600044156m</v>
          </cell>
          <cell r="Q32">
            <v>18</v>
          </cell>
          <cell r="R32" t="e">
            <v>#VALUE!</v>
          </cell>
          <cell r="S32" t="e">
            <v>#VALUE!</v>
          </cell>
          <cell r="T32" t="str">
            <v/>
          </cell>
          <cell r="U32" t="str">
            <v/>
          </cell>
          <cell r="V32">
            <v>1018.7096774193548</v>
          </cell>
          <cell r="W32">
            <v>1579</v>
          </cell>
          <cell r="X32">
            <v>1018.8000000000001</v>
          </cell>
          <cell r="Y32">
            <v>1.5498625834314879</v>
          </cell>
          <cell r="Z32">
            <v>662.16129032258061</v>
          </cell>
          <cell r="AA32">
            <v>662.2</v>
          </cell>
          <cell r="AB32">
            <v>801.2151612903225</v>
          </cell>
          <cell r="AC32">
            <v>801.30000000000007</v>
          </cell>
        </row>
        <row r="33">
          <cell r="H33" t="str">
            <v>8715738909403</v>
          </cell>
          <cell r="I33" t="str">
            <v>Reach Kite</v>
          </cell>
          <cell r="J33" t="str">
            <v>415</v>
          </cell>
          <cell r="K33" t="str">
            <v>Turquoise</v>
          </cell>
          <cell r="L33" t="str">
            <v>7m</v>
          </cell>
          <cell r="M33" t="str">
            <v>New</v>
          </cell>
          <cell r="N33" t="str">
            <v xml:space="preserve">North Kite &amp; Foils </v>
          </cell>
          <cell r="P33" t="str">
            <v>85000.2600044157m</v>
          </cell>
          <cell r="Q33">
            <v>19</v>
          </cell>
          <cell r="R33" t="e">
            <v>#VALUE!</v>
          </cell>
          <cell r="S33" t="e">
            <v>#VALUE!</v>
          </cell>
          <cell r="T33" t="str">
            <v/>
          </cell>
          <cell r="U33" t="str">
            <v/>
          </cell>
          <cell r="V33">
            <v>1070.3225806451612</v>
          </cell>
          <cell r="W33">
            <v>1659</v>
          </cell>
          <cell r="X33">
            <v>1070.3999999999999</v>
          </cell>
          <cell r="Y33">
            <v>1.5498878923766819</v>
          </cell>
          <cell r="Z33">
            <v>695.70967741935488</v>
          </cell>
          <cell r="AA33">
            <v>695.80000000000007</v>
          </cell>
          <cell r="AB33">
            <v>841.80870967741942</v>
          </cell>
          <cell r="AC33">
            <v>841.9</v>
          </cell>
        </row>
        <row r="34">
          <cell r="H34" t="str">
            <v>8715738909410</v>
          </cell>
          <cell r="I34" t="str">
            <v>Reach Kite</v>
          </cell>
          <cell r="J34" t="str">
            <v>415</v>
          </cell>
          <cell r="K34" t="str">
            <v>Turquoise</v>
          </cell>
          <cell r="L34" t="str">
            <v>8m</v>
          </cell>
          <cell r="M34" t="str">
            <v>New</v>
          </cell>
          <cell r="N34" t="str">
            <v xml:space="preserve">North Kite &amp; Foils </v>
          </cell>
          <cell r="P34" t="str">
            <v>85000.2600044158m</v>
          </cell>
          <cell r="Q34">
            <v>20</v>
          </cell>
          <cell r="R34" t="e">
            <v>#VALUE!</v>
          </cell>
          <cell r="S34" t="e">
            <v>#VALUE!</v>
          </cell>
          <cell r="T34" t="str">
            <v/>
          </cell>
          <cell r="U34" t="str">
            <v/>
          </cell>
          <cell r="V34">
            <v>1115.483870967742</v>
          </cell>
          <cell r="W34">
            <v>1729</v>
          </cell>
          <cell r="X34">
            <v>1115.5</v>
          </cell>
          <cell r="Y34">
            <v>1.5499775885253249</v>
          </cell>
          <cell r="Z34">
            <v>725.06451612903231</v>
          </cell>
          <cell r="AA34">
            <v>725.1</v>
          </cell>
          <cell r="AB34">
            <v>877.32806451612907</v>
          </cell>
          <cell r="AC34">
            <v>877.4</v>
          </cell>
        </row>
        <row r="35">
          <cell r="H35" t="str">
            <v>8715738909427</v>
          </cell>
          <cell r="I35" t="str">
            <v>Reach Kite</v>
          </cell>
          <cell r="J35" t="str">
            <v>415</v>
          </cell>
          <cell r="K35" t="str">
            <v>Turquoise</v>
          </cell>
          <cell r="L35" t="str">
            <v>9m</v>
          </cell>
          <cell r="M35" t="str">
            <v>New</v>
          </cell>
          <cell r="N35" t="str">
            <v xml:space="preserve">North Kite &amp; Foils </v>
          </cell>
          <cell r="P35" t="str">
            <v>85000.2600044159m</v>
          </cell>
          <cell r="Q35">
            <v>21</v>
          </cell>
          <cell r="R35" t="e">
            <v>#VALUE!</v>
          </cell>
          <cell r="S35" t="e">
            <v>#VALUE!</v>
          </cell>
          <cell r="T35" t="str">
            <v/>
          </cell>
          <cell r="U35" t="str">
            <v/>
          </cell>
          <cell r="V35">
            <v>1167.0967741935483</v>
          </cell>
          <cell r="W35">
            <v>1809</v>
          </cell>
          <cell r="X35">
            <v>1167.0999999999999</v>
          </cell>
          <cell r="Y35">
            <v>1.5499957158769602</v>
          </cell>
          <cell r="Z35">
            <v>758.61290322580646</v>
          </cell>
          <cell r="AA35">
            <v>758.7</v>
          </cell>
          <cell r="AB35">
            <v>917.92161290322576</v>
          </cell>
          <cell r="AC35">
            <v>918</v>
          </cell>
        </row>
        <row r="36">
          <cell r="H36" t="str">
            <v>8715738909434</v>
          </cell>
          <cell r="I36" t="str">
            <v>Reach Kite</v>
          </cell>
          <cell r="J36" t="str">
            <v>415</v>
          </cell>
          <cell r="K36" t="str">
            <v>Turquoise</v>
          </cell>
          <cell r="L36" t="str">
            <v>10m</v>
          </cell>
          <cell r="M36" t="str">
            <v>New</v>
          </cell>
          <cell r="N36" t="str">
            <v xml:space="preserve">North Kite &amp; Foils </v>
          </cell>
          <cell r="P36" t="str">
            <v>85000.26000441510m</v>
          </cell>
          <cell r="Q36">
            <v>22</v>
          </cell>
          <cell r="R36" t="e">
            <v>#VALUE!</v>
          </cell>
          <cell r="S36" t="e">
            <v>#VALUE!</v>
          </cell>
          <cell r="T36" t="str">
            <v/>
          </cell>
          <cell r="U36" t="str">
            <v/>
          </cell>
          <cell r="V36">
            <v>1218.7096774193549</v>
          </cell>
          <cell r="W36">
            <v>1889</v>
          </cell>
          <cell r="X36">
            <v>1218.8</v>
          </cell>
          <cell r="Y36">
            <v>1.549885132917624</v>
          </cell>
          <cell r="Z36">
            <v>792.16129032258073</v>
          </cell>
          <cell r="AA36">
            <v>792.2</v>
          </cell>
          <cell r="AB36">
            <v>958.51516129032268</v>
          </cell>
          <cell r="AC36">
            <v>958.6</v>
          </cell>
        </row>
        <row r="37">
          <cell r="H37" t="str">
            <v>8715738909441</v>
          </cell>
          <cell r="I37" t="str">
            <v>Reach Kite</v>
          </cell>
          <cell r="J37" t="str">
            <v>415</v>
          </cell>
          <cell r="K37" t="str">
            <v>Turquoise</v>
          </cell>
          <cell r="L37" t="str">
            <v>11m</v>
          </cell>
          <cell r="M37" t="str">
            <v>New</v>
          </cell>
          <cell r="N37" t="str">
            <v xml:space="preserve">North Kite &amp; Foils </v>
          </cell>
          <cell r="P37" t="str">
            <v>85000.26000441511m</v>
          </cell>
          <cell r="Q37">
            <v>23</v>
          </cell>
          <cell r="R37" t="e">
            <v>#VALUE!</v>
          </cell>
          <cell r="S37" t="e">
            <v>#VALUE!</v>
          </cell>
          <cell r="T37" t="str">
            <v/>
          </cell>
          <cell r="U37" t="str">
            <v/>
          </cell>
          <cell r="V37">
            <v>1270.3225806451612</v>
          </cell>
          <cell r="W37">
            <v>1969</v>
          </cell>
          <cell r="X37">
            <v>1270.3999999999999</v>
          </cell>
          <cell r="Y37">
            <v>1.5499055415617131</v>
          </cell>
          <cell r="Z37">
            <v>825.70967741935488</v>
          </cell>
          <cell r="AA37">
            <v>825.80000000000007</v>
          </cell>
          <cell r="AB37">
            <v>999.10870967741937</v>
          </cell>
          <cell r="AC37">
            <v>999.2</v>
          </cell>
        </row>
        <row r="38">
          <cell r="H38" t="str">
            <v>8715738909458</v>
          </cell>
          <cell r="I38" t="str">
            <v>Reach Kite</v>
          </cell>
          <cell r="J38" t="str">
            <v>415</v>
          </cell>
          <cell r="K38" t="str">
            <v>Turquoise</v>
          </cell>
          <cell r="L38" t="str">
            <v>12m</v>
          </cell>
          <cell r="M38" t="str">
            <v>New</v>
          </cell>
          <cell r="N38" t="str">
            <v xml:space="preserve">North Kite &amp; Foils </v>
          </cell>
          <cell r="P38" t="str">
            <v>85000.26000441512m</v>
          </cell>
          <cell r="Q38">
            <v>24</v>
          </cell>
          <cell r="R38" t="e">
            <v>#VALUE!</v>
          </cell>
          <cell r="S38" t="e">
            <v>#VALUE!</v>
          </cell>
          <cell r="T38" t="str">
            <v/>
          </cell>
          <cell r="U38" t="str">
            <v/>
          </cell>
          <cell r="V38">
            <v>1321.9354838709678</v>
          </cell>
          <cell r="W38">
            <v>2049</v>
          </cell>
          <cell r="X38">
            <v>1322</v>
          </cell>
          <cell r="Y38">
            <v>1.5499243570347958</v>
          </cell>
          <cell r="Z38">
            <v>859.25806451612914</v>
          </cell>
          <cell r="AA38">
            <v>859.30000000000007</v>
          </cell>
          <cell r="AB38">
            <v>1039.7022580645162</v>
          </cell>
          <cell r="AC38">
            <v>1039.8</v>
          </cell>
        </row>
        <row r="39">
          <cell r="H39" t="str">
            <v>8715738909465</v>
          </cell>
          <cell r="I39" t="str">
            <v>Reach Kite</v>
          </cell>
          <cell r="J39" t="str">
            <v>415</v>
          </cell>
          <cell r="K39" t="str">
            <v>Turquoise</v>
          </cell>
          <cell r="L39" t="str">
            <v>13m</v>
          </cell>
          <cell r="M39" t="str">
            <v>New</v>
          </cell>
          <cell r="N39" t="str">
            <v xml:space="preserve">North Kite &amp; Foils </v>
          </cell>
          <cell r="P39" t="str">
            <v>85000.26000441513m</v>
          </cell>
          <cell r="Q39">
            <v>25</v>
          </cell>
          <cell r="R39" t="e">
            <v>#VALUE!</v>
          </cell>
          <cell r="S39" t="e">
            <v>#VALUE!</v>
          </cell>
          <cell r="T39" t="str">
            <v/>
          </cell>
          <cell r="U39" t="str">
            <v/>
          </cell>
          <cell r="V39">
            <v>1367.0967741935483</v>
          </cell>
          <cell r="W39">
            <v>2119</v>
          </cell>
          <cell r="X39">
            <v>1367.1</v>
          </cell>
          <cell r="Y39">
            <v>1.5499963426230707</v>
          </cell>
          <cell r="Z39">
            <v>888.61290322580646</v>
          </cell>
          <cell r="AA39">
            <v>888.7</v>
          </cell>
          <cell r="AB39">
            <v>1075.2216129032258</v>
          </cell>
          <cell r="AC39">
            <v>1075.3</v>
          </cell>
        </row>
        <row r="40">
          <cell r="H40" t="str">
            <v>8715738909472</v>
          </cell>
          <cell r="I40" t="str">
            <v>Reach Kite</v>
          </cell>
          <cell r="J40" t="str">
            <v>415</v>
          </cell>
          <cell r="K40" t="str">
            <v>Turquoise</v>
          </cell>
          <cell r="L40" t="str">
            <v>15m</v>
          </cell>
          <cell r="M40" t="str">
            <v>New</v>
          </cell>
          <cell r="N40" t="str">
            <v xml:space="preserve">North Kite &amp; Foils </v>
          </cell>
          <cell r="P40" t="str">
            <v>85000.26000441515m</v>
          </cell>
          <cell r="Q40">
            <v>26</v>
          </cell>
          <cell r="R40" t="e">
            <v>#VALUE!</v>
          </cell>
          <cell r="S40" t="e">
            <v>#VALUE!</v>
          </cell>
          <cell r="T40" t="str">
            <v/>
          </cell>
          <cell r="U40" t="str">
            <v/>
          </cell>
          <cell r="V40">
            <v>1470.3225806451612</v>
          </cell>
          <cell r="W40">
            <v>2279</v>
          </cell>
          <cell r="X40">
            <v>1470.3999999999999</v>
          </cell>
          <cell r="Y40">
            <v>1.5499183895538631</v>
          </cell>
          <cell r="Z40">
            <v>955.70967741935488</v>
          </cell>
          <cell r="AA40">
            <v>955.80000000000007</v>
          </cell>
          <cell r="AB40">
            <v>1156.4087096774194</v>
          </cell>
          <cell r="AC40">
            <v>1156.5</v>
          </cell>
        </row>
        <row r="41">
          <cell r="H41" t="str">
            <v>8715738909489</v>
          </cell>
          <cell r="I41" t="str">
            <v>Reach Kite</v>
          </cell>
          <cell r="J41" t="str">
            <v>415</v>
          </cell>
          <cell r="K41" t="str">
            <v>Turquoise</v>
          </cell>
          <cell r="L41" t="str">
            <v>17m</v>
          </cell>
          <cell r="M41" t="str">
            <v>New</v>
          </cell>
          <cell r="N41" t="str">
            <v xml:space="preserve">North Kite &amp; Foils </v>
          </cell>
          <cell r="P41" t="str">
            <v>85000.26000441517m</v>
          </cell>
          <cell r="Q41">
            <v>27</v>
          </cell>
          <cell r="R41" t="e">
            <v>#VALUE!</v>
          </cell>
          <cell r="S41" t="e">
            <v>#VALUE!</v>
          </cell>
          <cell r="T41" t="str">
            <v/>
          </cell>
          <cell r="U41" t="str">
            <v/>
          </cell>
          <cell r="V41">
            <v>1573.5483870967741</v>
          </cell>
          <cell r="W41">
            <v>2439</v>
          </cell>
          <cell r="X41">
            <v>1573.6</v>
          </cell>
          <cell r="Y41">
            <v>1.5499491611591256</v>
          </cell>
          <cell r="Z41">
            <v>1022.8064516129033</v>
          </cell>
          <cell r="AA41">
            <v>1022.9</v>
          </cell>
          <cell r="AB41">
            <v>1237.595806451613</v>
          </cell>
          <cell r="AC41">
            <v>1237.5999999999999</v>
          </cell>
        </row>
        <row r="42">
          <cell r="H42" t="str">
            <v>8715738909496</v>
          </cell>
          <cell r="I42" t="str">
            <v>Reach Kite</v>
          </cell>
          <cell r="J42" t="str">
            <v>415</v>
          </cell>
          <cell r="K42" t="str">
            <v>Turquoise</v>
          </cell>
          <cell r="L42" t="str">
            <v>19m</v>
          </cell>
          <cell r="M42" t="str">
            <v>New</v>
          </cell>
          <cell r="N42" t="str">
            <v xml:space="preserve">North Kite &amp; Foils </v>
          </cell>
          <cell r="P42" t="str">
            <v>85000.26000441519m</v>
          </cell>
          <cell r="Q42">
            <v>28</v>
          </cell>
          <cell r="R42" t="e">
            <v>#VALUE!</v>
          </cell>
          <cell r="S42" t="e">
            <v>#VALUE!</v>
          </cell>
          <cell r="T42" t="str">
            <v/>
          </cell>
          <cell r="U42" t="str">
            <v/>
          </cell>
          <cell r="V42">
            <v>1676.7741935483871</v>
          </cell>
          <cell r="W42">
            <v>2599</v>
          </cell>
          <cell r="X42">
            <v>1676.8</v>
          </cell>
          <cell r="Y42">
            <v>1.5499761450381679</v>
          </cell>
          <cell r="Z42">
            <v>1089.9032258064517</v>
          </cell>
          <cell r="AA42">
            <v>1090</v>
          </cell>
          <cell r="AB42">
            <v>1318.7829032258064</v>
          </cell>
          <cell r="AC42">
            <v>1318.8</v>
          </cell>
        </row>
        <row r="43">
          <cell r="H43" t="str">
            <v>8715738909519</v>
          </cell>
          <cell r="I43" t="str">
            <v>Reach Kite</v>
          </cell>
          <cell r="J43" t="str">
            <v>512</v>
          </cell>
          <cell r="K43" t="str">
            <v>Deep Purple</v>
          </cell>
          <cell r="L43" t="str">
            <v>6m</v>
          </cell>
          <cell r="M43" t="str">
            <v>New</v>
          </cell>
          <cell r="N43" t="str">
            <v xml:space="preserve">North Kite &amp; Foils </v>
          </cell>
          <cell r="P43" t="str">
            <v>85000.2600045126m</v>
          </cell>
          <cell r="Q43">
            <v>29</v>
          </cell>
          <cell r="R43" t="e">
            <v>#VALUE!</v>
          </cell>
          <cell r="S43" t="e">
            <v>#VALUE!</v>
          </cell>
          <cell r="T43" t="str">
            <v/>
          </cell>
          <cell r="U43" t="str">
            <v/>
          </cell>
          <cell r="V43">
            <v>1018.7096774193548</v>
          </cell>
          <cell r="W43">
            <v>1579</v>
          </cell>
          <cell r="X43">
            <v>1018.8000000000001</v>
          </cell>
          <cell r="Y43">
            <v>1.5498625834314879</v>
          </cell>
          <cell r="Z43">
            <v>662.16129032258061</v>
          </cell>
          <cell r="AA43">
            <v>662.2</v>
          </cell>
          <cell r="AB43">
            <v>801.2151612903225</v>
          </cell>
          <cell r="AC43">
            <v>801.30000000000007</v>
          </cell>
        </row>
        <row r="44">
          <cell r="H44" t="str">
            <v>8715738909526</v>
          </cell>
          <cell r="I44" t="str">
            <v>Reach Kite</v>
          </cell>
          <cell r="J44" t="str">
            <v>512</v>
          </cell>
          <cell r="K44" t="str">
            <v>Deep Purple</v>
          </cell>
          <cell r="L44" t="str">
            <v>7m</v>
          </cell>
          <cell r="M44" t="str">
            <v>New</v>
          </cell>
          <cell r="N44" t="str">
            <v xml:space="preserve">North Kite &amp; Foils </v>
          </cell>
          <cell r="P44" t="str">
            <v>85000.2600045127m</v>
          </cell>
          <cell r="Q44">
            <v>30</v>
          </cell>
          <cell r="R44" t="e">
            <v>#VALUE!</v>
          </cell>
          <cell r="S44" t="e">
            <v>#VALUE!</v>
          </cell>
          <cell r="T44" t="str">
            <v/>
          </cell>
          <cell r="U44" t="str">
            <v/>
          </cell>
          <cell r="V44">
            <v>1070.3225806451612</v>
          </cell>
          <cell r="W44">
            <v>1659</v>
          </cell>
          <cell r="X44">
            <v>1070.3999999999999</v>
          </cell>
          <cell r="Y44">
            <v>1.5498878923766819</v>
          </cell>
          <cell r="Z44">
            <v>695.70967741935488</v>
          </cell>
          <cell r="AA44">
            <v>695.80000000000007</v>
          </cell>
          <cell r="AB44">
            <v>841.80870967741942</v>
          </cell>
          <cell r="AC44">
            <v>841.9</v>
          </cell>
        </row>
        <row r="45">
          <cell r="H45" t="str">
            <v>8715738909533</v>
          </cell>
          <cell r="I45" t="str">
            <v>Reach Kite</v>
          </cell>
          <cell r="J45" t="str">
            <v>512</v>
          </cell>
          <cell r="K45" t="str">
            <v>Deep Purple</v>
          </cell>
          <cell r="L45" t="str">
            <v>8m</v>
          </cell>
          <cell r="M45" t="str">
            <v>New</v>
          </cell>
          <cell r="N45" t="str">
            <v xml:space="preserve">North Kite &amp; Foils </v>
          </cell>
          <cell r="P45" t="str">
            <v>85000.2600045128m</v>
          </cell>
          <cell r="Q45">
            <v>31</v>
          </cell>
          <cell r="R45" t="e">
            <v>#VALUE!</v>
          </cell>
          <cell r="S45" t="e">
            <v>#VALUE!</v>
          </cell>
          <cell r="T45" t="str">
            <v/>
          </cell>
          <cell r="U45" t="str">
            <v/>
          </cell>
          <cell r="V45">
            <v>1115.483870967742</v>
          </cell>
          <cell r="W45">
            <v>1729</v>
          </cell>
          <cell r="X45">
            <v>1115.5</v>
          </cell>
          <cell r="Y45">
            <v>1.5499775885253249</v>
          </cell>
          <cell r="Z45">
            <v>725.06451612903231</v>
          </cell>
          <cell r="AA45">
            <v>725.1</v>
          </cell>
          <cell r="AB45">
            <v>877.32806451612907</v>
          </cell>
          <cell r="AC45">
            <v>877.4</v>
          </cell>
        </row>
        <row r="46">
          <cell r="H46" t="str">
            <v>8715738909540</v>
          </cell>
          <cell r="I46" t="str">
            <v>Reach Kite</v>
          </cell>
          <cell r="J46" t="str">
            <v>512</v>
          </cell>
          <cell r="K46" t="str">
            <v>Deep Purple</v>
          </cell>
          <cell r="L46" t="str">
            <v>9m</v>
          </cell>
          <cell r="M46" t="str">
            <v>New</v>
          </cell>
          <cell r="N46" t="str">
            <v xml:space="preserve">North Kite &amp; Foils </v>
          </cell>
          <cell r="P46" t="str">
            <v>85000.2600045129m</v>
          </cell>
          <cell r="Q46">
            <v>32</v>
          </cell>
          <cell r="R46" t="e">
            <v>#VALUE!</v>
          </cell>
          <cell r="S46" t="e">
            <v>#VALUE!</v>
          </cell>
          <cell r="T46" t="str">
            <v/>
          </cell>
          <cell r="U46" t="str">
            <v/>
          </cell>
          <cell r="V46">
            <v>1167.0967741935483</v>
          </cell>
          <cell r="W46">
            <v>1809</v>
          </cell>
          <cell r="X46">
            <v>1167.0999999999999</v>
          </cell>
          <cell r="Y46">
            <v>1.5499957158769602</v>
          </cell>
          <cell r="Z46">
            <v>758.61290322580646</v>
          </cell>
          <cell r="AA46">
            <v>758.7</v>
          </cell>
          <cell r="AB46">
            <v>917.92161290322576</v>
          </cell>
          <cell r="AC46">
            <v>918</v>
          </cell>
        </row>
        <row r="47">
          <cell r="H47" t="str">
            <v>8715738909557</v>
          </cell>
          <cell r="I47" t="str">
            <v>Reach Kite</v>
          </cell>
          <cell r="J47" t="str">
            <v>512</v>
          </cell>
          <cell r="K47" t="str">
            <v>Deep Purple</v>
          </cell>
          <cell r="L47" t="str">
            <v>10m</v>
          </cell>
          <cell r="M47" t="str">
            <v>New</v>
          </cell>
          <cell r="N47" t="str">
            <v xml:space="preserve">North Kite &amp; Foils </v>
          </cell>
          <cell r="P47" t="str">
            <v>85000.26000451210m</v>
          </cell>
          <cell r="Q47">
            <v>33</v>
          </cell>
          <cell r="R47" t="e">
            <v>#VALUE!</v>
          </cell>
          <cell r="S47" t="e">
            <v>#VALUE!</v>
          </cell>
          <cell r="T47" t="str">
            <v/>
          </cell>
          <cell r="U47" t="str">
            <v/>
          </cell>
          <cell r="V47">
            <v>1218.7096774193549</v>
          </cell>
          <cell r="W47">
            <v>1889</v>
          </cell>
          <cell r="X47">
            <v>1218.8</v>
          </cell>
          <cell r="Y47">
            <v>1.549885132917624</v>
          </cell>
          <cell r="Z47">
            <v>792.16129032258073</v>
          </cell>
          <cell r="AA47">
            <v>792.2</v>
          </cell>
          <cell r="AB47">
            <v>958.51516129032268</v>
          </cell>
          <cell r="AC47">
            <v>958.6</v>
          </cell>
        </row>
        <row r="48">
          <cell r="H48" t="str">
            <v>8715738909564</v>
          </cell>
          <cell r="I48" t="str">
            <v>Reach Kite</v>
          </cell>
          <cell r="J48" t="str">
            <v>512</v>
          </cell>
          <cell r="K48" t="str">
            <v>Deep Purple</v>
          </cell>
          <cell r="L48" t="str">
            <v>11m</v>
          </cell>
          <cell r="M48" t="str">
            <v>New</v>
          </cell>
          <cell r="N48" t="str">
            <v xml:space="preserve">North Kite &amp; Foils </v>
          </cell>
          <cell r="P48" t="str">
            <v>85000.26000451211m</v>
          </cell>
          <cell r="Q48">
            <v>34</v>
          </cell>
          <cell r="R48" t="e">
            <v>#VALUE!</v>
          </cell>
          <cell r="S48" t="e">
            <v>#VALUE!</v>
          </cell>
          <cell r="T48" t="str">
            <v/>
          </cell>
          <cell r="U48" t="str">
            <v/>
          </cell>
          <cell r="V48">
            <v>1270.3225806451612</v>
          </cell>
          <cell r="W48">
            <v>1969</v>
          </cell>
          <cell r="X48">
            <v>1270.3999999999999</v>
          </cell>
          <cell r="Y48">
            <v>1.5499055415617131</v>
          </cell>
          <cell r="Z48">
            <v>825.70967741935488</v>
          </cell>
          <cell r="AA48">
            <v>825.80000000000007</v>
          </cell>
          <cell r="AB48">
            <v>999.10870967741937</v>
          </cell>
          <cell r="AC48">
            <v>999.2</v>
          </cell>
        </row>
        <row r="49">
          <cell r="H49" t="str">
            <v>8715738909571</v>
          </cell>
          <cell r="I49" t="str">
            <v>Reach Kite</v>
          </cell>
          <cell r="J49" t="str">
            <v>512</v>
          </cell>
          <cell r="K49" t="str">
            <v>Deep Purple</v>
          </cell>
          <cell r="L49" t="str">
            <v>12m</v>
          </cell>
          <cell r="M49" t="str">
            <v>New</v>
          </cell>
          <cell r="N49" t="str">
            <v xml:space="preserve">North Kite &amp; Foils </v>
          </cell>
          <cell r="P49" t="str">
            <v>85000.26000451212m</v>
          </cell>
          <cell r="Q49">
            <v>35</v>
          </cell>
          <cell r="R49" t="e">
            <v>#VALUE!</v>
          </cell>
          <cell r="S49" t="e">
            <v>#VALUE!</v>
          </cell>
          <cell r="T49" t="str">
            <v/>
          </cell>
          <cell r="U49" t="str">
            <v/>
          </cell>
          <cell r="V49">
            <v>1321.9354838709678</v>
          </cell>
          <cell r="W49">
            <v>2049</v>
          </cell>
          <cell r="X49">
            <v>1322</v>
          </cell>
          <cell r="Y49">
            <v>1.5499243570347958</v>
          </cell>
          <cell r="Z49">
            <v>859.25806451612914</v>
          </cell>
          <cell r="AA49">
            <v>859.30000000000007</v>
          </cell>
          <cell r="AB49">
            <v>1039.7022580645162</v>
          </cell>
          <cell r="AC49">
            <v>1039.8</v>
          </cell>
        </row>
        <row r="50">
          <cell r="H50" t="str">
            <v>8715738910928</v>
          </cell>
          <cell r="I50" t="str">
            <v>Orbit Ultra Kite</v>
          </cell>
          <cell r="J50" t="str">
            <v>900</v>
          </cell>
          <cell r="K50" t="str">
            <v>Black</v>
          </cell>
          <cell r="L50" t="str">
            <v>5.9m</v>
          </cell>
          <cell r="M50" t="str">
            <v>New</v>
          </cell>
          <cell r="N50" t="str">
            <v xml:space="preserve">North Kite &amp; Foils </v>
          </cell>
          <cell r="P50" t="str">
            <v>85000.2600119005.9m</v>
          </cell>
          <cell r="Q50">
            <v>36</v>
          </cell>
          <cell r="R50" t="e">
            <v>#VALUE!</v>
          </cell>
          <cell r="S50" t="e">
            <v>#VALUE!</v>
          </cell>
          <cell r="T50" t="str">
            <v/>
          </cell>
          <cell r="U50" t="str">
            <v/>
          </cell>
          <cell r="V50">
            <v>1321.9354838709678</v>
          </cell>
          <cell r="W50">
            <v>2049</v>
          </cell>
          <cell r="X50">
            <v>1322</v>
          </cell>
          <cell r="Y50">
            <v>1.5499243570347958</v>
          </cell>
          <cell r="Z50">
            <v>859.25806451612914</v>
          </cell>
          <cell r="AA50">
            <v>859.30000000000007</v>
          </cell>
          <cell r="AB50">
            <v>1039.7022580645162</v>
          </cell>
          <cell r="AC50">
            <v>1039.8</v>
          </cell>
        </row>
        <row r="51">
          <cell r="H51" t="str">
            <v>8715738910935</v>
          </cell>
          <cell r="I51" t="str">
            <v>Orbit Ultra Kite</v>
          </cell>
          <cell r="J51" t="str">
            <v>900</v>
          </cell>
          <cell r="K51" t="str">
            <v>Black</v>
          </cell>
          <cell r="L51" t="str">
            <v>6.6m</v>
          </cell>
          <cell r="M51" t="str">
            <v>New</v>
          </cell>
          <cell r="N51" t="str">
            <v xml:space="preserve">North Kite &amp; Foils </v>
          </cell>
          <cell r="P51" t="str">
            <v>85000.2600119006.6m</v>
          </cell>
          <cell r="Q51">
            <v>37</v>
          </cell>
          <cell r="R51" t="e">
            <v>#VALUE!</v>
          </cell>
          <cell r="S51" t="e">
            <v>#VALUE!</v>
          </cell>
          <cell r="T51" t="str">
            <v/>
          </cell>
          <cell r="U51" t="str">
            <v/>
          </cell>
          <cell r="V51">
            <v>1386.4516129032259</v>
          </cell>
          <cell r="W51">
            <v>2149</v>
          </cell>
          <cell r="X51">
            <v>1386.5</v>
          </cell>
          <cell r="Y51">
            <v>1.5499459069599713</v>
          </cell>
          <cell r="Z51">
            <v>901.19354838709683</v>
          </cell>
          <cell r="AA51">
            <v>901.2</v>
          </cell>
          <cell r="AB51">
            <v>1090.4441935483871</v>
          </cell>
          <cell r="AC51">
            <v>1090.5</v>
          </cell>
        </row>
        <row r="52">
          <cell r="H52" t="str">
            <v>8715738910942</v>
          </cell>
          <cell r="I52" t="str">
            <v>Orbit Ultra Kite</v>
          </cell>
          <cell r="J52" t="str">
            <v>900</v>
          </cell>
          <cell r="K52" t="str">
            <v>Black</v>
          </cell>
          <cell r="L52" t="str">
            <v>7.3m</v>
          </cell>
          <cell r="M52" t="str">
            <v>New</v>
          </cell>
          <cell r="N52" t="str">
            <v xml:space="preserve">North Kite &amp; Foils </v>
          </cell>
          <cell r="P52" t="str">
            <v>85000.2600119007.3m</v>
          </cell>
          <cell r="Q52">
            <v>38</v>
          </cell>
          <cell r="R52" t="e">
            <v>#VALUE!</v>
          </cell>
          <cell r="S52" t="e">
            <v>#VALUE!</v>
          </cell>
          <cell r="T52" t="str">
            <v/>
          </cell>
          <cell r="U52" t="str">
            <v/>
          </cell>
          <cell r="V52">
            <v>1450.9677419354839</v>
          </cell>
          <cell r="W52">
            <v>2249</v>
          </cell>
          <cell r="X52">
            <v>1451</v>
          </cell>
          <cell r="Y52">
            <v>1.5499655410062025</v>
          </cell>
          <cell r="Z52">
            <v>943.12903225806451</v>
          </cell>
          <cell r="AA52">
            <v>943.2</v>
          </cell>
          <cell r="AB52">
            <v>1141.1861290322581</v>
          </cell>
          <cell r="AC52">
            <v>1141.1999999999998</v>
          </cell>
        </row>
        <row r="53">
          <cell r="H53" t="str">
            <v>8715738910959</v>
          </cell>
          <cell r="I53" t="str">
            <v>Orbit Ultra Kite</v>
          </cell>
          <cell r="J53" t="str">
            <v>900</v>
          </cell>
          <cell r="K53" t="str">
            <v>Black</v>
          </cell>
          <cell r="L53" t="str">
            <v>8.1m</v>
          </cell>
          <cell r="M53" t="str">
            <v>New</v>
          </cell>
          <cell r="N53" t="str">
            <v xml:space="preserve">North Kite &amp; Foils </v>
          </cell>
          <cell r="P53" t="str">
            <v>85000.2600119008.1m</v>
          </cell>
          <cell r="Q53">
            <v>39</v>
          </cell>
          <cell r="R53" t="e">
            <v>#VALUE!</v>
          </cell>
          <cell r="S53" t="e">
            <v>#VALUE!</v>
          </cell>
          <cell r="T53" t="str">
            <v/>
          </cell>
          <cell r="U53" t="str">
            <v/>
          </cell>
          <cell r="V53">
            <v>1515.483870967742</v>
          </cell>
          <cell r="W53">
            <v>2349</v>
          </cell>
          <cell r="X53">
            <v>1515.5</v>
          </cell>
          <cell r="Y53">
            <v>1.5499835037941274</v>
          </cell>
          <cell r="Z53">
            <v>985.06451612903231</v>
          </cell>
          <cell r="AA53">
            <v>985.1</v>
          </cell>
          <cell r="AB53">
            <v>1191.9280645161291</v>
          </cell>
          <cell r="AC53">
            <v>1192</v>
          </cell>
        </row>
        <row r="54">
          <cell r="H54" t="str">
            <v>8715738910966</v>
          </cell>
          <cell r="I54" t="str">
            <v>Orbit Ultra Kite</v>
          </cell>
          <cell r="J54" t="str">
            <v>900</v>
          </cell>
          <cell r="K54" t="str">
            <v>Black</v>
          </cell>
          <cell r="L54" t="str">
            <v>9m</v>
          </cell>
          <cell r="M54" t="str">
            <v>New</v>
          </cell>
          <cell r="N54" t="str">
            <v xml:space="preserve">North Kite &amp; Foils </v>
          </cell>
          <cell r="P54" t="str">
            <v>85000.2600119009m</v>
          </cell>
          <cell r="Q54">
            <v>40</v>
          </cell>
          <cell r="R54" t="e">
            <v>#VALUE!</v>
          </cell>
          <cell r="S54" t="e">
            <v>#VALUE!</v>
          </cell>
          <cell r="T54" t="str">
            <v/>
          </cell>
          <cell r="U54" t="str">
            <v/>
          </cell>
          <cell r="V54">
            <v>1580</v>
          </cell>
          <cell r="W54">
            <v>2449</v>
          </cell>
          <cell r="X54">
            <v>1580</v>
          </cell>
          <cell r="Y54">
            <v>1.55</v>
          </cell>
          <cell r="Z54">
            <v>1027</v>
          </cell>
          <cell r="AA54">
            <v>1027</v>
          </cell>
          <cell r="AB54">
            <v>1242.67</v>
          </cell>
          <cell r="AC54">
            <v>1242.6999999999998</v>
          </cell>
        </row>
        <row r="55">
          <cell r="H55" t="str">
            <v>8715738910973</v>
          </cell>
          <cell r="I55" t="str">
            <v>Orbit Ultra Kite</v>
          </cell>
          <cell r="J55" t="str">
            <v>900</v>
          </cell>
          <cell r="K55" t="str">
            <v>Black</v>
          </cell>
          <cell r="L55" t="str">
            <v>10m</v>
          </cell>
          <cell r="M55" t="str">
            <v>New</v>
          </cell>
          <cell r="N55" t="str">
            <v xml:space="preserve">North Kite &amp; Foils </v>
          </cell>
          <cell r="P55" t="str">
            <v>85000.26001190010m</v>
          </cell>
          <cell r="Q55">
            <v>41</v>
          </cell>
          <cell r="R55" t="e">
            <v>#VALUE!</v>
          </cell>
          <cell r="S55" t="e">
            <v>#VALUE!</v>
          </cell>
          <cell r="T55" t="str">
            <v/>
          </cell>
          <cell r="U55" t="str">
            <v/>
          </cell>
          <cell r="V55">
            <v>1644.516129032258</v>
          </cell>
          <cell r="W55">
            <v>2549</v>
          </cell>
          <cell r="X55">
            <v>1644.6</v>
          </cell>
          <cell r="Y55">
            <v>1.5499209534233249</v>
          </cell>
          <cell r="Z55">
            <v>1068.9354838709678</v>
          </cell>
          <cell r="AA55">
            <v>1069</v>
          </cell>
          <cell r="AB55">
            <v>1293.411935483871</v>
          </cell>
          <cell r="AC55">
            <v>1293.5</v>
          </cell>
        </row>
        <row r="56">
          <cell r="H56" t="str">
            <v>8715738910980</v>
          </cell>
          <cell r="I56" t="str">
            <v>Orbit Ultra Kite</v>
          </cell>
          <cell r="J56" t="str">
            <v>900</v>
          </cell>
          <cell r="K56" t="str">
            <v>Black</v>
          </cell>
          <cell r="L56" t="str">
            <v>11m</v>
          </cell>
          <cell r="M56" t="str">
            <v>New</v>
          </cell>
          <cell r="N56" t="str">
            <v xml:space="preserve">North Kite &amp; Foils </v>
          </cell>
          <cell r="P56" t="str">
            <v>85000.26001190011m</v>
          </cell>
          <cell r="Q56">
            <v>42</v>
          </cell>
          <cell r="R56" t="e">
            <v>#VALUE!</v>
          </cell>
          <cell r="S56" t="e">
            <v>#VALUE!</v>
          </cell>
          <cell r="T56" t="str">
            <v/>
          </cell>
          <cell r="U56" t="str">
            <v/>
          </cell>
          <cell r="V56">
            <v>1709.0322580645161</v>
          </cell>
          <cell r="W56">
            <v>2649</v>
          </cell>
          <cell r="X56">
            <v>1709.1</v>
          </cell>
          <cell r="Y56">
            <v>1.5499385641565737</v>
          </cell>
          <cell r="Z56">
            <v>1110.8709677419356</v>
          </cell>
          <cell r="AA56">
            <v>1110.8999999999999</v>
          </cell>
          <cell r="AB56">
            <v>1344.153870967742</v>
          </cell>
          <cell r="AC56">
            <v>1344.1999999999998</v>
          </cell>
        </row>
        <row r="57">
          <cell r="H57" t="str">
            <v>8715738910997</v>
          </cell>
          <cell r="I57" t="str">
            <v>Orbit Ultra Kite</v>
          </cell>
          <cell r="J57" t="str">
            <v>900</v>
          </cell>
          <cell r="K57" t="str">
            <v>Black</v>
          </cell>
          <cell r="L57" t="str">
            <v>12m</v>
          </cell>
          <cell r="M57" t="str">
            <v>New</v>
          </cell>
          <cell r="N57" t="str">
            <v xml:space="preserve">North Kite &amp; Foils </v>
          </cell>
          <cell r="P57" t="str">
            <v>85000.26001190012m</v>
          </cell>
          <cell r="Q57">
            <v>43</v>
          </cell>
          <cell r="R57" t="e">
            <v>#VALUE!</v>
          </cell>
          <cell r="S57" t="e">
            <v>#VALUE!</v>
          </cell>
          <cell r="T57" t="str">
            <v/>
          </cell>
          <cell r="U57" t="str">
            <v/>
          </cell>
          <cell r="V57">
            <v>1773.5483870967741</v>
          </cell>
          <cell r="W57">
            <v>2749</v>
          </cell>
          <cell r="X57">
            <v>1773.6</v>
          </cell>
          <cell r="Y57">
            <v>1.5499548940009023</v>
          </cell>
          <cell r="Z57">
            <v>1152.8064516129032</v>
          </cell>
          <cell r="AA57">
            <v>1152.8999999999999</v>
          </cell>
          <cell r="AB57">
            <v>1394.8958064516128</v>
          </cell>
          <cell r="AC57">
            <v>1394.8999999999999</v>
          </cell>
        </row>
        <row r="58">
          <cell r="H58" t="str">
            <v>8715738896703</v>
          </cell>
          <cell r="I58" t="str">
            <v>Orbit Kite</v>
          </cell>
          <cell r="J58" t="str">
            <v>200</v>
          </cell>
          <cell r="K58" t="str">
            <v>Orange</v>
          </cell>
          <cell r="L58" t="str">
            <v>7m</v>
          </cell>
          <cell r="M58" t="str">
            <v xml:space="preserve">Carry Over </v>
          </cell>
          <cell r="N58" t="str">
            <v xml:space="preserve">North Kite &amp; Foils </v>
          </cell>
          <cell r="P58" t="str">
            <v>85000.2600002007m</v>
          </cell>
          <cell r="Q58">
            <v>44</v>
          </cell>
          <cell r="R58">
            <v>0</v>
          </cell>
          <cell r="S58">
            <v>0</v>
          </cell>
          <cell r="T58">
            <v>1729</v>
          </cell>
          <cell r="U58">
            <v>1115.5</v>
          </cell>
          <cell r="V58">
            <v>1115.483870967742</v>
          </cell>
          <cell r="W58">
            <v>1729</v>
          </cell>
          <cell r="X58">
            <v>1115.5</v>
          </cell>
          <cell r="Y58">
            <v>1.5499775885253249</v>
          </cell>
          <cell r="Z58">
            <v>725.06451612903231</v>
          </cell>
          <cell r="AA58">
            <v>725.1</v>
          </cell>
          <cell r="AB58">
            <v>877.32806451612907</v>
          </cell>
          <cell r="AC58">
            <v>877.4</v>
          </cell>
        </row>
        <row r="59">
          <cell r="H59" t="str">
            <v>8715738896710</v>
          </cell>
          <cell r="I59" t="str">
            <v>Orbit Kite</v>
          </cell>
          <cell r="J59" t="str">
            <v>200</v>
          </cell>
          <cell r="K59" t="str">
            <v>Orange</v>
          </cell>
          <cell r="L59" t="str">
            <v>8m</v>
          </cell>
          <cell r="M59" t="str">
            <v xml:space="preserve">Carry Over </v>
          </cell>
          <cell r="N59" t="str">
            <v xml:space="preserve">North Kite &amp; Foils </v>
          </cell>
          <cell r="P59" t="str">
            <v>85000.2600002008m</v>
          </cell>
          <cell r="Q59">
            <v>45</v>
          </cell>
          <cell r="R59">
            <v>0</v>
          </cell>
          <cell r="S59">
            <v>0</v>
          </cell>
          <cell r="T59">
            <v>1799</v>
          </cell>
          <cell r="U59">
            <v>1160.6999999999998</v>
          </cell>
          <cell r="V59">
            <v>1160.6451612903224</v>
          </cell>
          <cell r="W59">
            <v>1799</v>
          </cell>
          <cell r="X59">
            <v>1160.6999999999998</v>
          </cell>
          <cell r="Y59">
            <v>1.5499267683294566</v>
          </cell>
          <cell r="Z59">
            <v>754.41935483870964</v>
          </cell>
          <cell r="AA59">
            <v>754.5</v>
          </cell>
          <cell r="AB59">
            <v>912.84741935483862</v>
          </cell>
          <cell r="AC59">
            <v>912.9</v>
          </cell>
        </row>
        <row r="60">
          <cell r="H60" t="str">
            <v>8715738896727</v>
          </cell>
          <cell r="I60" t="str">
            <v>Orbit Kite</v>
          </cell>
          <cell r="J60" t="str">
            <v>200</v>
          </cell>
          <cell r="K60" t="str">
            <v>Orange</v>
          </cell>
          <cell r="L60" t="str">
            <v>9m</v>
          </cell>
          <cell r="M60" t="str">
            <v xml:space="preserve">Carry Over </v>
          </cell>
          <cell r="N60" t="str">
            <v xml:space="preserve">North Kite &amp; Foils </v>
          </cell>
          <cell r="P60" t="str">
            <v>85000.2600002009m</v>
          </cell>
          <cell r="Q60">
            <v>46</v>
          </cell>
          <cell r="R60">
            <v>0</v>
          </cell>
          <cell r="S60">
            <v>0</v>
          </cell>
          <cell r="T60">
            <v>1879</v>
          </cell>
          <cell r="U60">
            <v>1212.3</v>
          </cell>
          <cell r="V60">
            <v>1212.258064516129</v>
          </cell>
          <cell r="W60">
            <v>1879</v>
          </cell>
          <cell r="X60">
            <v>1212.3</v>
          </cell>
          <cell r="Y60">
            <v>1.5499463829085212</v>
          </cell>
          <cell r="Z60">
            <v>787.9677419354839</v>
          </cell>
          <cell r="AA60">
            <v>788</v>
          </cell>
          <cell r="AB60">
            <v>953.44096774193554</v>
          </cell>
          <cell r="AC60">
            <v>953.5</v>
          </cell>
        </row>
        <row r="61">
          <cell r="H61" t="str">
            <v>8715738896734</v>
          </cell>
          <cell r="I61" t="str">
            <v>Orbit Kite</v>
          </cell>
          <cell r="J61" t="str">
            <v>200</v>
          </cell>
          <cell r="K61" t="str">
            <v>Orange</v>
          </cell>
          <cell r="L61" t="str">
            <v>10m</v>
          </cell>
          <cell r="M61" t="str">
            <v xml:space="preserve">Carry Over </v>
          </cell>
          <cell r="N61" t="str">
            <v xml:space="preserve">North Kite &amp; Foils </v>
          </cell>
          <cell r="P61" t="str">
            <v>85000.26000020010m</v>
          </cell>
          <cell r="Q61">
            <v>47</v>
          </cell>
          <cell r="R61">
            <v>0</v>
          </cell>
          <cell r="S61">
            <v>0</v>
          </cell>
          <cell r="T61">
            <v>1949</v>
          </cell>
          <cell r="U61">
            <v>1257.5</v>
          </cell>
          <cell r="V61">
            <v>1257.4193548387098</v>
          </cell>
          <cell r="W61">
            <v>1949</v>
          </cell>
          <cell r="X61">
            <v>1257.5</v>
          </cell>
          <cell r="Y61">
            <v>1.5499005964214712</v>
          </cell>
          <cell r="Z61">
            <v>817.32258064516134</v>
          </cell>
          <cell r="AA61">
            <v>817.4</v>
          </cell>
          <cell r="AB61">
            <v>988.9603225806452</v>
          </cell>
          <cell r="AC61">
            <v>989</v>
          </cell>
        </row>
        <row r="62">
          <cell r="H62" t="str">
            <v>8715738896741</v>
          </cell>
          <cell r="I62" t="str">
            <v>Orbit Kite</v>
          </cell>
          <cell r="J62" t="str">
            <v>200</v>
          </cell>
          <cell r="K62" t="str">
            <v>Orange</v>
          </cell>
          <cell r="L62" t="str">
            <v>11m</v>
          </cell>
          <cell r="M62" t="str">
            <v xml:space="preserve">Carry Over </v>
          </cell>
          <cell r="N62" t="str">
            <v xml:space="preserve">North Kite &amp; Foils </v>
          </cell>
          <cell r="P62" t="str">
            <v>85000.26000020011m</v>
          </cell>
          <cell r="Q62">
            <v>48</v>
          </cell>
          <cell r="R62">
            <v>0</v>
          </cell>
          <cell r="S62">
            <v>0</v>
          </cell>
          <cell r="T62">
            <v>2039</v>
          </cell>
          <cell r="U62">
            <v>1315.5</v>
          </cell>
          <cell r="V62">
            <v>1315.483870967742</v>
          </cell>
          <cell r="W62">
            <v>2039</v>
          </cell>
          <cell r="X62">
            <v>1315.5</v>
          </cell>
          <cell r="Y62">
            <v>1.5499809958190802</v>
          </cell>
          <cell r="Z62">
            <v>855.06451612903231</v>
          </cell>
          <cell r="AA62">
            <v>855.1</v>
          </cell>
          <cell r="AB62">
            <v>1034.6280645161291</v>
          </cell>
          <cell r="AC62">
            <v>1034.6999999999998</v>
          </cell>
        </row>
        <row r="63">
          <cell r="H63" t="str">
            <v>8715738896758</v>
          </cell>
          <cell r="I63" t="str">
            <v>Orbit Kite</v>
          </cell>
          <cell r="J63" t="str">
            <v>200</v>
          </cell>
          <cell r="K63" t="str">
            <v>Orange</v>
          </cell>
          <cell r="L63" t="str">
            <v>12m</v>
          </cell>
          <cell r="M63" t="str">
            <v xml:space="preserve">Carry Over </v>
          </cell>
          <cell r="N63" t="str">
            <v xml:space="preserve">North Kite &amp; Foils </v>
          </cell>
          <cell r="P63" t="str">
            <v>85000.26000020012m</v>
          </cell>
          <cell r="Q63">
            <v>49</v>
          </cell>
          <cell r="R63">
            <v>0</v>
          </cell>
          <cell r="S63">
            <v>0</v>
          </cell>
          <cell r="T63">
            <v>2119</v>
          </cell>
          <cell r="U63">
            <v>1367.1</v>
          </cell>
          <cell r="V63">
            <v>1367.0967741935483</v>
          </cell>
          <cell r="W63">
            <v>2119</v>
          </cell>
          <cell r="X63">
            <v>1367.1</v>
          </cell>
          <cell r="Y63">
            <v>1.5499963426230707</v>
          </cell>
          <cell r="Z63">
            <v>888.61290322580646</v>
          </cell>
          <cell r="AA63">
            <v>888.7</v>
          </cell>
          <cell r="AB63">
            <v>1075.2216129032258</v>
          </cell>
          <cell r="AC63">
            <v>1075.3</v>
          </cell>
        </row>
        <row r="64">
          <cell r="H64" t="str">
            <v>8715738899087</v>
          </cell>
          <cell r="I64" t="str">
            <v>Orbit Kite</v>
          </cell>
          <cell r="J64" t="str">
            <v>415</v>
          </cell>
          <cell r="K64" t="str">
            <v>Turquoise</v>
          </cell>
          <cell r="L64" t="str">
            <v>6m</v>
          </cell>
          <cell r="M64" t="str">
            <v xml:space="preserve">Carry Over </v>
          </cell>
          <cell r="N64" t="str">
            <v xml:space="preserve">North Kite &amp; Foils </v>
          </cell>
          <cell r="P64" t="str">
            <v>85000.2600004156m</v>
          </cell>
          <cell r="Q64">
            <v>50</v>
          </cell>
          <cell r="R64">
            <v>0</v>
          </cell>
          <cell r="S64">
            <v>0</v>
          </cell>
          <cell r="T64">
            <v>1649</v>
          </cell>
          <cell r="U64">
            <v>1063.8999999999999</v>
          </cell>
          <cell r="V64">
            <v>1063.8709677419354</v>
          </cell>
          <cell r="W64">
            <v>1649</v>
          </cell>
          <cell r="X64">
            <v>1063.8999999999999</v>
          </cell>
          <cell r="Y64">
            <v>1.549957702791616</v>
          </cell>
          <cell r="Z64">
            <v>691.51612903225805</v>
          </cell>
          <cell r="AA64">
            <v>691.6</v>
          </cell>
          <cell r="AB64">
            <v>836.73451612903227</v>
          </cell>
          <cell r="AC64">
            <v>836.80000000000007</v>
          </cell>
        </row>
        <row r="65">
          <cell r="H65" t="str">
            <v>8715738896765</v>
          </cell>
          <cell r="I65" t="str">
            <v>Orbit Kite</v>
          </cell>
          <cell r="J65" t="str">
            <v>415</v>
          </cell>
          <cell r="K65" t="str">
            <v>Turquoise</v>
          </cell>
          <cell r="L65" t="str">
            <v>7m</v>
          </cell>
          <cell r="M65" t="str">
            <v xml:space="preserve">Carry Over </v>
          </cell>
          <cell r="N65" t="str">
            <v xml:space="preserve">North Kite &amp; Foils </v>
          </cell>
          <cell r="P65" t="str">
            <v>85000.2600004157m</v>
          </cell>
          <cell r="Q65">
            <v>51</v>
          </cell>
          <cell r="R65">
            <v>0</v>
          </cell>
          <cell r="S65">
            <v>0</v>
          </cell>
          <cell r="T65">
            <v>1729</v>
          </cell>
          <cell r="U65">
            <v>1115.5</v>
          </cell>
          <cell r="V65">
            <v>1115.483870967742</v>
          </cell>
          <cell r="W65">
            <v>1729</v>
          </cell>
          <cell r="X65">
            <v>1115.5</v>
          </cell>
          <cell r="Y65">
            <v>1.5499775885253249</v>
          </cell>
          <cell r="Z65">
            <v>725.06451612903231</v>
          </cell>
          <cell r="AA65">
            <v>725.1</v>
          </cell>
          <cell r="AB65">
            <v>877.32806451612907</v>
          </cell>
          <cell r="AC65">
            <v>877.4</v>
          </cell>
        </row>
        <row r="66">
          <cell r="H66" t="str">
            <v>8715738896772</v>
          </cell>
          <cell r="I66" t="str">
            <v>Orbit Kite</v>
          </cell>
          <cell r="J66" t="str">
            <v>415</v>
          </cell>
          <cell r="K66" t="str">
            <v>Turquoise</v>
          </cell>
          <cell r="L66" t="str">
            <v>8m</v>
          </cell>
          <cell r="M66" t="str">
            <v xml:space="preserve">Carry Over </v>
          </cell>
          <cell r="N66" t="str">
            <v xml:space="preserve">North Kite &amp; Foils </v>
          </cell>
          <cell r="P66" t="str">
            <v>85000.2600004158m</v>
          </cell>
          <cell r="Q66">
            <v>52</v>
          </cell>
          <cell r="R66">
            <v>0</v>
          </cell>
          <cell r="S66">
            <v>0</v>
          </cell>
          <cell r="T66">
            <v>1799</v>
          </cell>
          <cell r="U66">
            <v>1160.6999999999998</v>
          </cell>
          <cell r="V66">
            <v>1160.6451612903224</v>
          </cell>
          <cell r="W66">
            <v>1799</v>
          </cell>
          <cell r="X66">
            <v>1160.6999999999998</v>
          </cell>
          <cell r="Y66">
            <v>1.5499267683294566</v>
          </cell>
          <cell r="Z66">
            <v>754.41935483870964</v>
          </cell>
          <cell r="AA66">
            <v>754.5</v>
          </cell>
          <cell r="AB66">
            <v>912.84741935483862</v>
          </cell>
          <cell r="AC66">
            <v>912.9</v>
          </cell>
        </row>
        <row r="67">
          <cell r="H67" t="str">
            <v>8715738896789</v>
          </cell>
          <cell r="I67" t="str">
            <v>Orbit Kite</v>
          </cell>
          <cell r="J67" t="str">
            <v>415</v>
          </cell>
          <cell r="K67" t="str">
            <v>Turquoise</v>
          </cell>
          <cell r="L67" t="str">
            <v>9m</v>
          </cell>
          <cell r="M67" t="str">
            <v xml:space="preserve">Carry Over </v>
          </cell>
          <cell r="N67" t="str">
            <v xml:space="preserve">North Kite &amp; Foils </v>
          </cell>
          <cell r="P67" t="str">
            <v>85000.2600004159m</v>
          </cell>
          <cell r="Q67">
            <v>53</v>
          </cell>
          <cell r="R67">
            <v>0</v>
          </cell>
          <cell r="S67">
            <v>0</v>
          </cell>
          <cell r="T67">
            <v>1879</v>
          </cell>
          <cell r="U67">
            <v>1212.3</v>
          </cell>
          <cell r="V67">
            <v>1212.258064516129</v>
          </cell>
          <cell r="W67">
            <v>1879</v>
          </cell>
          <cell r="X67">
            <v>1212.3</v>
          </cell>
          <cell r="Y67">
            <v>1.5499463829085212</v>
          </cell>
          <cell r="Z67">
            <v>787.9677419354839</v>
          </cell>
          <cell r="AA67">
            <v>788</v>
          </cell>
          <cell r="AB67">
            <v>953.44096774193554</v>
          </cell>
          <cell r="AC67">
            <v>953.5</v>
          </cell>
        </row>
        <row r="68">
          <cell r="H68" t="str">
            <v>8715738896796</v>
          </cell>
          <cell r="I68" t="str">
            <v>Orbit Kite</v>
          </cell>
          <cell r="J68" t="str">
            <v>415</v>
          </cell>
          <cell r="K68" t="str">
            <v>Turquoise</v>
          </cell>
          <cell r="L68" t="str">
            <v>10m</v>
          </cell>
          <cell r="M68" t="str">
            <v xml:space="preserve">Carry Over </v>
          </cell>
          <cell r="N68" t="str">
            <v xml:space="preserve">North Kite &amp; Foils </v>
          </cell>
          <cell r="P68" t="str">
            <v>85000.26000041510m</v>
          </cell>
          <cell r="Q68">
            <v>54</v>
          </cell>
          <cell r="R68">
            <v>0</v>
          </cell>
          <cell r="S68">
            <v>0</v>
          </cell>
          <cell r="T68">
            <v>1949</v>
          </cell>
          <cell r="U68">
            <v>1257.5</v>
          </cell>
          <cell r="V68">
            <v>1257.4193548387098</v>
          </cell>
          <cell r="W68">
            <v>1949</v>
          </cell>
          <cell r="X68">
            <v>1257.5</v>
          </cell>
          <cell r="Y68">
            <v>1.5499005964214712</v>
          </cell>
          <cell r="Z68">
            <v>817.32258064516134</v>
          </cell>
          <cell r="AA68">
            <v>817.4</v>
          </cell>
          <cell r="AB68">
            <v>988.9603225806452</v>
          </cell>
          <cell r="AC68">
            <v>989</v>
          </cell>
        </row>
        <row r="69">
          <cell r="H69" t="str">
            <v>8715738896802</v>
          </cell>
          <cell r="I69" t="str">
            <v>Orbit Kite</v>
          </cell>
          <cell r="J69" t="str">
            <v>415</v>
          </cell>
          <cell r="K69" t="str">
            <v>Turquoise</v>
          </cell>
          <cell r="L69" t="str">
            <v>11m</v>
          </cell>
          <cell r="M69" t="str">
            <v xml:space="preserve">Carry Over </v>
          </cell>
          <cell r="N69" t="str">
            <v xml:space="preserve">North Kite &amp; Foils </v>
          </cell>
          <cell r="P69" t="str">
            <v>85000.26000041511m</v>
          </cell>
          <cell r="Q69">
            <v>55</v>
          </cell>
          <cell r="R69">
            <v>0</v>
          </cell>
          <cell r="S69">
            <v>0</v>
          </cell>
          <cell r="T69">
            <v>2039</v>
          </cell>
          <cell r="U69">
            <v>1315.5</v>
          </cell>
          <cell r="V69">
            <v>1315.483870967742</v>
          </cell>
          <cell r="W69">
            <v>2039</v>
          </cell>
          <cell r="X69">
            <v>1315.5</v>
          </cell>
          <cell r="Y69">
            <v>1.5499809958190802</v>
          </cell>
          <cell r="Z69">
            <v>855.06451612903231</v>
          </cell>
          <cell r="AA69">
            <v>855.1</v>
          </cell>
          <cell r="AB69">
            <v>1034.6280645161291</v>
          </cell>
          <cell r="AC69">
            <v>1034.6999999999998</v>
          </cell>
        </row>
        <row r="70">
          <cell r="H70" t="str">
            <v>8715738896819</v>
          </cell>
          <cell r="I70" t="str">
            <v>Orbit Kite</v>
          </cell>
          <cell r="J70" t="str">
            <v>415</v>
          </cell>
          <cell r="K70" t="str">
            <v>Turquoise</v>
          </cell>
          <cell r="L70" t="str">
            <v>12m</v>
          </cell>
          <cell r="M70" t="str">
            <v xml:space="preserve">Carry Over </v>
          </cell>
          <cell r="N70" t="str">
            <v xml:space="preserve">North Kite &amp; Foils </v>
          </cell>
          <cell r="P70" t="str">
            <v>85000.26000041512m</v>
          </cell>
          <cell r="Q70">
            <v>56</v>
          </cell>
          <cell r="R70">
            <v>0</v>
          </cell>
          <cell r="S70">
            <v>0</v>
          </cell>
          <cell r="T70">
            <v>2119</v>
          </cell>
          <cell r="U70">
            <v>1367.1</v>
          </cell>
          <cell r="V70">
            <v>1367.0967741935483</v>
          </cell>
          <cell r="W70">
            <v>2119</v>
          </cell>
          <cell r="X70">
            <v>1367.1</v>
          </cell>
          <cell r="Y70">
            <v>1.5499963426230707</v>
          </cell>
          <cell r="Z70">
            <v>888.61290322580646</v>
          </cell>
          <cell r="AA70">
            <v>888.7</v>
          </cell>
          <cell r="AB70">
            <v>1075.2216129032258</v>
          </cell>
          <cell r="AC70">
            <v>1075.3</v>
          </cell>
        </row>
        <row r="71">
          <cell r="H71" t="str">
            <v>8715738899094</v>
          </cell>
          <cell r="I71" t="str">
            <v>Orbit Kite</v>
          </cell>
          <cell r="J71" t="str">
            <v>415</v>
          </cell>
          <cell r="K71" t="str">
            <v>Turquoise</v>
          </cell>
          <cell r="L71" t="str">
            <v>14m</v>
          </cell>
          <cell r="M71" t="str">
            <v xml:space="preserve">Carry Over </v>
          </cell>
          <cell r="N71" t="str">
            <v xml:space="preserve">North Kite &amp; Foils </v>
          </cell>
          <cell r="P71" t="str">
            <v>85000.26000041514m</v>
          </cell>
          <cell r="Q71">
            <v>57</v>
          </cell>
          <cell r="R71">
            <v>0</v>
          </cell>
          <cell r="S71">
            <v>0</v>
          </cell>
          <cell r="T71">
            <v>2199</v>
          </cell>
          <cell r="U71">
            <v>1418.8</v>
          </cell>
          <cell r="V71">
            <v>1418.7096774193549</v>
          </cell>
          <cell r="W71">
            <v>2199</v>
          </cell>
          <cell r="X71">
            <v>1418.8</v>
          </cell>
          <cell r="Y71">
            <v>1.5499013250634339</v>
          </cell>
          <cell r="Z71">
            <v>922.16129032258073</v>
          </cell>
          <cell r="AA71">
            <v>922.2</v>
          </cell>
          <cell r="AB71">
            <v>1115.8151612903227</v>
          </cell>
          <cell r="AC71">
            <v>1115.8999999999999</v>
          </cell>
        </row>
        <row r="72">
          <cell r="H72" t="str">
            <v>8715738896826</v>
          </cell>
          <cell r="I72" t="str">
            <v>Orbit Kite</v>
          </cell>
          <cell r="J72" t="str">
            <v>512</v>
          </cell>
          <cell r="K72" t="str">
            <v>Deep Purple</v>
          </cell>
          <cell r="L72" t="str">
            <v>7m</v>
          </cell>
          <cell r="M72" t="str">
            <v xml:space="preserve">Carry Over </v>
          </cell>
          <cell r="N72" t="str">
            <v xml:space="preserve">North Kite &amp; Foils </v>
          </cell>
          <cell r="P72" t="str">
            <v>85000.2600005127m</v>
          </cell>
          <cell r="Q72">
            <v>58</v>
          </cell>
          <cell r="R72">
            <v>0</v>
          </cell>
          <cell r="S72">
            <v>0</v>
          </cell>
          <cell r="T72">
            <v>1729</v>
          </cell>
          <cell r="U72">
            <v>1115.5</v>
          </cell>
          <cell r="V72">
            <v>1115.483870967742</v>
          </cell>
          <cell r="W72">
            <v>1729</v>
          </cell>
          <cell r="X72">
            <v>1115.5</v>
          </cell>
          <cell r="Y72">
            <v>1.5499775885253249</v>
          </cell>
          <cell r="Z72">
            <v>725.06451612903231</v>
          </cell>
          <cell r="AA72">
            <v>725.1</v>
          </cell>
          <cell r="AB72">
            <v>877.32806451612907</v>
          </cell>
          <cell r="AC72">
            <v>877.4</v>
          </cell>
        </row>
        <row r="73">
          <cell r="H73" t="str">
            <v>8715738896833</v>
          </cell>
          <cell r="I73" t="str">
            <v>Orbit Kite</v>
          </cell>
          <cell r="J73" t="str">
            <v>512</v>
          </cell>
          <cell r="K73" t="str">
            <v>Deep Purple</v>
          </cell>
          <cell r="L73" t="str">
            <v>8m</v>
          </cell>
          <cell r="M73" t="str">
            <v xml:space="preserve">Carry Over </v>
          </cell>
          <cell r="N73" t="str">
            <v xml:space="preserve">North Kite &amp; Foils </v>
          </cell>
          <cell r="P73" t="str">
            <v>85000.2600005128m</v>
          </cell>
          <cell r="Q73">
            <v>59</v>
          </cell>
          <cell r="R73">
            <v>0</v>
          </cell>
          <cell r="S73">
            <v>0</v>
          </cell>
          <cell r="T73">
            <v>1799</v>
          </cell>
          <cell r="U73">
            <v>1160.6999999999998</v>
          </cell>
          <cell r="V73">
            <v>1160.6451612903224</v>
          </cell>
          <cell r="W73">
            <v>1799</v>
          </cell>
          <cell r="X73">
            <v>1160.6999999999998</v>
          </cell>
          <cell r="Y73">
            <v>1.5499267683294566</v>
          </cell>
          <cell r="Z73">
            <v>754.41935483870964</v>
          </cell>
          <cell r="AA73">
            <v>754.5</v>
          </cell>
          <cell r="AB73">
            <v>912.84741935483862</v>
          </cell>
          <cell r="AC73">
            <v>912.9</v>
          </cell>
        </row>
        <row r="74">
          <cell r="H74" t="str">
            <v>8715738896840</v>
          </cell>
          <cell r="I74" t="str">
            <v>Orbit Kite</v>
          </cell>
          <cell r="J74" t="str">
            <v>512</v>
          </cell>
          <cell r="K74" t="str">
            <v>Deep Purple</v>
          </cell>
          <cell r="L74" t="str">
            <v>9m</v>
          </cell>
          <cell r="M74" t="str">
            <v xml:space="preserve">Carry Over </v>
          </cell>
          <cell r="N74" t="str">
            <v xml:space="preserve">North Kite &amp; Foils </v>
          </cell>
          <cell r="P74" t="str">
            <v>85000.2600005129m</v>
          </cell>
          <cell r="Q74">
            <v>60</v>
          </cell>
          <cell r="R74">
            <v>0</v>
          </cell>
          <cell r="S74">
            <v>0</v>
          </cell>
          <cell r="T74">
            <v>1879</v>
          </cell>
          <cell r="U74">
            <v>1212.3</v>
          </cell>
          <cell r="V74">
            <v>1212.258064516129</v>
          </cell>
          <cell r="W74">
            <v>1879</v>
          </cell>
          <cell r="X74">
            <v>1212.3</v>
          </cell>
          <cell r="Y74">
            <v>1.5499463829085212</v>
          </cell>
          <cell r="Z74">
            <v>787.9677419354839</v>
          </cell>
          <cell r="AA74">
            <v>788</v>
          </cell>
          <cell r="AB74">
            <v>953.44096774193554</v>
          </cell>
          <cell r="AC74">
            <v>953.5</v>
          </cell>
        </row>
        <row r="75">
          <cell r="H75" t="str">
            <v>8715738896857</v>
          </cell>
          <cell r="I75" t="str">
            <v>Orbit Kite</v>
          </cell>
          <cell r="J75" t="str">
            <v>512</v>
          </cell>
          <cell r="K75" t="str">
            <v>Deep Purple</v>
          </cell>
          <cell r="L75" t="str">
            <v>10m</v>
          </cell>
          <cell r="M75" t="str">
            <v xml:space="preserve">Carry Over </v>
          </cell>
          <cell r="N75" t="str">
            <v xml:space="preserve">North Kite &amp; Foils </v>
          </cell>
          <cell r="P75" t="str">
            <v>85000.26000051210m</v>
          </cell>
          <cell r="Q75">
            <v>61</v>
          </cell>
          <cell r="R75">
            <v>0</v>
          </cell>
          <cell r="S75">
            <v>0</v>
          </cell>
          <cell r="T75">
            <v>1949</v>
          </cell>
          <cell r="U75">
            <v>1257.5</v>
          </cell>
          <cell r="V75">
            <v>1257.4193548387098</v>
          </cell>
          <cell r="W75">
            <v>1949</v>
          </cell>
          <cell r="X75">
            <v>1257.5</v>
          </cell>
          <cell r="Y75">
            <v>1.5499005964214712</v>
          </cell>
          <cell r="Z75">
            <v>817.32258064516134</v>
          </cell>
          <cell r="AA75">
            <v>817.4</v>
          </cell>
          <cell r="AB75">
            <v>988.9603225806452</v>
          </cell>
          <cell r="AC75">
            <v>989</v>
          </cell>
        </row>
        <row r="76">
          <cell r="H76" t="str">
            <v>8715738896864</v>
          </cell>
          <cell r="I76" t="str">
            <v>Orbit Kite</v>
          </cell>
          <cell r="J76" t="str">
            <v>512</v>
          </cell>
          <cell r="K76" t="str">
            <v>Deep Purple</v>
          </cell>
          <cell r="L76" t="str">
            <v>11m</v>
          </cell>
          <cell r="M76" t="str">
            <v xml:space="preserve">Carry Over </v>
          </cell>
          <cell r="N76" t="str">
            <v xml:space="preserve">North Kite &amp; Foils </v>
          </cell>
          <cell r="P76" t="str">
            <v>85000.26000051211m</v>
          </cell>
          <cell r="Q76">
            <v>62</v>
          </cell>
          <cell r="R76">
            <v>0</v>
          </cell>
          <cell r="S76">
            <v>0</v>
          </cell>
          <cell r="T76">
            <v>2039</v>
          </cell>
          <cell r="U76">
            <v>1315.5</v>
          </cell>
          <cell r="V76">
            <v>1315.483870967742</v>
          </cell>
          <cell r="W76">
            <v>2039</v>
          </cell>
          <cell r="X76">
            <v>1315.5</v>
          </cell>
          <cell r="Y76">
            <v>1.5499809958190802</v>
          </cell>
          <cell r="Z76">
            <v>855.06451612903231</v>
          </cell>
          <cell r="AA76">
            <v>855.1</v>
          </cell>
          <cell r="AB76">
            <v>1034.6280645161291</v>
          </cell>
          <cell r="AC76">
            <v>1034.6999999999998</v>
          </cell>
        </row>
        <row r="77">
          <cell r="H77" t="str">
            <v>8715738896871</v>
          </cell>
          <cell r="I77" t="str">
            <v>Orbit Kite</v>
          </cell>
          <cell r="J77" t="str">
            <v>512</v>
          </cell>
          <cell r="K77" t="str">
            <v>Deep Purple</v>
          </cell>
          <cell r="L77" t="str">
            <v>12m</v>
          </cell>
          <cell r="M77" t="str">
            <v xml:space="preserve">Carry Over </v>
          </cell>
          <cell r="N77" t="str">
            <v xml:space="preserve">North Kite &amp; Foils </v>
          </cell>
          <cell r="P77" t="str">
            <v>85000.26000051212m</v>
          </cell>
          <cell r="Q77">
            <v>63</v>
          </cell>
          <cell r="R77">
            <v>0</v>
          </cell>
          <cell r="S77">
            <v>0</v>
          </cell>
          <cell r="T77">
            <v>2119</v>
          </cell>
          <cell r="U77">
            <v>1367.1</v>
          </cell>
          <cell r="V77">
            <v>1367.0967741935483</v>
          </cell>
          <cell r="W77">
            <v>2119</v>
          </cell>
          <cell r="X77">
            <v>1367.1</v>
          </cell>
          <cell r="Y77">
            <v>1.5499963426230707</v>
          </cell>
          <cell r="Z77">
            <v>888.61290322580646</v>
          </cell>
          <cell r="AA77">
            <v>888.7</v>
          </cell>
          <cell r="AB77">
            <v>1075.2216129032258</v>
          </cell>
          <cell r="AC77">
            <v>1075.3</v>
          </cell>
        </row>
        <row r="78">
          <cell r="H78" t="str">
            <v>8715738896888</v>
          </cell>
          <cell r="I78" t="str">
            <v>Carve Kite</v>
          </cell>
          <cell r="J78" t="str">
            <v>200</v>
          </cell>
          <cell r="K78" t="str">
            <v>Orange</v>
          </cell>
          <cell r="L78" t="str">
            <v>5m</v>
          </cell>
          <cell r="M78" t="str">
            <v xml:space="preserve">Carry Over </v>
          </cell>
          <cell r="N78" t="str">
            <v xml:space="preserve">North Kite &amp; Foils </v>
          </cell>
          <cell r="P78" t="str">
            <v>85000.2500012005m</v>
          </cell>
          <cell r="Q78">
            <v>64</v>
          </cell>
          <cell r="R78">
            <v>0</v>
          </cell>
          <cell r="S78">
            <v>0</v>
          </cell>
          <cell r="T78">
            <v>1415</v>
          </cell>
          <cell r="U78">
            <v>913</v>
          </cell>
          <cell r="V78">
            <v>912.90322580645159</v>
          </cell>
          <cell r="W78">
            <v>1415</v>
          </cell>
          <cell r="X78">
            <v>913</v>
          </cell>
          <cell r="Y78">
            <v>1.5498357064622126</v>
          </cell>
          <cell r="Z78">
            <v>593.38709677419354</v>
          </cell>
          <cell r="AA78">
            <v>593.4</v>
          </cell>
          <cell r="AB78">
            <v>717.9983870967742</v>
          </cell>
          <cell r="AC78">
            <v>718</v>
          </cell>
        </row>
        <row r="79">
          <cell r="H79" t="str">
            <v>8715738896895</v>
          </cell>
          <cell r="I79" t="str">
            <v>Carve Kite</v>
          </cell>
          <cell r="J79" t="str">
            <v>200</v>
          </cell>
          <cell r="K79" t="str">
            <v>Orange</v>
          </cell>
          <cell r="L79" t="str">
            <v>6m</v>
          </cell>
          <cell r="M79" t="str">
            <v xml:space="preserve">Carry Over </v>
          </cell>
          <cell r="N79" t="str">
            <v xml:space="preserve">North Kite &amp; Foils </v>
          </cell>
          <cell r="P79" t="str">
            <v>85000.2500012006m</v>
          </cell>
          <cell r="Q79">
            <v>65</v>
          </cell>
          <cell r="R79">
            <v>0</v>
          </cell>
          <cell r="S79">
            <v>0</v>
          </cell>
          <cell r="T79">
            <v>1485</v>
          </cell>
          <cell r="U79">
            <v>958.1</v>
          </cell>
          <cell r="V79">
            <v>958.0645161290322</v>
          </cell>
          <cell r="W79">
            <v>1485</v>
          </cell>
          <cell r="X79">
            <v>958.1</v>
          </cell>
          <cell r="Y79">
            <v>1.549942594718714</v>
          </cell>
          <cell r="Z79">
            <v>622.74193548387098</v>
          </cell>
          <cell r="AA79">
            <v>622.80000000000007</v>
          </cell>
          <cell r="AB79">
            <v>753.51774193548385</v>
          </cell>
          <cell r="AC79">
            <v>753.6</v>
          </cell>
        </row>
        <row r="80">
          <cell r="H80" t="str">
            <v>8715738896901</v>
          </cell>
          <cell r="I80" t="str">
            <v>Carve Kite</v>
          </cell>
          <cell r="J80" t="str">
            <v>200</v>
          </cell>
          <cell r="K80" t="str">
            <v>Orange</v>
          </cell>
          <cell r="L80" t="str">
            <v>7m</v>
          </cell>
          <cell r="M80" t="str">
            <v xml:space="preserve">Carry Over </v>
          </cell>
          <cell r="N80" t="str">
            <v xml:space="preserve">North Kite &amp; Foils </v>
          </cell>
          <cell r="P80" t="str">
            <v>85000.2500012007m</v>
          </cell>
          <cell r="Q80">
            <v>66</v>
          </cell>
          <cell r="R80">
            <v>0</v>
          </cell>
          <cell r="S80">
            <v>0</v>
          </cell>
          <cell r="T80">
            <v>1555</v>
          </cell>
          <cell r="U80">
            <v>1003.3000000000001</v>
          </cell>
          <cell r="V80">
            <v>1003.2258064516129</v>
          </cell>
          <cell r="W80">
            <v>1555</v>
          </cell>
          <cell r="X80">
            <v>1003.3000000000001</v>
          </cell>
          <cell r="Y80">
            <v>1.549885378251769</v>
          </cell>
          <cell r="Z80">
            <v>652.09677419354841</v>
          </cell>
          <cell r="AA80">
            <v>652.1</v>
          </cell>
          <cell r="AB80">
            <v>789.03709677419351</v>
          </cell>
          <cell r="AC80">
            <v>789.1</v>
          </cell>
        </row>
        <row r="81">
          <cell r="H81" t="str">
            <v>8715738896918</v>
          </cell>
          <cell r="I81" t="str">
            <v>Carve Kite</v>
          </cell>
          <cell r="J81" t="str">
            <v>200</v>
          </cell>
          <cell r="K81" t="str">
            <v>Orange</v>
          </cell>
          <cell r="L81" t="str">
            <v>8m</v>
          </cell>
          <cell r="M81" t="str">
            <v xml:space="preserve">Carry Over </v>
          </cell>
          <cell r="N81" t="str">
            <v xml:space="preserve">North Kite &amp; Foils </v>
          </cell>
          <cell r="P81" t="str">
            <v>85000.2500012008m</v>
          </cell>
          <cell r="Q81">
            <v>67</v>
          </cell>
          <cell r="R81">
            <v>0</v>
          </cell>
          <cell r="S81">
            <v>0</v>
          </cell>
          <cell r="T81">
            <v>1639</v>
          </cell>
          <cell r="U81">
            <v>1057.5</v>
          </cell>
          <cell r="V81">
            <v>1057.4193548387098</v>
          </cell>
          <cell r="W81">
            <v>1639</v>
          </cell>
          <cell r="X81">
            <v>1057.5</v>
          </cell>
          <cell r="Y81">
            <v>1.5498817966903073</v>
          </cell>
          <cell r="Z81">
            <v>687.32258064516134</v>
          </cell>
          <cell r="AA81">
            <v>687.4</v>
          </cell>
          <cell r="AB81">
            <v>831.66032258064524</v>
          </cell>
          <cell r="AC81">
            <v>831.7</v>
          </cell>
        </row>
        <row r="82">
          <cell r="H82" t="str">
            <v>8715738896925</v>
          </cell>
          <cell r="I82" t="str">
            <v>Carve Kite</v>
          </cell>
          <cell r="J82" t="str">
            <v>200</v>
          </cell>
          <cell r="K82" t="str">
            <v>Orange</v>
          </cell>
          <cell r="L82" t="str">
            <v>9m</v>
          </cell>
          <cell r="M82" t="str">
            <v xml:space="preserve">Carry Over </v>
          </cell>
          <cell r="N82" t="str">
            <v xml:space="preserve">North Kite &amp; Foils </v>
          </cell>
          <cell r="P82" t="str">
            <v>85000.2500012009m</v>
          </cell>
          <cell r="Q82">
            <v>68</v>
          </cell>
          <cell r="R82">
            <v>0</v>
          </cell>
          <cell r="S82">
            <v>0</v>
          </cell>
          <cell r="T82">
            <v>1719</v>
          </cell>
          <cell r="U82">
            <v>1109.0999999999999</v>
          </cell>
          <cell r="V82">
            <v>1109.0322580645161</v>
          </cell>
          <cell r="W82">
            <v>1719</v>
          </cell>
          <cell r="X82">
            <v>1109.0999999999999</v>
          </cell>
          <cell r="Y82">
            <v>1.5499053286448472</v>
          </cell>
          <cell r="Z82">
            <v>720.87096774193549</v>
          </cell>
          <cell r="AA82">
            <v>720.9</v>
          </cell>
          <cell r="AB82">
            <v>872.25387096774193</v>
          </cell>
          <cell r="AC82">
            <v>872.30000000000007</v>
          </cell>
        </row>
        <row r="83">
          <cell r="H83" t="str">
            <v>8715738896932</v>
          </cell>
          <cell r="I83" t="str">
            <v>Carve Kite</v>
          </cell>
          <cell r="J83" t="str">
            <v>200</v>
          </cell>
          <cell r="K83" t="str">
            <v>Orange</v>
          </cell>
          <cell r="L83" t="str">
            <v>10m</v>
          </cell>
          <cell r="M83" t="str">
            <v xml:space="preserve">Carry Over </v>
          </cell>
          <cell r="N83" t="str">
            <v xml:space="preserve">North Kite &amp; Foils </v>
          </cell>
          <cell r="P83" t="str">
            <v>85000.25000120010m</v>
          </cell>
          <cell r="Q83">
            <v>69</v>
          </cell>
          <cell r="R83">
            <v>0</v>
          </cell>
          <cell r="S83">
            <v>0</v>
          </cell>
          <cell r="T83">
            <v>1799</v>
          </cell>
          <cell r="U83">
            <v>1160.6999999999998</v>
          </cell>
          <cell r="V83">
            <v>1160.6451612903224</v>
          </cell>
          <cell r="W83">
            <v>1799</v>
          </cell>
          <cell r="X83">
            <v>1160.6999999999998</v>
          </cell>
          <cell r="Y83">
            <v>1.5499267683294566</v>
          </cell>
          <cell r="Z83">
            <v>754.41935483870964</v>
          </cell>
          <cell r="AA83">
            <v>754.5</v>
          </cell>
          <cell r="AB83">
            <v>912.84741935483862</v>
          </cell>
          <cell r="AC83">
            <v>912.9</v>
          </cell>
        </row>
        <row r="84">
          <cell r="H84" t="str">
            <v>8715738896956</v>
          </cell>
          <cell r="I84" t="str">
            <v>Carve Kite</v>
          </cell>
          <cell r="J84" t="str">
            <v>200</v>
          </cell>
          <cell r="K84" t="str">
            <v>Orange</v>
          </cell>
          <cell r="L84" t="str">
            <v>12m</v>
          </cell>
          <cell r="M84" t="str">
            <v xml:space="preserve">Carry Over </v>
          </cell>
          <cell r="N84" t="str">
            <v xml:space="preserve">North Kite &amp; Foils </v>
          </cell>
          <cell r="P84" t="str">
            <v>85000.25000120012m</v>
          </cell>
          <cell r="Q84">
            <v>70</v>
          </cell>
          <cell r="R84">
            <v>0</v>
          </cell>
          <cell r="S84">
            <v>0</v>
          </cell>
          <cell r="T84">
            <v>1949</v>
          </cell>
          <cell r="U84">
            <v>1257.5</v>
          </cell>
          <cell r="V84">
            <v>1257.4193548387098</v>
          </cell>
          <cell r="W84">
            <v>1949</v>
          </cell>
          <cell r="X84">
            <v>1257.5</v>
          </cell>
          <cell r="Y84">
            <v>1.5499005964214712</v>
          </cell>
          <cell r="Z84">
            <v>817.32258064516134</v>
          </cell>
          <cell r="AA84">
            <v>817.4</v>
          </cell>
          <cell r="AB84">
            <v>988.9603225806452</v>
          </cell>
          <cell r="AC84">
            <v>989</v>
          </cell>
        </row>
        <row r="85">
          <cell r="H85" t="str">
            <v>8715738863767</v>
          </cell>
          <cell r="I85" t="str">
            <v>Pulse Kite</v>
          </cell>
          <cell r="J85" t="str">
            <v>310</v>
          </cell>
          <cell r="K85" t="str">
            <v>Rubine Red</v>
          </cell>
          <cell r="L85" t="str">
            <v>7m</v>
          </cell>
          <cell r="M85" t="str">
            <v xml:space="preserve">Carry Over </v>
          </cell>
          <cell r="N85" t="str">
            <v xml:space="preserve">North Kite &amp; Foils </v>
          </cell>
          <cell r="P85" t="str">
            <v>85000.2500023107m</v>
          </cell>
          <cell r="Q85">
            <v>71</v>
          </cell>
          <cell r="R85">
            <v>0</v>
          </cell>
          <cell r="S85">
            <v>0</v>
          </cell>
          <cell r="T85">
            <v>1629</v>
          </cell>
          <cell r="U85">
            <v>1051</v>
          </cell>
          <cell r="V85">
            <v>1050.9677419354839</v>
          </cell>
          <cell r="W85">
            <v>1629</v>
          </cell>
          <cell r="X85">
            <v>1051</v>
          </cell>
          <cell r="Y85">
            <v>1.5499524262607041</v>
          </cell>
          <cell r="Z85">
            <v>683.12903225806451</v>
          </cell>
          <cell r="AA85">
            <v>683.2</v>
          </cell>
          <cell r="AB85">
            <v>826.58612903225799</v>
          </cell>
          <cell r="AC85">
            <v>826.6</v>
          </cell>
        </row>
        <row r="86">
          <cell r="H86" t="str">
            <v>8715738863774</v>
          </cell>
          <cell r="I86" t="str">
            <v>Pulse Kite</v>
          </cell>
          <cell r="J86" t="str">
            <v>310</v>
          </cell>
          <cell r="K86" t="str">
            <v>Rubine Red</v>
          </cell>
          <cell r="L86" t="str">
            <v>9m</v>
          </cell>
          <cell r="M86" t="str">
            <v xml:space="preserve">Carry Over </v>
          </cell>
          <cell r="N86" t="str">
            <v xml:space="preserve">North Kite &amp; Foils </v>
          </cell>
          <cell r="P86" t="str">
            <v>85000.2500023109m</v>
          </cell>
          <cell r="Q86">
            <v>72</v>
          </cell>
          <cell r="R86">
            <v>0</v>
          </cell>
          <cell r="S86">
            <v>0</v>
          </cell>
          <cell r="T86">
            <v>1799</v>
          </cell>
          <cell r="U86">
            <v>1160.6999999999998</v>
          </cell>
          <cell r="V86">
            <v>1160.6451612903224</v>
          </cell>
          <cell r="W86">
            <v>1799</v>
          </cell>
          <cell r="X86">
            <v>1160.6999999999998</v>
          </cell>
          <cell r="Y86">
            <v>1.5499267683294566</v>
          </cell>
          <cell r="Z86">
            <v>754.41935483870964</v>
          </cell>
          <cell r="AA86">
            <v>754.5</v>
          </cell>
          <cell r="AB86">
            <v>912.84741935483862</v>
          </cell>
          <cell r="AC86">
            <v>912.9</v>
          </cell>
        </row>
        <row r="87">
          <cell r="H87" t="str">
            <v>8715738863781</v>
          </cell>
          <cell r="I87" t="str">
            <v>Pulse Kite</v>
          </cell>
          <cell r="J87" t="str">
            <v>310</v>
          </cell>
          <cell r="K87" t="str">
            <v>Rubine Red</v>
          </cell>
          <cell r="L87" t="str">
            <v>11m</v>
          </cell>
          <cell r="M87" t="str">
            <v xml:space="preserve">Carry Over </v>
          </cell>
          <cell r="N87" t="str">
            <v xml:space="preserve">North Kite &amp; Foils </v>
          </cell>
          <cell r="P87" t="str">
            <v>85000.25000231011m</v>
          </cell>
          <cell r="Q87">
            <v>73</v>
          </cell>
          <cell r="R87">
            <v>0</v>
          </cell>
          <cell r="S87">
            <v>0</v>
          </cell>
          <cell r="T87">
            <v>1969</v>
          </cell>
          <cell r="U87">
            <v>1270.3999999999999</v>
          </cell>
          <cell r="V87">
            <v>1270.3225806451612</v>
          </cell>
          <cell r="W87">
            <v>1969</v>
          </cell>
          <cell r="X87">
            <v>1270.3999999999999</v>
          </cell>
          <cell r="Y87">
            <v>1.5499055415617131</v>
          </cell>
          <cell r="Z87">
            <v>825.70967741935488</v>
          </cell>
          <cell r="AA87">
            <v>825.80000000000007</v>
          </cell>
          <cell r="AB87">
            <v>999.10870967741937</v>
          </cell>
          <cell r="AC87">
            <v>999.2</v>
          </cell>
        </row>
        <row r="88">
          <cell r="H88" t="str">
            <v>8715738863798</v>
          </cell>
          <cell r="I88" t="str">
            <v>Pulse Kite</v>
          </cell>
          <cell r="J88" t="str">
            <v>310</v>
          </cell>
          <cell r="K88" t="str">
            <v>Rubine Red</v>
          </cell>
          <cell r="L88" t="str">
            <v>13m</v>
          </cell>
          <cell r="M88" t="str">
            <v xml:space="preserve">Carry Over </v>
          </cell>
          <cell r="N88" t="str">
            <v xml:space="preserve">North Kite &amp; Foils </v>
          </cell>
          <cell r="P88" t="str">
            <v>85000.25000231013m</v>
          </cell>
          <cell r="Q88">
            <v>74</v>
          </cell>
          <cell r="R88">
            <v>0</v>
          </cell>
          <cell r="S88">
            <v>0</v>
          </cell>
          <cell r="T88">
            <v>2139</v>
          </cell>
          <cell r="U88">
            <v>1380</v>
          </cell>
          <cell r="V88">
            <v>1380</v>
          </cell>
          <cell r="W88">
            <v>2139</v>
          </cell>
          <cell r="X88">
            <v>1380</v>
          </cell>
          <cell r="Y88">
            <v>1.55</v>
          </cell>
          <cell r="Z88">
            <v>897</v>
          </cell>
          <cell r="AA88">
            <v>897</v>
          </cell>
          <cell r="AB88">
            <v>1085.3699999999999</v>
          </cell>
          <cell r="AC88">
            <v>1085.3999999999999</v>
          </cell>
        </row>
        <row r="89">
          <cell r="H89" t="str">
            <v>8715738889873</v>
          </cell>
          <cell r="I89" t="str">
            <v>Code Zero Pro Kite</v>
          </cell>
          <cell r="J89" t="str">
            <v>100</v>
          </cell>
          <cell r="K89" t="str">
            <v>White</v>
          </cell>
          <cell r="L89" t="str">
            <v>3.5m</v>
          </cell>
          <cell r="M89" t="str">
            <v xml:space="preserve">Carry Over </v>
          </cell>
          <cell r="N89" t="str">
            <v xml:space="preserve">North Kite &amp; Foils </v>
          </cell>
          <cell r="P89" t="str">
            <v>85000.2500081003.5m</v>
          </cell>
          <cell r="Q89">
            <v>75</v>
          </cell>
          <cell r="R89">
            <v>0</v>
          </cell>
          <cell r="S89">
            <v>0</v>
          </cell>
          <cell r="T89">
            <v>1199</v>
          </cell>
          <cell r="U89">
            <v>773.6</v>
          </cell>
          <cell r="V89">
            <v>773.54838709677415</v>
          </cell>
          <cell r="W89">
            <v>1199</v>
          </cell>
          <cell r="X89">
            <v>773.6</v>
          </cell>
          <cell r="Y89">
            <v>1.5498965873836608</v>
          </cell>
          <cell r="Z89">
            <v>502.80645161290323</v>
          </cell>
          <cell r="AA89">
            <v>502.90000000000003</v>
          </cell>
          <cell r="AB89">
            <v>608.39580645161288</v>
          </cell>
          <cell r="AC89">
            <v>608.4</v>
          </cell>
        </row>
        <row r="90">
          <cell r="H90" t="str">
            <v>8715738890671</v>
          </cell>
          <cell r="I90" t="str">
            <v>Code Zero Pro Kite</v>
          </cell>
          <cell r="J90" t="str">
            <v>100</v>
          </cell>
          <cell r="K90" t="str">
            <v>White</v>
          </cell>
          <cell r="L90" t="str">
            <v>4m</v>
          </cell>
          <cell r="M90" t="str">
            <v xml:space="preserve">Carry Over </v>
          </cell>
          <cell r="N90" t="str">
            <v xml:space="preserve">North Kite &amp; Foils </v>
          </cell>
          <cell r="P90" t="str">
            <v>85000.2500081004m</v>
          </cell>
          <cell r="Q90">
            <v>76</v>
          </cell>
          <cell r="R90">
            <v>0</v>
          </cell>
          <cell r="S90">
            <v>0</v>
          </cell>
          <cell r="T90">
            <v>1289</v>
          </cell>
          <cell r="U90">
            <v>831.7</v>
          </cell>
          <cell r="V90">
            <v>831.61290322580646</v>
          </cell>
          <cell r="W90">
            <v>1289</v>
          </cell>
          <cell r="X90">
            <v>831.7</v>
          </cell>
          <cell r="Y90">
            <v>1.5498376818564386</v>
          </cell>
          <cell r="Z90">
            <v>540.54838709677426</v>
          </cell>
          <cell r="AA90">
            <v>540.6</v>
          </cell>
          <cell r="AB90">
            <v>654.06354838709683</v>
          </cell>
          <cell r="AC90">
            <v>654.1</v>
          </cell>
        </row>
        <row r="91">
          <cell r="H91" t="str">
            <v>8715738864030</v>
          </cell>
          <cell r="I91" t="str">
            <v>Code Zero Pro Kite</v>
          </cell>
          <cell r="J91" t="str">
            <v>100</v>
          </cell>
          <cell r="K91" t="str">
            <v>White</v>
          </cell>
          <cell r="L91" t="str">
            <v>5m</v>
          </cell>
          <cell r="M91" t="str">
            <v xml:space="preserve">Carry Over </v>
          </cell>
          <cell r="N91" t="str">
            <v xml:space="preserve">North Kite &amp; Foils </v>
          </cell>
          <cell r="P91" t="str">
            <v>85000.2500081005m</v>
          </cell>
          <cell r="Q91">
            <v>77</v>
          </cell>
          <cell r="R91">
            <v>0</v>
          </cell>
          <cell r="S91">
            <v>0</v>
          </cell>
          <cell r="T91">
            <v>1359</v>
          </cell>
          <cell r="U91">
            <v>876.80000000000007</v>
          </cell>
          <cell r="V91">
            <v>876.77419354838707</v>
          </cell>
          <cell r="W91">
            <v>1359</v>
          </cell>
          <cell r="X91">
            <v>876.80000000000007</v>
          </cell>
          <cell r="Y91">
            <v>1.5499543795620436</v>
          </cell>
          <cell r="Z91">
            <v>569.90322580645159</v>
          </cell>
          <cell r="AA91">
            <v>570</v>
          </cell>
          <cell r="AB91">
            <v>689.58290322580638</v>
          </cell>
          <cell r="AC91">
            <v>689.6</v>
          </cell>
        </row>
        <row r="92">
          <cell r="H92" t="str">
            <v>8715738864047</v>
          </cell>
          <cell r="I92" t="str">
            <v>Code Zero Pro Kite</v>
          </cell>
          <cell r="J92" t="str">
            <v>100</v>
          </cell>
          <cell r="K92" t="str">
            <v>White</v>
          </cell>
          <cell r="L92" t="str">
            <v>6m</v>
          </cell>
          <cell r="M92" t="str">
            <v xml:space="preserve">Carry Over </v>
          </cell>
          <cell r="N92" t="str">
            <v xml:space="preserve">North Kite &amp; Foils </v>
          </cell>
          <cell r="P92" t="str">
            <v>85000.2500081006m</v>
          </cell>
          <cell r="Q92">
            <v>78</v>
          </cell>
          <cell r="R92">
            <v>0</v>
          </cell>
          <cell r="S92">
            <v>0</v>
          </cell>
          <cell r="T92">
            <v>1409</v>
          </cell>
          <cell r="U92">
            <v>909.1</v>
          </cell>
          <cell r="V92">
            <v>909.0322580645161</v>
          </cell>
          <cell r="W92">
            <v>1409</v>
          </cell>
          <cell r="X92">
            <v>909.1</v>
          </cell>
          <cell r="Y92">
            <v>1.5498845011549884</v>
          </cell>
          <cell r="Z92">
            <v>590.87096774193549</v>
          </cell>
          <cell r="AA92">
            <v>590.9</v>
          </cell>
          <cell r="AB92">
            <v>714.95387096774186</v>
          </cell>
          <cell r="AC92">
            <v>715</v>
          </cell>
        </row>
        <row r="93">
          <cell r="H93" t="str">
            <v>8715738864054</v>
          </cell>
          <cell r="I93" t="str">
            <v>Code Zero Pro Kite</v>
          </cell>
          <cell r="J93" t="str">
            <v>100</v>
          </cell>
          <cell r="K93" t="str">
            <v>White</v>
          </cell>
          <cell r="L93" t="str">
            <v>7m</v>
          </cell>
          <cell r="M93" t="str">
            <v xml:space="preserve">Carry Over </v>
          </cell>
          <cell r="N93" t="str">
            <v xml:space="preserve">North Kite &amp; Foils </v>
          </cell>
          <cell r="P93" t="str">
            <v>85000.2500081007m</v>
          </cell>
          <cell r="Q93">
            <v>79</v>
          </cell>
          <cell r="R93">
            <v>0</v>
          </cell>
          <cell r="S93">
            <v>0</v>
          </cell>
          <cell r="T93">
            <v>1489</v>
          </cell>
          <cell r="U93">
            <v>960.7</v>
          </cell>
          <cell r="V93">
            <v>960.64516129032256</v>
          </cell>
          <cell r="W93">
            <v>1489</v>
          </cell>
          <cell r="X93">
            <v>960.7</v>
          </cell>
          <cell r="Y93">
            <v>1.5499115228479232</v>
          </cell>
          <cell r="Z93">
            <v>624.41935483870964</v>
          </cell>
          <cell r="AA93">
            <v>624.5</v>
          </cell>
          <cell r="AB93">
            <v>755.54741935483867</v>
          </cell>
          <cell r="AC93">
            <v>755.6</v>
          </cell>
        </row>
        <row r="94">
          <cell r="H94" t="str">
            <v>8715738864061</v>
          </cell>
          <cell r="I94" t="str">
            <v>Code Zero Pro Kite</v>
          </cell>
          <cell r="J94" t="str">
            <v>100</v>
          </cell>
          <cell r="K94" t="str">
            <v>White</v>
          </cell>
          <cell r="L94" t="str">
            <v>8m</v>
          </cell>
          <cell r="M94" t="str">
            <v xml:space="preserve">Carry Over </v>
          </cell>
          <cell r="N94" t="str">
            <v xml:space="preserve">North Kite &amp; Foils </v>
          </cell>
          <cell r="P94" t="str">
            <v>85000.2500081008m</v>
          </cell>
          <cell r="Q94">
            <v>80</v>
          </cell>
          <cell r="R94">
            <v>0</v>
          </cell>
          <cell r="S94">
            <v>0</v>
          </cell>
          <cell r="T94">
            <v>1569</v>
          </cell>
          <cell r="U94">
            <v>1012.3000000000001</v>
          </cell>
          <cell r="V94">
            <v>1012.258064516129</v>
          </cell>
          <cell r="W94">
            <v>1569</v>
          </cell>
          <cell r="X94">
            <v>1012.3000000000001</v>
          </cell>
          <cell r="Y94">
            <v>1.5499357897856365</v>
          </cell>
          <cell r="Z94">
            <v>657.9677419354839</v>
          </cell>
          <cell r="AA94">
            <v>658</v>
          </cell>
          <cell r="AB94">
            <v>796.14096774193547</v>
          </cell>
          <cell r="AC94">
            <v>796.2</v>
          </cell>
        </row>
        <row r="95">
          <cell r="H95" t="str">
            <v>8715738864078</v>
          </cell>
          <cell r="I95" t="str">
            <v>Code Zero Pro Kite</v>
          </cell>
          <cell r="J95" t="str">
            <v>100</v>
          </cell>
          <cell r="K95" t="str">
            <v>White</v>
          </cell>
          <cell r="L95" t="str">
            <v>9m</v>
          </cell>
          <cell r="M95" t="str">
            <v xml:space="preserve">Carry Over </v>
          </cell>
          <cell r="N95" t="str">
            <v xml:space="preserve">North Kite &amp; Foils </v>
          </cell>
          <cell r="P95" t="str">
            <v>85000.2500081009m</v>
          </cell>
          <cell r="Q95">
            <v>81</v>
          </cell>
          <cell r="R95">
            <v>0</v>
          </cell>
          <cell r="S95">
            <v>0</v>
          </cell>
          <cell r="T95">
            <v>1639</v>
          </cell>
          <cell r="U95">
            <v>1057.5</v>
          </cell>
          <cell r="V95">
            <v>1057.4193548387098</v>
          </cell>
          <cell r="W95">
            <v>1639</v>
          </cell>
          <cell r="X95">
            <v>1057.5</v>
          </cell>
          <cell r="Y95">
            <v>1.5498817966903073</v>
          </cell>
          <cell r="Z95">
            <v>687.32258064516134</v>
          </cell>
          <cell r="AA95">
            <v>687.4</v>
          </cell>
          <cell r="AB95">
            <v>831.66032258064524</v>
          </cell>
          <cell r="AC95">
            <v>831.7</v>
          </cell>
        </row>
        <row r="96">
          <cell r="H96" t="str">
            <v>8715738864085</v>
          </cell>
          <cell r="I96" t="str">
            <v>Code Zero Pro Kite</v>
          </cell>
          <cell r="J96" t="str">
            <v>100</v>
          </cell>
          <cell r="K96" t="str">
            <v>White</v>
          </cell>
          <cell r="L96" t="str">
            <v>10m</v>
          </cell>
          <cell r="M96" t="str">
            <v xml:space="preserve">Carry Over </v>
          </cell>
          <cell r="N96" t="str">
            <v xml:space="preserve">North Kite &amp; Foils </v>
          </cell>
          <cell r="P96" t="str">
            <v>85000.25000810010m</v>
          </cell>
          <cell r="Q96">
            <v>82</v>
          </cell>
          <cell r="R96">
            <v>0</v>
          </cell>
          <cell r="S96">
            <v>0</v>
          </cell>
          <cell r="T96">
            <v>1689</v>
          </cell>
          <cell r="U96">
            <v>1089.6999999999998</v>
          </cell>
          <cell r="V96">
            <v>1089.6774193548388</v>
          </cell>
          <cell r="W96">
            <v>1689</v>
          </cell>
          <cell r="X96">
            <v>1089.6999999999998</v>
          </cell>
          <cell r="Y96">
            <v>1.5499678810681841</v>
          </cell>
          <cell r="Z96">
            <v>708.29032258064524</v>
          </cell>
          <cell r="AA96">
            <v>708.30000000000007</v>
          </cell>
          <cell r="AB96">
            <v>857.03129032258073</v>
          </cell>
          <cell r="AC96">
            <v>857.1</v>
          </cell>
        </row>
        <row r="97">
          <cell r="H97" t="str">
            <v>8715738864092</v>
          </cell>
          <cell r="I97" t="str">
            <v>Code Zero Pro Kite</v>
          </cell>
          <cell r="J97" t="str">
            <v>100</v>
          </cell>
          <cell r="K97" t="str">
            <v>White</v>
          </cell>
          <cell r="L97" t="str">
            <v>11m</v>
          </cell>
          <cell r="M97" t="str">
            <v xml:space="preserve">Carry Over </v>
          </cell>
          <cell r="N97" t="str">
            <v xml:space="preserve">North Kite &amp; Foils </v>
          </cell>
          <cell r="P97" t="str">
            <v>85000.25000810011m</v>
          </cell>
          <cell r="Q97">
            <v>83</v>
          </cell>
          <cell r="R97">
            <v>0</v>
          </cell>
          <cell r="S97">
            <v>0</v>
          </cell>
          <cell r="T97">
            <v>1769</v>
          </cell>
          <cell r="U97">
            <v>1141.3</v>
          </cell>
          <cell r="V97">
            <v>1141.2903225806451</v>
          </cell>
          <cell r="W97">
            <v>1769</v>
          </cell>
          <cell r="X97">
            <v>1141.3</v>
          </cell>
          <cell r="Y97">
            <v>1.549986857092789</v>
          </cell>
          <cell r="Z97">
            <v>741.83870967741939</v>
          </cell>
          <cell r="AA97">
            <v>741.9</v>
          </cell>
          <cell r="AB97">
            <v>897.62483870967742</v>
          </cell>
          <cell r="AC97">
            <v>897.7</v>
          </cell>
        </row>
        <row r="98">
          <cell r="H98" t="str">
            <v>8715738864108</v>
          </cell>
          <cell r="I98" t="str">
            <v>Code Zero Pro Kite</v>
          </cell>
          <cell r="J98" t="str">
            <v>100</v>
          </cell>
          <cell r="K98" t="str">
            <v>White</v>
          </cell>
          <cell r="L98" t="str">
            <v>14m</v>
          </cell>
          <cell r="M98" t="str">
            <v xml:space="preserve">Carry Over </v>
          </cell>
          <cell r="N98" t="str">
            <v xml:space="preserve">North Kite &amp; Foils </v>
          </cell>
          <cell r="P98" t="str">
            <v>85000.25000810014m</v>
          </cell>
          <cell r="Q98">
            <v>84</v>
          </cell>
          <cell r="R98">
            <v>0</v>
          </cell>
          <cell r="S98">
            <v>0</v>
          </cell>
          <cell r="T98">
            <v>1839</v>
          </cell>
          <cell r="U98">
            <v>1186.5</v>
          </cell>
          <cell r="V98">
            <v>1186.4516129032259</v>
          </cell>
          <cell r="W98">
            <v>1839</v>
          </cell>
          <cell r="X98">
            <v>1186.5</v>
          </cell>
          <cell r="Y98">
            <v>1.5499367888748419</v>
          </cell>
          <cell r="Z98">
            <v>771.19354838709683</v>
          </cell>
          <cell r="AA98">
            <v>771.2</v>
          </cell>
          <cell r="AB98">
            <v>933.14419354838708</v>
          </cell>
          <cell r="AC98">
            <v>933.2</v>
          </cell>
        </row>
        <row r="99">
          <cell r="H99" t="str">
            <v>8715738844650</v>
          </cell>
          <cell r="I99" t="str">
            <v>Pioneer Kite</v>
          </cell>
          <cell r="J99" t="str">
            <v>600</v>
          </cell>
          <cell r="K99" t="str">
            <v>Green</v>
          </cell>
          <cell r="L99" t="str">
            <v>2m</v>
          </cell>
          <cell r="M99" t="str">
            <v xml:space="preserve">Carry Over </v>
          </cell>
          <cell r="N99" t="str">
            <v xml:space="preserve">North Kite &amp; Foils </v>
          </cell>
          <cell r="P99" t="str">
            <v>85000.2400036002m</v>
          </cell>
          <cell r="Q99">
            <v>85</v>
          </cell>
          <cell r="R99">
            <v>0</v>
          </cell>
          <cell r="S99">
            <v>0</v>
          </cell>
          <cell r="T99">
            <v>225</v>
          </cell>
          <cell r="U99">
            <v>145.19999999999999</v>
          </cell>
          <cell r="V99">
            <v>145.16129032258064</v>
          </cell>
          <cell r="W99">
            <v>225</v>
          </cell>
          <cell r="X99">
            <v>145.19999999999999</v>
          </cell>
          <cell r="Y99">
            <v>1.5495867768595042</v>
          </cell>
          <cell r="Z99">
            <v>94.354838709677423</v>
          </cell>
          <cell r="AA99">
            <v>94.399999999999991</v>
          </cell>
          <cell r="AB99">
            <v>114.16935483870968</v>
          </cell>
          <cell r="AC99">
            <v>114.19999999999999</v>
          </cell>
        </row>
        <row r="100">
          <cell r="H100" t="str">
            <v>8715738884656</v>
          </cell>
          <cell r="I100" t="str">
            <v>Navigator PRO Control System</v>
          </cell>
          <cell r="J100" t="str">
            <v>999</v>
          </cell>
          <cell r="K100" t="str">
            <v>Multiple Color</v>
          </cell>
          <cell r="L100" t="str">
            <v>38-43cm</v>
          </cell>
          <cell r="M100" t="str">
            <v>New</v>
          </cell>
          <cell r="N100" t="str">
            <v xml:space="preserve">North Kite &amp; Foils </v>
          </cell>
          <cell r="P100" t="str">
            <v>85001.24002199938-43cm</v>
          </cell>
          <cell r="Q100">
            <v>86</v>
          </cell>
          <cell r="R100">
            <v>-6</v>
          </cell>
          <cell r="S100">
            <v>-6</v>
          </cell>
          <cell r="T100">
            <v>665</v>
          </cell>
          <cell r="U100">
            <v>443.40000000000003</v>
          </cell>
          <cell r="V100">
            <v>439.33333333333331</v>
          </cell>
          <cell r="W100">
            <v>659</v>
          </cell>
          <cell r="X100">
            <v>439.40000000000003</v>
          </cell>
          <cell r="Y100">
            <v>1.4997724169321802</v>
          </cell>
          <cell r="Z100">
            <v>285.56666666666666</v>
          </cell>
          <cell r="AA100">
            <v>285.60000000000002</v>
          </cell>
          <cell r="AB100">
            <v>345.53566666666666</v>
          </cell>
          <cell r="AC100">
            <v>345.6</v>
          </cell>
        </row>
        <row r="101">
          <cell r="H101" t="str">
            <v>8715738848771</v>
          </cell>
          <cell r="I101" t="str">
            <v>Navigator PRO Control System</v>
          </cell>
          <cell r="J101" t="str">
            <v>999</v>
          </cell>
          <cell r="K101" t="str">
            <v>Multiple Color</v>
          </cell>
          <cell r="L101" t="str">
            <v>45-50cm</v>
          </cell>
          <cell r="M101" t="str">
            <v>New</v>
          </cell>
          <cell r="N101" t="str">
            <v xml:space="preserve">North Kite &amp; Foils </v>
          </cell>
          <cell r="P101" t="str">
            <v>85001.24002199945-50cm</v>
          </cell>
          <cell r="Q101">
            <v>87</v>
          </cell>
          <cell r="R101">
            <v>-6</v>
          </cell>
          <cell r="S101">
            <v>-6</v>
          </cell>
          <cell r="T101">
            <v>665</v>
          </cell>
          <cell r="U101">
            <v>443.40000000000003</v>
          </cell>
          <cell r="V101">
            <v>439.33333333333331</v>
          </cell>
          <cell r="W101">
            <v>659</v>
          </cell>
          <cell r="X101">
            <v>439.40000000000003</v>
          </cell>
          <cell r="Y101">
            <v>1.4997724169321802</v>
          </cell>
          <cell r="Z101">
            <v>285.56666666666666</v>
          </cell>
          <cell r="AA101">
            <v>285.60000000000002</v>
          </cell>
          <cell r="AB101">
            <v>345.53566666666666</v>
          </cell>
          <cell r="AC101">
            <v>345.6</v>
          </cell>
        </row>
        <row r="102">
          <cell r="H102" t="str">
            <v>8715738848788</v>
          </cell>
          <cell r="I102" t="str">
            <v>Navigator PRO Control System</v>
          </cell>
          <cell r="J102" t="str">
            <v>999</v>
          </cell>
          <cell r="K102" t="str">
            <v>Multiple Color</v>
          </cell>
          <cell r="L102" t="str">
            <v>50-55cm</v>
          </cell>
          <cell r="M102" t="str">
            <v>New</v>
          </cell>
          <cell r="N102" t="str">
            <v xml:space="preserve">North Kite &amp; Foils </v>
          </cell>
          <cell r="P102" t="str">
            <v>85001.24002199950-55cm</v>
          </cell>
          <cell r="Q102">
            <v>88</v>
          </cell>
          <cell r="R102">
            <v>-6</v>
          </cell>
          <cell r="S102">
            <v>-6</v>
          </cell>
          <cell r="T102">
            <v>665</v>
          </cell>
          <cell r="U102">
            <v>443.40000000000003</v>
          </cell>
          <cell r="V102">
            <v>439.33333333333331</v>
          </cell>
          <cell r="W102">
            <v>659</v>
          </cell>
          <cell r="X102">
            <v>439.40000000000003</v>
          </cell>
          <cell r="Y102">
            <v>1.4997724169321802</v>
          </cell>
          <cell r="Z102">
            <v>285.56666666666666</v>
          </cell>
          <cell r="AA102">
            <v>285.60000000000002</v>
          </cell>
          <cell r="AB102">
            <v>345.53566666666666</v>
          </cell>
          <cell r="AC102">
            <v>345.6</v>
          </cell>
        </row>
        <row r="103">
          <cell r="H103" t="str">
            <v>8715738740143</v>
          </cell>
          <cell r="I103" t="str">
            <v>Navigator Control System</v>
          </cell>
          <cell r="J103" t="str">
            <v>999</v>
          </cell>
          <cell r="K103" t="str">
            <v>Multiple Color</v>
          </cell>
          <cell r="L103" t="str">
            <v>38-43cm</v>
          </cell>
          <cell r="M103" t="str">
            <v xml:space="preserve">Carry Over </v>
          </cell>
          <cell r="N103" t="str">
            <v xml:space="preserve">North Kite &amp; Foils </v>
          </cell>
          <cell r="P103" t="str">
            <v>85001.22002099938-43cm</v>
          </cell>
          <cell r="Q103">
            <v>89</v>
          </cell>
          <cell r="R103">
            <v>0</v>
          </cell>
          <cell r="S103">
            <v>0</v>
          </cell>
          <cell r="T103">
            <v>449</v>
          </cell>
          <cell r="U103">
            <v>299.40000000000003</v>
          </cell>
          <cell r="V103">
            <v>299.33333333333331</v>
          </cell>
          <cell r="W103">
            <v>449</v>
          </cell>
          <cell r="X103">
            <v>299.40000000000003</v>
          </cell>
          <cell r="Y103">
            <v>1.4996659986639944</v>
          </cell>
          <cell r="Z103">
            <v>194.56666666666666</v>
          </cell>
          <cell r="AA103">
            <v>194.6</v>
          </cell>
          <cell r="AB103">
            <v>235.42566666666664</v>
          </cell>
          <cell r="AC103">
            <v>235.5</v>
          </cell>
        </row>
        <row r="104">
          <cell r="H104" t="str">
            <v>8715738740150</v>
          </cell>
          <cell r="I104" t="str">
            <v>Navigator Control System</v>
          </cell>
          <cell r="J104" t="str">
            <v>999</v>
          </cell>
          <cell r="K104" t="str">
            <v>Multiple Color</v>
          </cell>
          <cell r="L104" t="str">
            <v>45-50cm</v>
          </cell>
          <cell r="M104" t="str">
            <v xml:space="preserve">Carry Over </v>
          </cell>
          <cell r="N104" t="str">
            <v xml:space="preserve">North Kite &amp; Foils </v>
          </cell>
          <cell r="P104" t="str">
            <v>85001.22002099945-50cm</v>
          </cell>
          <cell r="Q104">
            <v>90</v>
          </cell>
          <cell r="R104">
            <v>0</v>
          </cell>
          <cell r="S104">
            <v>0</v>
          </cell>
          <cell r="T104">
            <v>449</v>
          </cell>
          <cell r="U104">
            <v>299.40000000000003</v>
          </cell>
          <cell r="V104">
            <v>299.33333333333331</v>
          </cell>
          <cell r="W104">
            <v>449</v>
          </cell>
          <cell r="X104">
            <v>299.40000000000003</v>
          </cell>
          <cell r="Y104">
            <v>1.4996659986639944</v>
          </cell>
          <cell r="Z104">
            <v>194.56666666666666</v>
          </cell>
          <cell r="AA104">
            <v>194.6</v>
          </cell>
          <cell r="AB104">
            <v>235.42566666666664</v>
          </cell>
          <cell r="AC104">
            <v>235.5</v>
          </cell>
        </row>
        <row r="105">
          <cell r="H105" t="str">
            <v>8715738740167</v>
          </cell>
          <cell r="I105" t="str">
            <v>Navigator Control System</v>
          </cell>
          <cell r="J105" t="str">
            <v>999</v>
          </cell>
          <cell r="K105" t="str">
            <v>Multiple Color</v>
          </cell>
          <cell r="L105" t="str">
            <v>50-55cm</v>
          </cell>
          <cell r="M105" t="str">
            <v xml:space="preserve">Carry Over </v>
          </cell>
          <cell r="N105" t="str">
            <v xml:space="preserve">North Kite &amp; Foils </v>
          </cell>
          <cell r="P105" t="str">
            <v>85001.22002099950-55cm</v>
          </cell>
          <cell r="Q105">
            <v>91</v>
          </cell>
          <cell r="R105">
            <v>0</v>
          </cell>
          <cell r="S105">
            <v>0</v>
          </cell>
          <cell r="T105">
            <v>449</v>
          </cell>
          <cell r="U105">
            <v>299.40000000000003</v>
          </cell>
          <cell r="V105">
            <v>299.33333333333331</v>
          </cell>
          <cell r="W105">
            <v>449</v>
          </cell>
          <cell r="X105">
            <v>299.40000000000003</v>
          </cell>
          <cell r="Y105">
            <v>1.4996659986639944</v>
          </cell>
          <cell r="Z105">
            <v>194.56666666666666</v>
          </cell>
          <cell r="AA105">
            <v>194.6</v>
          </cell>
          <cell r="AB105">
            <v>235.42566666666664</v>
          </cell>
          <cell r="AC105">
            <v>235.5</v>
          </cell>
        </row>
        <row r="106">
          <cell r="H106" t="str">
            <v>8715738833272</v>
          </cell>
          <cell r="I106" t="str">
            <v>Navigator Control System - Short Throw</v>
          </cell>
          <cell r="J106" t="str">
            <v>999</v>
          </cell>
          <cell r="K106" t="str">
            <v>Multiple Color</v>
          </cell>
          <cell r="L106" t="str">
            <v>45-50cm</v>
          </cell>
          <cell r="M106" t="str">
            <v xml:space="preserve">Carry Over </v>
          </cell>
          <cell r="N106" t="str">
            <v xml:space="preserve">North Kite &amp; Foils </v>
          </cell>
          <cell r="P106" t="str">
            <v>85001.24002599945-50cm</v>
          </cell>
          <cell r="Q106">
            <v>92</v>
          </cell>
          <cell r="R106">
            <v>0</v>
          </cell>
          <cell r="S106">
            <v>0</v>
          </cell>
          <cell r="T106">
            <v>565</v>
          </cell>
          <cell r="U106">
            <v>376.70000000000005</v>
          </cell>
          <cell r="V106">
            <v>376.66666666666669</v>
          </cell>
          <cell r="W106">
            <v>565</v>
          </cell>
          <cell r="X106">
            <v>376.70000000000005</v>
          </cell>
          <cell r="Y106">
            <v>1.4998672683833287</v>
          </cell>
          <cell r="Z106">
            <v>244.83333333333334</v>
          </cell>
          <cell r="AA106">
            <v>244.9</v>
          </cell>
          <cell r="AB106">
            <v>296.24833333333333</v>
          </cell>
          <cell r="AC106">
            <v>296.3</v>
          </cell>
        </row>
        <row r="107">
          <cell r="H107" t="str">
            <v>8715738864290</v>
          </cell>
          <cell r="I107" t="str">
            <v>Navigator Control System - Freestyle</v>
          </cell>
          <cell r="J107" t="str">
            <v>999</v>
          </cell>
          <cell r="K107" t="str">
            <v>Multiple Color</v>
          </cell>
          <cell r="L107" t="str">
            <v>38-43cm</v>
          </cell>
          <cell r="M107" t="str">
            <v xml:space="preserve">Carry Over </v>
          </cell>
          <cell r="N107" t="str">
            <v xml:space="preserve">North Kite &amp; Foils </v>
          </cell>
          <cell r="P107" t="str">
            <v>85001.25002499938-43cm</v>
          </cell>
          <cell r="Q107">
            <v>93</v>
          </cell>
          <cell r="R107">
            <v>0</v>
          </cell>
          <cell r="S107">
            <v>0</v>
          </cell>
          <cell r="T107">
            <v>665</v>
          </cell>
          <cell r="U107">
            <v>443.40000000000003</v>
          </cell>
          <cell r="V107">
            <v>443.33333333333331</v>
          </cell>
          <cell r="W107">
            <v>665</v>
          </cell>
          <cell r="X107">
            <v>443.40000000000003</v>
          </cell>
          <cell r="Y107">
            <v>1.4997744700045106</v>
          </cell>
          <cell r="Z107">
            <v>288.16666666666669</v>
          </cell>
          <cell r="AA107">
            <v>288.20000000000005</v>
          </cell>
          <cell r="AB107">
            <v>348.68166666666667</v>
          </cell>
          <cell r="AC107">
            <v>348.70000000000005</v>
          </cell>
        </row>
        <row r="108">
          <cell r="H108" t="str">
            <v>8715738911734</v>
          </cell>
          <cell r="I108" t="str">
            <v>Prime TT Board</v>
          </cell>
          <cell r="J108" t="str">
            <v>954</v>
          </cell>
          <cell r="K108" t="str">
            <v>Black / Orange Flash</v>
          </cell>
          <cell r="L108" t="str">
            <v>136x40cm</v>
          </cell>
          <cell r="M108" t="str">
            <v>New</v>
          </cell>
          <cell r="N108" t="str">
            <v xml:space="preserve">North Kite &amp; Foils </v>
          </cell>
          <cell r="P108" t="str">
            <v>85002.260020954136x40cm</v>
          </cell>
          <cell r="Q108">
            <v>94</v>
          </cell>
          <cell r="R108" t="e">
            <v>#VALUE!</v>
          </cell>
          <cell r="S108" t="e">
            <v>#VALUE!</v>
          </cell>
          <cell r="T108" t="str">
            <v/>
          </cell>
          <cell r="U108" t="str">
            <v/>
          </cell>
          <cell r="V108">
            <v>386.875</v>
          </cell>
          <cell r="W108">
            <v>619</v>
          </cell>
          <cell r="X108">
            <v>386.90000000000003</v>
          </cell>
          <cell r="Y108">
            <v>1.5998966141121735</v>
          </cell>
          <cell r="Z108">
            <v>270.8125</v>
          </cell>
          <cell r="AA108">
            <v>270.90000000000003</v>
          </cell>
          <cell r="AB108">
            <v>327.68312500000002</v>
          </cell>
          <cell r="AC108">
            <v>327.70000000000005</v>
          </cell>
        </row>
        <row r="109">
          <cell r="H109" t="str">
            <v>8715738912298</v>
          </cell>
          <cell r="I109" t="str">
            <v>Prime TT Board</v>
          </cell>
          <cell r="J109" t="str">
            <v>954</v>
          </cell>
          <cell r="K109" t="str">
            <v>Black / Orange Flash</v>
          </cell>
          <cell r="L109" t="str">
            <v>138x41cm</v>
          </cell>
          <cell r="M109" t="str">
            <v>New</v>
          </cell>
          <cell r="N109" t="str">
            <v xml:space="preserve">North Kite &amp; Foils </v>
          </cell>
          <cell r="P109" t="str">
            <v>85002.260020954138x41cm</v>
          </cell>
          <cell r="Q109">
            <v>95</v>
          </cell>
          <cell r="R109" t="e">
            <v>#VALUE!</v>
          </cell>
          <cell r="S109" t="e">
            <v>#VALUE!</v>
          </cell>
          <cell r="T109" t="str">
            <v/>
          </cell>
          <cell r="U109" t="str">
            <v/>
          </cell>
          <cell r="V109">
            <v>386.875</v>
          </cell>
          <cell r="W109">
            <v>619</v>
          </cell>
          <cell r="X109">
            <v>386.90000000000003</v>
          </cell>
          <cell r="Y109">
            <v>1.5998966141121735</v>
          </cell>
          <cell r="Z109">
            <v>270.8125</v>
          </cell>
          <cell r="AA109">
            <v>270.90000000000003</v>
          </cell>
          <cell r="AB109">
            <v>327.68312500000002</v>
          </cell>
          <cell r="AC109">
            <v>327.70000000000005</v>
          </cell>
        </row>
        <row r="110">
          <cell r="H110" t="str">
            <v>8715738912304</v>
          </cell>
          <cell r="I110" t="str">
            <v>Prime TT Board</v>
          </cell>
          <cell r="J110" t="str">
            <v>954</v>
          </cell>
          <cell r="K110" t="str">
            <v>Black / Orange Flash</v>
          </cell>
          <cell r="L110" t="str">
            <v>141x42cm</v>
          </cell>
          <cell r="M110" t="str">
            <v>New</v>
          </cell>
          <cell r="N110" t="str">
            <v xml:space="preserve">North Kite &amp; Foils </v>
          </cell>
          <cell r="P110" t="str">
            <v>85002.260020954141x42cm</v>
          </cell>
          <cell r="Q110">
            <v>96</v>
          </cell>
          <cell r="R110" t="e">
            <v>#VALUE!</v>
          </cell>
          <cell r="S110" t="e">
            <v>#VALUE!</v>
          </cell>
          <cell r="T110" t="str">
            <v/>
          </cell>
          <cell r="U110" t="str">
            <v/>
          </cell>
          <cell r="V110">
            <v>386.875</v>
          </cell>
          <cell r="W110">
            <v>619</v>
          </cell>
          <cell r="X110">
            <v>386.90000000000003</v>
          </cell>
          <cell r="Y110">
            <v>1.5998966141121735</v>
          </cell>
          <cell r="Z110">
            <v>270.8125</v>
          </cell>
          <cell r="AA110">
            <v>270.90000000000003</v>
          </cell>
          <cell r="AB110">
            <v>327.68312500000002</v>
          </cell>
          <cell r="AC110">
            <v>327.70000000000005</v>
          </cell>
        </row>
        <row r="111">
          <cell r="H111" t="str">
            <v>8715738912311</v>
          </cell>
          <cell r="I111" t="str">
            <v>Prime TT Board</v>
          </cell>
          <cell r="J111" t="str">
            <v>954</v>
          </cell>
          <cell r="K111" t="str">
            <v>Black / Orange Flash</v>
          </cell>
          <cell r="L111" t="str">
            <v>144x43cm</v>
          </cell>
          <cell r="M111" t="str">
            <v>New</v>
          </cell>
          <cell r="N111" t="str">
            <v xml:space="preserve">North Kite &amp; Foils </v>
          </cell>
          <cell r="P111" t="str">
            <v>85002.260020954144x43cm</v>
          </cell>
          <cell r="Q111">
            <v>97</v>
          </cell>
          <cell r="R111" t="e">
            <v>#VALUE!</v>
          </cell>
          <cell r="S111" t="e">
            <v>#VALUE!</v>
          </cell>
          <cell r="T111" t="str">
            <v/>
          </cell>
          <cell r="U111" t="str">
            <v/>
          </cell>
          <cell r="V111">
            <v>386.875</v>
          </cell>
          <cell r="W111">
            <v>619</v>
          </cell>
          <cell r="X111">
            <v>386.90000000000003</v>
          </cell>
          <cell r="Y111">
            <v>1.5998966141121735</v>
          </cell>
          <cell r="Z111">
            <v>270.8125</v>
          </cell>
          <cell r="AA111">
            <v>270.90000000000003</v>
          </cell>
          <cell r="AB111">
            <v>327.68312500000002</v>
          </cell>
          <cell r="AC111">
            <v>327.70000000000005</v>
          </cell>
        </row>
        <row r="112">
          <cell r="H112" t="str">
            <v>8715738912328</v>
          </cell>
          <cell r="I112" t="str">
            <v>Prime TT Board</v>
          </cell>
          <cell r="J112" t="str">
            <v>954</v>
          </cell>
          <cell r="K112" t="str">
            <v>Black / Orange Flash</v>
          </cell>
          <cell r="L112" t="str">
            <v>148x44cm</v>
          </cell>
          <cell r="M112" t="str">
            <v>New</v>
          </cell>
          <cell r="N112" t="str">
            <v xml:space="preserve">North Kite &amp; Foils </v>
          </cell>
          <cell r="P112" t="str">
            <v>85002.260020954148x44cm</v>
          </cell>
          <cell r="Q112">
            <v>98</v>
          </cell>
          <cell r="R112" t="e">
            <v>#VALUE!</v>
          </cell>
          <cell r="S112" t="e">
            <v>#VALUE!</v>
          </cell>
          <cell r="T112" t="str">
            <v/>
          </cell>
          <cell r="U112" t="str">
            <v/>
          </cell>
          <cell r="V112">
            <v>386.875</v>
          </cell>
          <cell r="W112">
            <v>619</v>
          </cell>
          <cell r="X112">
            <v>386.90000000000003</v>
          </cell>
          <cell r="Y112">
            <v>1.5998966141121735</v>
          </cell>
          <cell r="Z112">
            <v>270.8125</v>
          </cell>
          <cell r="AA112">
            <v>270.90000000000003</v>
          </cell>
          <cell r="AB112">
            <v>327.68312500000002</v>
          </cell>
          <cell r="AC112">
            <v>327.70000000000005</v>
          </cell>
        </row>
        <row r="113">
          <cell r="H113" t="str">
            <v>8715738912335</v>
          </cell>
          <cell r="I113" t="str">
            <v>Prime TT Board</v>
          </cell>
          <cell r="J113" t="str">
            <v>954</v>
          </cell>
          <cell r="K113" t="str">
            <v>Black / Orange Flash</v>
          </cell>
          <cell r="L113" t="str">
            <v>152x45cm</v>
          </cell>
          <cell r="M113" t="str">
            <v>New</v>
          </cell>
          <cell r="N113" t="str">
            <v xml:space="preserve">North Kite &amp; Foils </v>
          </cell>
          <cell r="P113" t="str">
            <v>85002.260020954152x45cm</v>
          </cell>
          <cell r="Q113">
            <v>99</v>
          </cell>
          <cell r="R113" t="e">
            <v>#VALUE!</v>
          </cell>
          <cell r="S113" t="e">
            <v>#VALUE!</v>
          </cell>
          <cell r="T113" t="str">
            <v/>
          </cell>
          <cell r="U113" t="str">
            <v/>
          </cell>
          <cell r="V113">
            <v>386.875</v>
          </cell>
          <cell r="W113">
            <v>619</v>
          </cell>
          <cell r="X113">
            <v>386.90000000000003</v>
          </cell>
          <cell r="Y113">
            <v>1.5998966141121735</v>
          </cell>
          <cell r="Z113">
            <v>270.8125</v>
          </cell>
          <cell r="AA113">
            <v>270.90000000000003</v>
          </cell>
          <cell r="AB113">
            <v>327.68312500000002</v>
          </cell>
          <cell r="AC113">
            <v>327.70000000000005</v>
          </cell>
        </row>
        <row r="114">
          <cell r="H114" t="str">
            <v>8715738898738</v>
          </cell>
          <cell r="I114" t="str">
            <v>Atmos Ultra TT Board</v>
          </cell>
          <cell r="J114" t="str">
            <v>506</v>
          </cell>
          <cell r="K114" t="str">
            <v>Indigo</v>
          </cell>
          <cell r="L114" t="str">
            <v>136x40cm</v>
          </cell>
          <cell r="M114" t="str">
            <v xml:space="preserve">Carry Over </v>
          </cell>
          <cell r="N114" t="str">
            <v xml:space="preserve">North Kite &amp; Foils </v>
          </cell>
          <cell r="P114" t="str">
            <v>85002.260027506136x40cm</v>
          </cell>
          <cell r="Q114">
            <v>100</v>
          </cell>
          <cell r="R114">
            <v>0</v>
          </cell>
          <cell r="S114">
            <v>0</v>
          </cell>
          <cell r="T114">
            <v>1599</v>
          </cell>
          <cell r="U114">
            <v>999.4</v>
          </cell>
          <cell r="V114">
            <v>999.375</v>
          </cell>
          <cell r="W114">
            <v>1599</v>
          </cell>
          <cell r="X114">
            <v>999.4</v>
          </cell>
          <cell r="Y114">
            <v>1.5999599759855914</v>
          </cell>
          <cell r="Z114">
            <v>699.5625</v>
          </cell>
          <cell r="AA114">
            <v>699.6</v>
          </cell>
          <cell r="AB114">
            <v>846.47062499999993</v>
          </cell>
          <cell r="AC114">
            <v>846.5</v>
          </cell>
        </row>
        <row r="115">
          <cell r="H115" t="str">
            <v>8715738898745</v>
          </cell>
          <cell r="I115" t="str">
            <v>Atmos Ultra TT Board</v>
          </cell>
          <cell r="J115" t="str">
            <v>506</v>
          </cell>
          <cell r="K115" t="str">
            <v>Indigo</v>
          </cell>
          <cell r="L115" t="str">
            <v>138x41cm</v>
          </cell>
          <cell r="M115" t="str">
            <v xml:space="preserve">Carry Over </v>
          </cell>
          <cell r="N115" t="str">
            <v xml:space="preserve">North Kite &amp; Foils </v>
          </cell>
          <cell r="P115" t="str">
            <v>85002.260027506138x41cm</v>
          </cell>
          <cell r="Q115">
            <v>101</v>
          </cell>
          <cell r="R115">
            <v>0</v>
          </cell>
          <cell r="S115">
            <v>0</v>
          </cell>
          <cell r="T115">
            <v>1599</v>
          </cell>
          <cell r="U115">
            <v>999.4</v>
          </cell>
          <cell r="V115">
            <v>999.375</v>
          </cell>
          <cell r="W115">
            <v>1599</v>
          </cell>
          <cell r="X115">
            <v>999.4</v>
          </cell>
          <cell r="Y115">
            <v>1.5999599759855914</v>
          </cell>
          <cell r="Z115">
            <v>699.5625</v>
          </cell>
          <cell r="AA115">
            <v>699.6</v>
          </cell>
          <cell r="AB115">
            <v>846.47062499999993</v>
          </cell>
          <cell r="AC115">
            <v>846.5</v>
          </cell>
        </row>
        <row r="116">
          <cell r="H116" t="str">
            <v>8715738898752</v>
          </cell>
          <cell r="I116" t="str">
            <v>Atmos Ultra TT Board</v>
          </cell>
          <cell r="J116" t="str">
            <v>506</v>
          </cell>
          <cell r="K116" t="str">
            <v>Indigo</v>
          </cell>
          <cell r="L116" t="str">
            <v>141x42cm</v>
          </cell>
          <cell r="M116" t="str">
            <v xml:space="preserve">Carry Over </v>
          </cell>
          <cell r="N116" t="str">
            <v xml:space="preserve">North Kite &amp; Foils </v>
          </cell>
          <cell r="P116" t="str">
            <v>85002.260027506141x42cm</v>
          </cell>
          <cell r="Q116">
            <v>102</v>
          </cell>
          <cell r="R116">
            <v>0</v>
          </cell>
          <cell r="S116">
            <v>0</v>
          </cell>
          <cell r="T116">
            <v>1599</v>
          </cell>
          <cell r="U116">
            <v>999.4</v>
          </cell>
          <cell r="V116">
            <v>999.375</v>
          </cell>
          <cell r="W116">
            <v>1599</v>
          </cell>
          <cell r="X116">
            <v>999.4</v>
          </cell>
          <cell r="Y116">
            <v>1.5999599759855914</v>
          </cell>
          <cell r="Z116">
            <v>699.5625</v>
          </cell>
          <cell r="AA116">
            <v>699.6</v>
          </cell>
          <cell r="AB116">
            <v>846.47062499999993</v>
          </cell>
          <cell r="AC116">
            <v>846.5</v>
          </cell>
        </row>
        <row r="117">
          <cell r="H117" t="str">
            <v>8715738898769</v>
          </cell>
          <cell r="I117" t="str">
            <v>Atmos Ultra TT Board</v>
          </cell>
          <cell r="J117" t="str">
            <v>506</v>
          </cell>
          <cell r="K117" t="str">
            <v>Indigo</v>
          </cell>
          <cell r="L117" t="str">
            <v>144x43cm</v>
          </cell>
          <cell r="M117" t="str">
            <v xml:space="preserve">Carry Over </v>
          </cell>
          <cell r="N117" t="str">
            <v xml:space="preserve">North Kite &amp; Foils </v>
          </cell>
          <cell r="P117" t="str">
            <v>85002.260027506144x43cm</v>
          </cell>
          <cell r="Q117">
            <v>103</v>
          </cell>
          <cell r="R117">
            <v>0</v>
          </cell>
          <cell r="S117">
            <v>0</v>
          </cell>
          <cell r="T117">
            <v>1599</v>
          </cell>
          <cell r="U117">
            <v>999.4</v>
          </cell>
          <cell r="V117">
            <v>999.375</v>
          </cell>
          <cell r="W117">
            <v>1599</v>
          </cell>
          <cell r="X117">
            <v>999.4</v>
          </cell>
          <cell r="Y117">
            <v>1.5999599759855914</v>
          </cell>
          <cell r="Z117">
            <v>699.5625</v>
          </cell>
          <cell r="AA117">
            <v>699.6</v>
          </cell>
          <cell r="AB117">
            <v>846.47062499999993</v>
          </cell>
          <cell r="AC117">
            <v>846.5</v>
          </cell>
        </row>
        <row r="118">
          <cell r="H118" t="str">
            <v>8715738898851</v>
          </cell>
          <cell r="I118" t="str">
            <v>Atmos Pro TT Board</v>
          </cell>
          <cell r="J118" t="str">
            <v>945</v>
          </cell>
          <cell r="K118" t="str">
            <v>Black / Blue</v>
          </cell>
          <cell r="L118" t="str">
            <v>136x40cm</v>
          </cell>
          <cell r="M118" t="str">
            <v xml:space="preserve">Carry Over </v>
          </cell>
          <cell r="N118" t="str">
            <v xml:space="preserve">North Kite &amp; Foils </v>
          </cell>
          <cell r="P118" t="str">
            <v>85002.260023945136x40cm</v>
          </cell>
          <cell r="Q118">
            <v>104</v>
          </cell>
          <cell r="R118">
            <v>0</v>
          </cell>
          <cell r="S118">
            <v>0</v>
          </cell>
          <cell r="T118">
            <v>1159</v>
          </cell>
          <cell r="U118">
            <v>724.4</v>
          </cell>
          <cell r="V118">
            <v>724.375</v>
          </cell>
          <cell r="W118">
            <v>1159</v>
          </cell>
          <cell r="X118">
            <v>724.4</v>
          </cell>
          <cell r="Y118">
            <v>1.5999447818884596</v>
          </cell>
          <cell r="Z118">
            <v>507.06249999999994</v>
          </cell>
          <cell r="AA118">
            <v>507.1</v>
          </cell>
          <cell r="AB118">
            <v>613.54562499999986</v>
          </cell>
          <cell r="AC118">
            <v>613.6</v>
          </cell>
        </row>
        <row r="119">
          <cell r="H119" t="str">
            <v>8715738898868</v>
          </cell>
          <cell r="I119" t="str">
            <v>Atmos Pro TT Board</v>
          </cell>
          <cell r="J119" t="str">
            <v>945</v>
          </cell>
          <cell r="K119" t="str">
            <v>Black / Blue</v>
          </cell>
          <cell r="L119" t="str">
            <v>138x41cm</v>
          </cell>
          <cell r="M119" t="str">
            <v xml:space="preserve">Carry Over </v>
          </cell>
          <cell r="N119" t="str">
            <v xml:space="preserve">North Kite &amp; Foils </v>
          </cell>
          <cell r="P119" t="str">
            <v>85002.260023945138x41cm</v>
          </cell>
          <cell r="Q119">
            <v>105</v>
          </cell>
          <cell r="R119">
            <v>0</v>
          </cell>
          <cell r="S119">
            <v>0</v>
          </cell>
          <cell r="T119">
            <v>1159</v>
          </cell>
          <cell r="U119">
            <v>724.4</v>
          </cell>
          <cell r="V119">
            <v>724.375</v>
          </cell>
          <cell r="W119">
            <v>1159</v>
          </cell>
          <cell r="X119">
            <v>724.4</v>
          </cell>
          <cell r="Y119">
            <v>1.5999447818884596</v>
          </cell>
          <cell r="Z119">
            <v>507.06249999999994</v>
          </cell>
          <cell r="AA119">
            <v>507.1</v>
          </cell>
          <cell r="AB119">
            <v>613.54562499999986</v>
          </cell>
          <cell r="AC119">
            <v>613.6</v>
          </cell>
        </row>
        <row r="120">
          <cell r="H120" t="str">
            <v>8715738898875</v>
          </cell>
          <cell r="I120" t="str">
            <v>Atmos Pro TT Board</v>
          </cell>
          <cell r="J120" t="str">
            <v>945</v>
          </cell>
          <cell r="K120" t="str">
            <v>Black / Blue</v>
          </cell>
          <cell r="L120" t="str">
            <v>141x42cm</v>
          </cell>
          <cell r="M120" t="str">
            <v xml:space="preserve">Carry Over </v>
          </cell>
          <cell r="N120" t="str">
            <v xml:space="preserve">North Kite &amp; Foils </v>
          </cell>
          <cell r="P120" t="str">
            <v>85002.260023945141x42cm</v>
          </cell>
          <cell r="Q120">
            <v>106</v>
          </cell>
          <cell r="R120">
            <v>0</v>
          </cell>
          <cell r="S120">
            <v>0</v>
          </cell>
          <cell r="T120">
            <v>1159</v>
          </cell>
          <cell r="U120">
            <v>724.4</v>
          </cell>
          <cell r="V120">
            <v>724.375</v>
          </cell>
          <cell r="W120">
            <v>1159</v>
          </cell>
          <cell r="X120">
            <v>724.4</v>
          </cell>
          <cell r="Y120">
            <v>1.5999447818884596</v>
          </cell>
          <cell r="Z120">
            <v>507.06249999999994</v>
          </cell>
          <cell r="AA120">
            <v>507.1</v>
          </cell>
          <cell r="AB120">
            <v>613.54562499999986</v>
          </cell>
          <cell r="AC120">
            <v>613.6</v>
          </cell>
        </row>
        <row r="121">
          <cell r="H121" t="str">
            <v>8715738898882</v>
          </cell>
          <cell r="I121" t="str">
            <v>Atmos Pro TT Board</v>
          </cell>
          <cell r="J121" t="str">
            <v>945</v>
          </cell>
          <cell r="K121" t="str">
            <v>Black / Blue</v>
          </cell>
          <cell r="L121" t="str">
            <v>144x43cm</v>
          </cell>
          <cell r="M121" t="str">
            <v xml:space="preserve">Carry Over </v>
          </cell>
          <cell r="N121" t="str">
            <v xml:space="preserve">North Kite &amp; Foils </v>
          </cell>
          <cell r="P121" t="str">
            <v>85002.260023945144x43cm</v>
          </cell>
          <cell r="Q121">
            <v>107</v>
          </cell>
          <cell r="R121">
            <v>0</v>
          </cell>
          <cell r="S121">
            <v>0</v>
          </cell>
          <cell r="T121">
            <v>1159</v>
          </cell>
          <cell r="U121">
            <v>724.4</v>
          </cell>
          <cell r="V121">
            <v>724.375</v>
          </cell>
          <cell r="W121">
            <v>1159</v>
          </cell>
          <cell r="X121">
            <v>724.4</v>
          </cell>
          <cell r="Y121">
            <v>1.5999447818884596</v>
          </cell>
          <cell r="Z121">
            <v>507.06249999999994</v>
          </cell>
          <cell r="AA121">
            <v>507.1</v>
          </cell>
          <cell r="AB121">
            <v>613.54562499999986</v>
          </cell>
          <cell r="AC121">
            <v>613.6</v>
          </cell>
        </row>
        <row r="122">
          <cell r="H122" t="str">
            <v>8715738898813</v>
          </cell>
          <cell r="I122" t="str">
            <v>Atmos TT Board</v>
          </cell>
          <cell r="J122" t="str">
            <v>416</v>
          </cell>
          <cell r="K122" t="str">
            <v>Ombre Blue</v>
          </cell>
          <cell r="L122" t="str">
            <v>136x40cm</v>
          </cell>
          <cell r="M122" t="str">
            <v xml:space="preserve">Carry Over </v>
          </cell>
          <cell r="N122" t="str">
            <v xml:space="preserve">North Kite &amp; Foils </v>
          </cell>
          <cell r="P122" t="str">
            <v>85002.260022416136x40cm</v>
          </cell>
          <cell r="Q122">
            <v>108</v>
          </cell>
          <cell r="R122">
            <v>0</v>
          </cell>
          <cell r="S122">
            <v>0</v>
          </cell>
          <cell r="T122">
            <v>799</v>
          </cell>
          <cell r="U122">
            <v>499.40000000000003</v>
          </cell>
          <cell r="V122">
            <v>499.375</v>
          </cell>
          <cell r="W122">
            <v>799</v>
          </cell>
          <cell r="X122">
            <v>499.40000000000003</v>
          </cell>
          <cell r="Y122">
            <v>1.5999199038846614</v>
          </cell>
          <cell r="Z122">
            <v>349.5625</v>
          </cell>
          <cell r="AA122">
            <v>349.6</v>
          </cell>
          <cell r="AB122">
            <v>422.97062499999998</v>
          </cell>
          <cell r="AC122">
            <v>423</v>
          </cell>
        </row>
        <row r="123">
          <cell r="H123" t="str">
            <v>8715738898820</v>
          </cell>
          <cell r="I123" t="str">
            <v>Atmos TT Board</v>
          </cell>
          <cell r="J123" t="str">
            <v>416</v>
          </cell>
          <cell r="K123" t="str">
            <v>Ombre Blue</v>
          </cell>
          <cell r="L123" t="str">
            <v>138x41cm</v>
          </cell>
          <cell r="M123" t="str">
            <v xml:space="preserve">Carry Over </v>
          </cell>
          <cell r="N123" t="str">
            <v xml:space="preserve">North Kite &amp; Foils </v>
          </cell>
          <cell r="P123" t="str">
            <v>85002.260022416138x41cm</v>
          </cell>
          <cell r="Q123">
            <v>109</v>
          </cell>
          <cell r="R123">
            <v>0</v>
          </cell>
          <cell r="S123">
            <v>0</v>
          </cell>
          <cell r="T123">
            <v>799</v>
          </cell>
          <cell r="U123">
            <v>499.40000000000003</v>
          </cell>
          <cell r="V123">
            <v>499.375</v>
          </cell>
          <cell r="W123">
            <v>799</v>
          </cell>
          <cell r="X123">
            <v>499.40000000000003</v>
          </cell>
          <cell r="Y123">
            <v>1.5999199038846614</v>
          </cell>
          <cell r="Z123">
            <v>349.5625</v>
          </cell>
          <cell r="AA123">
            <v>349.6</v>
          </cell>
          <cell r="AB123">
            <v>422.97062499999998</v>
          </cell>
          <cell r="AC123">
            <v>423</v>
          </cell>
        </row>
        <row r="124">
          <cell r="H124" t="str">
            <v>8715738898837</v>
          </cell>
          <cell r="I124" t="str">
            <v>Atmos TT Board</v>
          </cell>
          <cell r="J124" t="str">
            <v>416</v>
          </cell>
          <cell r="K124" t="str">
            <v>Ombre Blue</v>
          </cell>
          <cell r="L124" t="str">
            <v>141x42cm</v>
          </cell>
          <cell r="M124" t="str">
            <v xml:space="preserve">Carry Over </v>
          </cell>
          <cell r="N124" t="str">
            <v xml:space="preserve">North Kite &amp; Foils </v>
          </cell>
          <cell r="P124" t="str">
            <v>85002.260022416141x42cm</v>
          </cell>
          <cell r="Q124">
            <v>110</v>
          </cell>
          <cell r="R124">
            <v>0</v>
          </cell>
          <cell r="S124">
            <v>0</v>
          </cell>
          <cell r="T124">
            <v>799</v>
          </cell>
          <cell r="U124">
            <v>499.40000000000003</v>
          </cell>
          <cell r="V124">
            <v>499.375</v>
          </cell>
          <cell r="W124">
            <v>799</v>
          </cell>
          <cell r="X124">
            <v>499.40000000000003</v>
          </cell>
          <cell r="Y124">
            <v>1.5999199038846614</v>
          </cell>
          <cell r="Z124">
            <v>349.5625</v>
          </cell>
          <cell r="AA124">
            <v>349.6</v>
          </cell>
          <cell r="AB124">
            <v>422.97062499999998</v>
          </cell>
          <cell r="AC124">
            <v>423</v>
          </cell>
        </row>
        <row r="125">
          <cell r="H125" t="str">
            <v>8715738898844</v>
          </cell>
          <cell r="I125" t="str">
            <v>Atmos TT Board</v>
          </cell>
          <cell r="J125" t="str">
            <v>416</v>
          </cell>
          <cell r="K125" t="str">
            <v>Ombre Blue</v>
          </cell>
          <cell r="L125" t="str">
            <v>144x43cm</v>
          </cell>
          <cell r="M125" t="str">
            <v xml:space="preserve">Carry Over </v>
          </cell>
          <cell r="N125" t="str">
            <v xml:space="preserve">North Kite &amp; Foils </v>
          </cell>
          <cell r="P125" t="str">
            <v>85002.260022416144x43cm</v>
          </cell>
          <cell r="Q125">
            <v>111</v>
          </cell>
          <cell r="R125">
            <v>0</v>
          </cell>
          <cell r="S125">
            <v>0</v>
          </cell>
          <cell r="T125">
            <v>799</v>
          </cell>
          <cell r="U125">
            <v>499.40000000000003</v>
          </cell>
          <cell r="V125">
            <v>499.375</v>
          </cell>
          <cell r="W125">
            <v>799</v>
          </cell>
          <cell r="X125">
            <v>499.40000000000003</v>
          </cell>
          <cell r="Y125">
            <v>1.5999199038846614</v>
          </cell>
          <cell r="Z125">
            <v>349.5625</v>
          </cell>
          <cell r="AA125">
            <v>349.6</v>
          </cell>
          <cell r="AB125">
            <v>422.97062499999998</v>
          </cell>
          <cell r="AC125">
            <v>423</v>
          </cell>
        </row>
        <row r="126">
          <cell r="H126" t="str">
            <v>8715738898776</v>
          </cell>
          <cell r="I126" t="str">
            <v>Astra TT Board</v>
          </cell>
          <cell r="J126" t="str">
            <v>432</v>
          </cell>
          <cell r="K126" t="str">
            <v>Blue / Red</v>
          </cell>
          <cell r="L126" t="str">
            <v>127x37cm</v>
          </cell>
          <cell r="M126" t="str">
            <v xml:space="preserve">Carry Over </v>
          </cell>
          <cell r="N126" t="str">
            <v xml:space="preserve">North Kite &amp; Foils </v>
          </cell>
          <cell r="P126" t="str">
            <v>85002.260021432127x37cm</v>
          </cell>
          <cell r="Q126">
            <v>112</v>
          </cell>
          <cell r="R126">
            <v>0</v>
          </cell>
          <cell r="S126">
            <v>0</v>
          </cell>
          <cell r="T126">
            <v>749</v>
          </cell>
          <cell r="U126">
            <v>468.20000000000005</v>
          </cell>
          <cell r="V126">
            <v>468.125</v>
          </cell>
          <cell r="W126">
            <v>749</v>
          </cell>
          <cell r="X126">
            <v>468.20000000000005</v>
          </cell>
          <cell r="Y126">
            <v>1.5997436992738145</v>
          </cell>
          <cell r="Z126">
            <v>327.6875</v>
          </cell>
          <cell r="AA126">
            <v>327.70000000000005</v>
          </cell>
          <cell r="AB126">
            <v>396.50187499999998</v>
          </cell>
          <cell r="AC126">
            <v>396.6</v>
          </cell>
        </row>
        <row r="127">
          <cell r="H127" t="str">
            <v>8715738898783</v>
          </cell>
          <cell r="I127" t="str">
            <v>Astra TT Board</v>
          </cell>
          <cell r="J127" t="str">
            <v>432</v>
          </cell>
          <cell r="K127" t="str">
            <v>Blue / Red</v>
          </cell>
          <cell r="L127" t="str">
            <v>132x38cm</v>
          </cell>
          <cell r="M127" t="str">
            <v xml:space="preserve">Carry Over </v>
          </cell>
          <cell r="N127" t="str">
            <v xml:space="preserve">North Kite &amp; Foils </v>
          </cell>
          <cell r="P127" t="str">
            <v>85002.260021432132x38cm</v>
          </cell>
          <cell r="Q127">
            <v>113</v>
          </cell>
          <cell r="R127">
            <v>0</v>
          </cell>
          <cell r="S127">
            <v>0</v>
          </cell>
          <cell r="T127">
            <v>749</v>
          </cell>
          <cell r="U127">
            <v>468.20000000000005</v>
          </cell>
          <cell r="V127">
            <v>468.125</v>
          </cell>
          <cell r="W127">
            <v>749</v>
          </cell>
          <cell r="X127">
            <v>468.20000000000005</v>
          </cell>
          <cell r="Y127">
            <v>1.5997436992738145</v>
          </cell>
          <cell r="Z127">
            <v>327.6875</v>
          </cell>
          <cell r="AA127">
            <v>327.70000000000005</v>
          </cell>
          <cell r="AB127">
            <v>396.50187499999998</v>
          </cell>
          <cell r="AC127">
            <v>396.6</v>
          </cell>
        </row>
        <row r="128">
          <cell r="H128" t="str">
            <v>8715738898790</v>
          </cell>
          <cell r="I128" t="str">
            <v>Astra TT Board</v>
          </cell>
          <cell r="J128" t="str">
            <v>432</v>
          </cell>
          <cell r="K128" t="str">
            <v>Blue / Red</v>
          </cell>
          <cell r="L128" t="str">
            <v>135x39cm</v>
          </cell>
          <cell r="M128" t="str">
            <v xml:space="preserve">Carry Over </v>
          </cell>
          <cell r="N128" t="str">
            <v xml:space="preserve">North Kite &amp; Foils </v>
          </cell>
          <cell r="P128" t="str">
            <v>85002.260021432135x39cm</v>
          </cell>
          <cell r="Q128">
            <v>114</v>
          </cell>
          <cell r="R128">
            <v>0</v>
          </cell>
          <cell r="S128">
            <v>0</v>
          </cell>
          <cell r="T128">
            <v>749</v>
          </cell>
          <cell r="U128">
            <v>468.20000000000005</v>
          </cell>
          <cell r="V128">
            <v>468.125</v>
          </cell>
          <cell r="W128">
            <v>749</v>
          </cell>
          <cell r="X128">
            <v>468.20000000000005</v>
          </cell>
          <cell r="Y128">
            <v>1.5997436992738145</v>
          </cell>
          <cell r="Z128">
            <v>327.6875</v>
          </cell>
          <cell r="AA128">
            <v>327.70000000000005</v>
          </cell>
          <cell r="AB128">
            <v>396.50187499999998</v>
          </cell>
          <cell r="AC128">
            <v>396.6</v>
          </cell>
        </row>
        <row r="129">
          <cell r="H129" t="str">
            <v>8715738898806</v>
          </cell>
          <cell r="I129" t="str">
            <v>Astra TT Board</v>
          </cell>
          <cell r="J129" t="str">
            <v>432</v>
          </cell>
          <cell r="K129" t="str">
            <v>Blue / Red</v>
          </cell>
          <cell r="L129" t="str">
            <v>139x40cm</v>
          </cell>
          <cell r="M129" t="str">
            <v xml:space="preserve">Carry Over </v>
          </cell>
          <cell r="N129" t="str">
            <v xml:space="preserve">North Kite &amp; Foils </v>
          </cell>
          <cell r="P129" t="str">
            <v>85002.260021432139x40cm</v>
          </cell>
          <cell r="Q129">
            <v>115</v>
          </cell>
          <cell r="R129">
            <v>0</v>
          </cell>
          <cell r="S129">
            <v>0</v>
          </cell>
          <cell r="T129">
            <v>749</v>
          </cell>
          <cell r="U129">
            <v>468.20000000000005</v>
          </cell>
          <cell r="V129">
            <v>468.125</v>
          </cell>
          <cell r="W129">
            <v>749</v>
          </cell>
          <cell r="X129">
            <v>468.20000000000005</v>
          </cell>
          <cell r="Y129">
            <v>1.5997436992738145</v>
          </cell>
          <cell r="Z129">
            <v>327.6875</v>
          </cell>
          <cell r="AA129">
            <v>327.70000000000005</v>
          </cell>
          <cell r="AB129">
            <v>396.50187499999998</v>
          </cell>
          <cell r="AC129">
            <v>396.6</v>
          </cell>
        </row>
        <row r="130">
          <cell r="H130" t="str">
            <v>8715738866157</v>
          </cell>
          <cell r="I130" t="str">
            <v>Focus Hybrid TT Board</v>
          </cell>
          <cell r="J130" t="str">
            <v>991</v>
          </cell>
          <cell r="K130" t="str">
            <v>Galaxy</v>
          </cell>
          <cell r="L130" t="str">
            <v>133x40cm</v>
          </cell>
          <cell r="M130" t="str">
            <v xml:space="preserve">Carry Over </v>
          </cell>
          <cell r="N130" t="str">
            <v xml:space="preserve">North Kite &amp; Foils </v>
          </cell>
          <cell r="P130" t="str">
            <v>85002.250024991133x40cm</v>
          </cell>
          <cell r="Q130">
            <v>116</v>
          </cell>
          <cell r="R130">
            <v>0</v>
          </cell>
          <cell r="S130">
            <v>0</v>
          </cell>
          <cell r="T130">
            <v>769</v>
          </cell>
          <cell r="U130">
            <v>480.70000000000005</v>
          </cell>
          <cell r="V130">
            <v>480.625</v>
          </cell>
          <cell r="W130">
            <v>769</v>
          </cell>
          <cell r="X130">
            <v>480.70000000000005</v>
          </cell>
          <cell r="Y130">
            <v>1.5997503640524233</v>
          </cell>
          <cell r="Z130">
            <v>336.4375</v>
          </cell>
          <cell r="AA130">
            <v>336.5</v>
          </cell>
          <cell r="AB130">
            <v>407.08937499999996</v>
          </cell>
          <cell r="AC130">
            <v>407.1</v>
          </cell>
        </row>
        <row r="131">
          <cell r="H131" t="str">
            <v>8715738866164</v>
          </cell>
          <cell r="I131" t="str">
            <v>Focus Hybrid TT Board</v>
          </cell>
          <cell r="J131" t="str">
            <v>991</v>
          </cell>
          <cell r="K131" t="str">
            <v>Galaxy</v>
          </cell>
          <cell r="L131" t="str">
            <v>136x41cm</v>
          </cell>
          <cell r="M131" t="str">
            <v xml:space="preserve">Carry Over </v>
          </cell>
          <cell r="N131" t="str">
            <v xml:space="preserve">North Kite &amp; Foils </v>
          </cell>
          <cell r="P131" t="str">
            <v>85002.250024991136x41cm</v>
          </cell>
          <cell r="Q131">
            <v>117</v>
          </cell>
          <cell r="R131">
            <v>0</v>
          </cell>
          <cell r="S131">
            <v>0</v>
          </cell>
          <cell r="T131">
            <v>769</v>
          </cell>
          <cell r="U131">
            <v>480.70000000000005</v>
          </cell>
          <cell r="V131">
            <v>480.625</v>
          </cell>
          <cell r="W131">
            <v>769</v>
          </cell>
          <cell r="X131">
            <v>480.70000000000005</v>
          </cell>
          <cell r="Y131">
            <v>1.5997503640524233</v>
          </cell>
          <cell r="Z131">
            <v>336.4375</v>
          </cell>
          <cell r="AA131">
            <v>336.5</v>
          </cell>
          <cell r="AB131">
            <v>407.08937499999996</v>
          </cell>
          <cell r="AC131">
            <v>407.1</v>
          </cell>
        </row>
        <row r="132">
          <cell r="H132" t="str">
            <v>8715738866171</v>
          </cell>
          <cell r="I132" t="str">
            <v>Focus Hybrid TT Board</v>
          </cell>
          <cell r="J132" t="str">
            <v>991</v>
          </cell>
          <cell r="K132" t="str">
            <v>Galaxy</v>
          </cell>
          <cell r="L132" t="str">
            <v>139x42cm</v>
          </cell>
          <cell r="M132" t="str">
            <v xml:space="preserve">Carry Over </v>
          </cell>
          <cell r="N132" t="str">
            <v xml:space="preserve">North Kite &amp; Foils </v>
          </cell>
          <cell r="P132" t="str">
            <v>85002.250024991139x42cm</v>
          </cell>
          <cell r="Q132">
            <v>118</v>
          </cell>
          <cell r="R132">
            <v>0</v>
          </cell>
          <cell r="S132">
            <v>0</v>
          </cell>
          <cell r="T132">
            <v>769</v>
          </cell>
          <cell r="U132">
            <v>480.70000000000005</v>
          </cell>
          <cell r="V132">
            <v>480.625</v>
          </cell>
          <cell r="W132">
            <v>769</v>
          </cell>
          <cell r="X132">
            <v>480.70000000000005</v>
          </cell>
          <cell r="Y132">
            <v>1.5997503640524233</v>
          </cell>
          <cell r="Z132">
            <v>336.4375</v>
          </cell>
          <cell r="AA132">
            <v>336.5</v>
          </cell>
          <cell r="AB132">
            <v>407.08937499999996</v>
          </cell>
          <cell r="AC132">
            <v>407.1</v>
          </cell>
        </row>
        <row r="133">
          <cell r="H133" t="str">
            <v>8715738866188</v>
          </cell>
          <cell r="I133" t="str">
            <v>Focus Hybrid TT Board</v>
          </cell>
          <cell r="J133" t="str">
            <v>991</v>
          </cell>
          <cell r="K133" t="str">
            <v>Galaxy</v>
          </cell>
          <cell r="L133" t="str">
            <v>142x43cm</v>
          </cell>
          <cell r="M133" t="str">
            <v xml:space="preserve">Carry Over </v>
          </cell>
          <cell r="N133" t="str">
            <v xml:space="preserve">North Kite &amp; Foils </v>
          </cell>
          <cell r="P133" t="str">
            <v>85002.250024991142x43cm</v>
          </cell>
          <cell r="Q133">
            <v>119</v>
          </cell>
          <cell r="R133">
            <v>0</v>
          </cell>
          <cell r="S133">
            <v>0</v>
          </cell>
          <cell r="T133">
            <v>769</v>
          </cell>
          <cell r="U133">
            <v>480.70000000000005</v>
          </cell>
          <cell r="V133">
            <v>480.625</v>
          </cell>
          <cell r="W133">
            <v>769</v>
          </cell>
          <cell r="X133">
            <v>480.70000000000005</v>
          </cell>
          <cell r="Y133">
            <v>1.5997503640524233</v>
          </cell>
          <cell r="Z133">
            <v>336.4375</v>
          </cell>
          <cell r="AA133">
            <v>336.5</v>
          </cell>
          <cell r="AB133">
            <v>407.08937499999996</v>
          </cell>
          <cell r="AC133">
            <v>407.1</v>
          </cell>
        </row>
        <row r="134">
          <cell r="H134" t="str">
            <v>8715738876323</v>
          </cell>
          <cell r="I134" t="str">
            <v>Trace TT Board</v>
          </cell>
          <cell r="J134" t="str">
            <v>681</v>
          </cell>
          <cell r="K134" t="str">
            <v>Aqua</v>
          </cell>
          <cell r="L134" t="str">
            <v>145x45cm</v>
          </cell>
          <cell r="M134" t="str">
            <v xml:space="preserve">Carry Over </v>
          </cell>
          <cell r="N134" t="str">
            <v xml:space="preserve">North Kite &amp; Foils </v>
          </cell>
          <cell r="P134" t="str">
            <v>85002.250026681145x45cm</v>
          </cell>
          <cell r="Q134">
            <v>120</v>
          </cell>
          <cell r="R134">
            <v>0</v>
          </cell>
          <cell r="S134">
            <v>0</v>
          </cell>
          <cell r="T134">
            <v>779</v>
          </cell>
          <cell r="U134">
            <v>486.90000000000003</v>
          </cell>
          <cell r="V134">
            <v>486.875</v>
          </cell>
          <cell r="W134">
            <v>779</v>
          </cell>
          <cell r="X134">
            <v>486.90000000000003</v>
          </cell>
          <cell r="Y134">
            <v>1.5999178476073115</v>
          </cell>
          <cell r="Z134">
            <v>340.8125</v>
          </cell>
          <cell r="AA134">
            <v>340.90000000000003</v>
          </cell>
          <cell r="AB134">
            <v>412.38312500000001</v>
          </cell>
          <cell r="AC134">
            <v>412.40000000000003</v>
          </cell>
        </row>
        <row r="135">
          <cell r="H135" t="str">
            <v>8715738876330</v>
          </cell>
          <cell r="I135" t="str">
            <v>Trace TT Board</v>
          </cell>
          <cell r="J135" t="str">
            <v>681</v>
          </cell>
          <cell r="K135" t="str">
            <v>Aqua</v>
          </cell>
          <cell r="L135" t="str">
            <v>155x46cm</v>
          </cell>
          <cell r="M135" t="str">
            <v xml:space="preserve">Carry Over </v>
          </cell>
          <cell r="N135" t="str">
            <v xml:space="preserve">North Kite &amp; Foils </v>
          </cell>
          <cell r="P135" t="str">
            <v>85002.250026681155x46cm</v>
          </cell>
          <cell r="Q135">
            <v>121</v>
          </cell>
          <cell r="R135">
            <v>0</v>
          </cell>
          <cell r="S135">
            <v>0</v>
          </cell>
          <cell r="T135">
            <v>779</v>
          </cell>
          <cell r="U135">
            <v>486.90000000000003</v>
          </cell>
          <cell r="V135">
            <v>486.875</v>
          </cell>
          <cell r="W135">
            <v>779</v>
          </cell>
          <cell r="X135">
            <v>486.90000000000003</v>
          </cell>
          <cell r="Y135">
            <v>1.5999178476073115</v>
          </cell>
          <cell r="Z135">
            <v>340.8125</v>
          </cell>
          <cell r="AA135">
            <v>340.90000000000003</v>
          </cell>
          <cell r="AB135">
            <v>412.38312500000001</v>
          </cell>
          <cell r="AC135">
            <v>412.40000000000003</v>
          </cell>
        </row>
        <row r="136">
          <cell r="H136" t="str">
            <v>8715738889811</v>
          </cell>
          <cell r="I136" t="str">
            <v>Flare TT Board</v>
          </cell>
          <cell r="J136" t="str">
            <v>100</v>
          </cell>
          <cell r="K136" t="str">
            <v>White</v>
          </cell>
          <cell r="L136" t="str">
            <v>139x41cm</v>
          </cell>
          <cell r="M136" t="str">
            <v xml:space="preserve">Carry Over </v>
          </cell>
          <cell r="N136" t="str">
            <v xml:space="preserve">North Kite &amp; Foils </v>
          </cell>
          <cell r="P136" t="str">
            <v>85002.250025100139x41cm</v>
          </cell>
          <cell r="Q136">
            <v>122</v>
          </cell>
          <cell r="R136">
            <v>0</v>
          </cell>
          <cell r="S136">
            <v>0</v>
          </cell>
          <cell r="T136">
            <v>779</v>
          </cell>
          <cell r="U136">
            <v>486.90000000000003</v>
          </cell>
          <cell r="V136">
            <v>486.875</v>
          </cell>
          <cell r="W136">
            <v>779</v>
          </cell>
          <cell r="X136">
            <v>486.90000000000003</v>
          </cell>
          <cell r="Y136">
            <v>1.5999178476073115</v>
          </cell>
          <cell r="Z136">
            <v>340.8125</v>
          </cell>
          <cell r="AA136">
            <v>340.90000000000003</v>
          </cell>
          <cell r="AB136">
            <v>412.38312500000001</v>
          </cell>
          <cell r="AC136">
            <v>412.40000000000003</v>
          </cell>
        </row>
        <row r="137">
          <cell r="H137" t="str">
            <v>8715738889828</v>
          </cell>
          <cell r="I137" t="str">
            <v>Flare TT Board</v>
          </cell>
          <cell r="J137" t="str">
            <v>100</v>
          </cell>
          <cell r="K137" t="str">
            <v>White</v>
          </cell>
          <cell r="L137" t="str">
            <v>143x42cm</v>
          </cell>
          <cell r="M137" t="str">
            <v xml:space="preserve">Carry Over </v>
          </cell>
          <cell r="N137" t="str">
            <v xml:space="preserve">North Kite &amp; Foils </v>
          </cell>
          <cell r="P137" t="str">
            <v>85002.250025100143x42cm</v>
          </cell>
          <cell r="Q137">
            <v>123</v>
          </cell>
          <cell r="R137">
            <v>0</v>
          </cell>
          <cell r="S137">
            <v>0</v>
          </cell>
          <cell r="T137">
            <v>779</v>
          </cell>
          <cell r="U137">
            <v>486.90000000000003</v>
          </cell>
          <cell r="V137">
            <v>486.875</v>
          </cell>
          <cell r="W137">
            <v>779</v>
          </cell>
          <cell r="X137">
            <v>486.90000000000003</v>
          </cell>
          <cell r="Y137">
            <v>1.5999178476073115</v>
          </cell>
          <cell r="Z137">
            <v>340.8125</v>
          </cell>
          <cell r="AA137">
            <v>340.90000000000003</v>
          </cell>
          <cell r="AB137">
            <v>412.38312500000001</v>
          </cell>
          <cell r="AC137">
            <v>412.40000000000003</v>
          </cell>
        </row>
        <row r="138">
          <cell r="H138" t="str">
            <v>8715738889835</v>
          </cell>
          <cell r="I138" t="str">
            <v>Flare TT Board</v>
          </cell>
          <cell r="J138" t="str">
            <v>100</v>
          </cell>
          <cell r="K138" t="str">
            <v>White</v>
          </cell>
          <cell r="L138" t="str">
            <v>147x43cm</v>
          </cell>
          <cell r="M138" t="str">
            <v xml:space="preserve">Carry Over </v>
          </cell>
          <cell r="N138" t="str">
            <v xml:space="preserve">North Kite &amp; Foils </v>
          </cell>
          <cell r="P138" t="str">
            <v>85002.250025100147x43cm</v>
          </cell>
          <cell r="Q138">
            <v>124</v>
          </cell>
          <cell r="R138">
            <v>0</v>
          </cell>
          <cell r="S138">
            <v>0</v>
          </cell>
          <cell r="T138">
            <v>779</v>
          </cell>
          <cell r="U138">
            <v>486.90000000000003</v>
          </cell>
          <cell r="V138">
            <v>486.875</v>
          </cell>
          <cell r="W138">
            <v>779</v>
          </cell>
          <cell r="X138">
            <v>486.90000000000003</v>
          </cell>
          <cell r="Y138">
            <v>1.5999178476073115</v>
          </cell>
          <cell r="Z138">
            <v>340.8125</v>
          </cell>
          <cell r="AA138">
            <v>340.90000000000003</v>
          </cell>
          <cell r="AB138">
            <v>412.38312500000001</v>
          </cell>
          <cell r="AC138">
            <v>412.40000000000003</v>
          </cell>
        </row>
        <row r="139">
          <cell r="H139" t="str">
            <v>8715738864900</v>
          </cell>
          <cell r="I139" t="str">
            <v>Flex PRO</v>
          </cell>
          <cell r="J139" t="str">
            <v>900</v>
          </cell>
          <cell r="K139" t="str">
            <v>Black</v>
          </cell>
          <cell r="L139" t="str">
            <v>S</v>
          </cell>
          <cell r="M139" t="str">
            <v xml:space="preserve">Carry Over </v>
          </cell>
          <cell r="N139" t="str">
            <v xml:space="preserve">North Kite &amp; Foils </v>
          </cell>
          <cell r="P139" t="str">
            <v>85003.250040900S</v>
          </cell>
          <cell r="Q139">
            <v>125</v>
          </cell>
          <cell r="R139">
            <v>0</v>
          </cell>
          <cell r="S139">
            <v>0</v>
          </cell>
          <cell r="T139">
            <v>245</v>
          </cell>
          <cell r="U139">
            <v>163.4</v>
          </cell>
          <cell r="V139">
            <v>163.33333333333334</v>
          </cell>
          <cell r="W139">
            <v>245</v>
          </cell>
          <cell r="X139">
            <v>163.4</v>
          </cell>
          <cell r="Y139">
            <v>1.4993880048959607</v>
          </cell>
          <cell r="Z139">
            <v>114.33333333333333</v>
          </cell>
          <cell r="AA139">
            <v>114.39999999999999</v>
          </cell>
          <cell r="AB139">
            <v>138.34333333333333</v>
          </cell>
          <cell r="AC139">
            <v>138.4</v>
          </cell>
        </row>
        <row r="140">
          <cell r="H140" t="str">
            <v>8715738864917</v>
          </cell>
          <cell r="I140" t="str">
            <v>Flex PRO</v>
          </cell>
          <cell r="J140" t="str">
            <v>900</v>
          </cell>
          <cell r="K140" t="str">
            <v>Black</v>
          </cell>
          <cell r="L140" t="str">
            <v>M</v>
          </cell>
          <cell r="M140" t="str">
            <v xml:space="preserve">Carry Over </v>
          </cell>
          <cell r="N140" t="str">
            <v xml:space="preserve">North Kite &amp; Foils </v>
          </cell>
          <cell r="P140" t="str">
            <v>85003.250040900M</v>
          </cell>
          <cell r="Q140">
            <v>126</v>
          </cell>
          <cell r="R140">
            <v>0</v>
          </cell>
          <cell r="S140">
            <v>0</v>
          </cell>
          <cell r="T140">
            <v>245</v>
          </cell>
          <cell r="U140">
            <v>163.4</v>
          </cell>
          <cell r="V140">
            <v>163.33333333333334</v>
          </cell>
          <cell r="W140">
            <v>245</v>
          </cell>
          <cell r="X140">
            <v>163.4</v>
          </cell>
          <cell r="Y140">
            <v>1.4993880048959607</v>
          </cell>
          <cell r="Z140">
            <v>114.33333333333333</v>
          </cell>
          <cell r="AA140">
            <v>114.39999999999999</v>
          </cell>
          <cell r="AB140">
            <v>138.34333333333333</v>
          </cell>
          <cell r="AC140">
            <v>138.4</v>
          </cell>
        </row>
        <row r="141">
          <cell r="H141" t="str">
            <v>8715738864924</v>
          </cell>
          <cell r="I141" t="str">
            <v>Flex PRO</v>
          </cell>
          <cell r="J141" t="str">
            <v>900</v>
          </cell>
          <cell r="K141" t="str">
            <v>Black</v>
          </cell>
          <cell r="L141" t="str">
            <v>L</v>
          </cell>
          <cell r="M141" t="str">
            <v xml:space="preserve">Carry Over </v>
          </cell>
          <cell r="N141" t="str">
            <v xml:space="preserve">North Kite &amp; Foils </v>
          </cell>
          <cell r="P141" t="str">
            <v>85003.250040900L</v>
          </cell>
          <cell r="Q141">
            <v>127</v>
          </cell>
          <cell r="R141">
            <v>0</v>
          </cell>
          <cell r="S141">
            <v>0</v>
          </cell>
          <cell r="T141">
            <v>245</v>
          </cell>
          <cell r="U141">
            <v>163.4</v>
          </cell>
          <cell r="V141">
            <v>163.33333333333334</v>
          </cell>
          <cell r="W141">
            <v>245</v>
          </cell>
          <cell r="X141">
            <v>163.4</v>
          </cell>
          <cell r="Y141">
            <v>1.4993880048959607</v>
          </cell>
          <cell r="Z141">
            <v>114.33333333333333</v>
          </cell>
          <cell r="AA141">
            <v>114.39999999999999</v>
          </cell>
          <cell r="AB141">
            <v>138.34333333333333</v>
          </cell>
          <cell r="AC141">
            <v>138.4</v>
          </cell>
        </row>
        <row r="142">
          <cell r="H142" t="str">
            <v>8715738864931</v>
          </cell>
          <cell r="I142" t="str">
            <v>Flex PRO</v>
          </cell>
          <cell r="J142" t="str">
            <v>900</v>
          </cell>
          <cell r="K142" t="str">
            <v>Black</v>
          </cell>
          <cell r="L142" t="str">
            <v>XL</v>
          </cell>
          <cell r="M142" t="str">
            <v xml:space="preserve">Carry Over </v>
          </cell>
          <cell r="N142" t="str">
            <v xml:space="preserve">North Kite &amp; Foils </v>
          </cell>
          <cell r="P142" t="str">
            <v>85003.250040900XL</v>
          </cell>
          <cell r="Q142">
            <v>128</v>
          </cell>
          <cell r="R142">
            <v>0</v>
          </cell>
          <cell r="S142">
            <v>0</v>
          </cell>
          <cell r="T142">
            <v>245</v>
          </cell>
          <cell r="U142">
            <v>163.4</v>
          </cell>
          <cell r="V142">
            <v>163.33333333333334</v>
          </cell>
          <cell r="W142">
            <v>245</v>
          </cell>
          <cell r="X142">
            <v>163.4</v>
          </cell>
          <cell r="Y142">
            <v>1.4993880048959607</v>
          </cell>
          <cell r="Z142">
            <v>114.33333333333333</v>
          </cell>
          <cell r="AA142">
            <v>114.39999999999999</v>
          </cell>
          <cell r="AB142">
            <v>138.34333333333333</v>
          </cell>
          <cell r="AC142">
            <v>138.4</v>
          </cell>
        </row>
        <row r="143">
          <cell r="H143" t="str">
            <v>8715738825635</v>
          </cell>
          <cell r="I143" t="str">
            <v>Flex TT Bindings</v>
          </cell>
          <cell r="J143" t="str">
            <v>900</v>
          </cell>
          <cell r="K143" t="str">
            <v>Black</v>
          </cell>
          <cell r="L143" t="str">
            <v>S/M</v>
          </cell>
          <cell r="M143" t="str">
            <v xml:space="preserve">Carry Over </v>
          </cell>
          <cell r="N143" t="str">
            <v xml:space="preserve">North Kite &amp; Foils </v>
          </cell>
          <cell r="P143" t="str">
            <v>85003.240030900S/M</v>
          </cell>
          <cell r="Q143">
            <v>129</v>
          </cell>
          <cell r="R143">
            <v>0</v>
          </cell>
          <cell r="S143">
            <v>0</v>
          </cell>
          <cell r="T143">
            <v>132.5</v>
          </cell>
          <cell r="U143">
            <v>85.5</v>
          </cell>
          <cell r="V143">
            <v>88.333333333333329</v>
          </cell>
          <cell r="W143">
            <v>132.5</v>
          </cell>
          <cell r="X143">
            <v>88.399999999999991</v>
          </cell>
          <cell r="Y143">
            <v>1.4988687782805432</v>
          </cell>
          <cell r="Z143">
            <v>61.833333333333329</v>
          </cell>
          <cell r="AA143">
            <v>61.9</v>
          </cell>
          <cell r="AB143">
            <v>74.818333333333328</v>
          </cell>
          <cell r="AC143">
            <v>74.899999999999991</v>
          </cell>
        </row>
        <row r="144">
          <cell r="H144" t="str">
            <v>8715738844247</v>
          </cell>
          <cell r="I144" t="str">
            <v>Flex TT Bindings</v>
          </cell>
          <cell r="J144" t="str">
            <v>900</v>
          </cell>
          <cell r="K144" t="str">
            <v>Black</v>
          </cell>
          <cell r="L144" t="str">
            <v>L/XL</v>
          </cell>
          <cell r="M144" t="str">
            <v xml:space="preserve">Carry Over </v>
          </cell>
          <cell r="N144" t="str">
            <v xml:space="preserve">North Kite &amp; Foils </v>
          </cell>
          <cell r="P144" t="str">
            <v>85003.240030900L/XL</v>
          </cell>
          <cell r="Q144">
            <v>130</v>
          </cell>
          <cell r="R144">
            <v>0</v>
          </cell>
          <cell r="S144">
            <v>0</v>
          </cell>
          <cell r="T144">
            <v>132.5</v>
          </cell>
          <cell r="U144">
            <v>85.5</v>
          </cell>
          <cell r="V144">
            <v>88.333333333333329</v>
          </cell>
          <cell r="W144">
            <v>132.5</v>
          </cell>
          <cell r="X144">
            <v>88.399999999999991</v>
          </cell>
          <cell r="Y144">
            <v>1.4988687782805432</v>
          </cell>
          <cell r="Z144">
            <v>61.833333333333329</v>
          </cell>
          <cell r="AA144">
            <v>61.9</v>
          </cell>
          <cell r="AB144">
            <v>74.818333333333328</v>
          </cell>
          <cell r="AC144">
            <v>74.899999999999991</v>
          </cell>
        </row>
        <row r="145">
          <cell r="H145" t="str">
            <v>8715738823365</v>
          </cell>
          <cell r="I145" t="str">
            <v>Fix Boots</v>
          </cell>
          <cell r="J145" t="str">
            <v>900</v>
          </cell>
          <cell r="K145" t="str">
            <v>Black</v>
          </cell>
          <cell r="L145" t="str">
            <v>S</v>
          </cell>
          <cell r="M145" t="str">
            <v xml:space="preserve">Carry Over </v>
          </cell>
          <cell r="N145" t="str">
            <v xml:space="preserve">North Kite &amp; Foils </v>
          </cell>
          <cell r="P145" t="str">
            <v>85003.240031900S</v>
          </cell>
          <cell r="Q145">
            <v>131</v>
          </cell>
          <cell r="R145">
            <v>0</v>
          </cell>
          <cell r="S145">
            <v>0</v>
          </cell>
          <cell r="T145">
            <v>409</v>
          </cell>
          <cell r="U145">
            <v>272.70000000000005</v>
          </cell>
          <cell r="V145">
            <v>272.66666666666669</v>
          </cell>
          <cell r="W145">
            <v>409</v>
          </cell>
          <cell r="X145">
            <v>272.70000000000005</v>
          </cell>
          <cell r="Y145">
            <v>1.4998166483314996</v>
          </cell>
          <cell r="Z145">
            <v>190.86666666666667</v>
          </cell>
          <cell r="AA145">
            <v>190.9</v>
          </cell>
          <cell r="AB145">
            <v>230.94866666666667</v>
          </cell>
          <cell r="AC145">
            <v>231</v>
          </cell>
        </row>
        <row r="146">
          <cell r="H146" t="str">
            <v>8715738823372</v>
          </cell>
          <cell r="I146" t="str">
            <v>Fix Boots</v>
          </cell>
          <cell r="J146" t="str">
            <v>900</v>
          </cell>
          <cell r="K146" t="str">
            <v>Black</v>
          </cell>
          <cell r="L146" t="str">
            <v>M</v>
          </cell>
          <cell r="M146" t="str">
            <v xml:space="preserve">Carry Over </v>
          </cell>
          <cell r="N146" t="str">
            <v xml:space="preserve">North Kite &amp; Foils </v>
          </cell>
          <cell r="P146" t="str">
            <v>85003.240031900M</v>
          </cell>
          <cell r="Q146">
            <v>132</v>
          </cell>
          <cell r="R146">
            <v>0</v>
          </cell>
          <cell r="S146">
            <v>0</v>
          </cell>
          <cell r="T146">
            <v>409</v>
          </cell>
          <cell r="U146">
            <v>272.70000000000005</v>
          </cell>
          <cell r="V146">
            <v>272.66666666666669</v>
          </cell>
          <cell r="W146">
            <v>409</v>
          </cell>
          <cell r="X146">
            <v>272.70000000000005</v>
          </cell>
          <cell r="Y146">
            <v>1.4998166483314996</v>
          </cell>
          <cell r="Z146">
            <v>190.86666666666667</v>
          </cell>
          <cell r="AA146">
            <v>190.9</v>
          </cell>
          <cell r="AB146">
            <v>230.94866666666667</v>
          </cell>
          <cell r="AC146">
            <v>231</v>
          </cell>
        </row>
        <row r="147">
          <cell r="H147" t="str">
            <v>8715738823389</v>
          </cell>
          <cell r="I147" t="str">
            <v>Fix Boots</v>
          </cell>
          <cell r="J147" t="str">
            <v>900</v>
          </cell>
          <cell r="K147" t="str">
            <v>Black</v>
          </cell>
          <cell r="L147" t="str">
            <v>L</v>
          </cell>
          <cell r="M147" t="str">
            <v xml:space="preserve">Carry Over </v>
          </cell>
          <cell r="N147" t="str">
            <v xml:space="preserve">North Kite &amp; Foils </v>
          </cell>
          <cell r="P147" t="str">
            <v>85003.240031900L</v>
          </cell>
          <cell r="Q147">
            <v>133</v>
          </cell>
          <cell r="R147">
            <v>0</v>
          </cell>
          <cell r="S147">
            <v>0</v>
          </cell>
          <cell r="T147">
            <v>409</v>
          </cell>
          <cell r="U147">
            <v>272.70000000000005</v>
          </cell>
          <cell r="V147">
            <v>272.66666666666669</v>
          </cell>
          <cell r="W147">
            <v>409</v>
          </cell>
          <cell r="X147">
            <v>272.70000000000005</v>
          </cell>
          <cell r="Y147">
            <v>1.4998166483314996</v>
          </cell>
          <cell r="Z147">
            <v>190.86666666666667</v>
          </cell>
          <cell r="AA147">
            <v>190.9</v>
          </cell>
          <cell r="AB147">
            <v>230.94866666666667</v>
          </cell>
          <cell r="AC147">
            <v>231</v>
          </cell>
        </row>
        <row r="148">
          <cell r="H148" t="str">
            <v>8715738823396</v>
          </cell>
          <cell r="I148" t="str">
            <v>Fix Boots</v>
          </cell>
          <cell r="J148" t="str">
            <v>900</v>
          </cell>
          <cell r="K148" t="str">
            <v>Black</v>
          </cell>
          <cell r="L148" t="str">
            <v>XL</v>
          </cell>
          <cell r="M148" t="str">
            <v xml:space="preserve">Carry Over </v>
          </cell>
          <cell r="N148" t="str">
            <v xml:space="preserve">North Kite &amp; Foils </v>
          </cell>
          <cell r="P148" t="str">
            <v>85003.240031900XL</v>
          </cell>
          <cell r="Q148">
            <v>134</v>
          </cell>
          <cell r="R148">
            <v>0</v>
          </cell>
          <cell r="S148">
            <v>0</v>
          </cell>
          <cell r="T148">
            <v>409</v>
          </cell>
          <cell r="U148">
            <v>272.70000000000005</v>
          </cell>
          <cell r="V148">
            <v>272.66666666666669</v>
          </cell>
          <cell r="W148">
            <v>409</v>
          </cell>
          <cell r="X148">
            <v>272.70000000000005</v>
          </cell>
          <cell r="Y148">
            <v>1.4998166483314996</v>
          </cell>
          <cell r="Z148">
            <v>190.86666666666667</v>
          </cell>
          <cell r="AA148">
            <v>190.9</v>
          </cell>
          <cell r="AB148">
            <v>230.94866666666667</v>
          </cell>
          <cell r="AC148">
            <v>231</v>
          </cell>
        </row>
        <row r="149">
          <cell r="H149" t="str">
            <v>8715738824416</v>
          </cell>
          <cell r="I149" t="str">
            <v>Free Surf Strap set</v>
          </cell>
          <cell r="J149" t="str">
            <v>900</v>
          </cell>
          <cell r="K149" t="str">
            <v>Black</v>
          </cell>
          <cell r="L149" t="str">
            <v>O/S</v>
          </cell>
          <cell r="M149" t="str">
            <v xml:space="preserve">Carry Over </v>
          </cell>
          <cell r="N149" t="str">
            <v xml:space="preserve">North Kite &amp; Foils </v>
          </cell>
          <cell r="P149" t="str">
            <v>85003.240032900O/S</v>
          </cell>
          <cell r="Q149">
            <v>135</v>
          </cell>
          <cell r="R149">
            <v>0</v>
          </cell>
          <cell r="S149">
            <v>0</v>
          </cell>
          <cell r="T149">
            <v>86</v>
          </cell>
          <cell r="U149">
            <v>57.4</v>
          </cell>
          <cell r="V149">
            <v>57.333333333333336</v>
          </cell>
          <cell r="W149">
            <v>86</v>
          </cell>
          <cell r="X149">
            <v>57.4</v>
          </cell>
          <cell r="Y149">
            <v>1.4982578397212545</v>
          </cell>
          <cell r="Z149">
            <v>40.133333333333333</v>
          </cell>
          <cell r="AA149">
            <v>40.200000000000003</v>
          </cell>
          <cell r="AB149">
            <v>48.56133333333333</v>
          </cell>
          <cell r="AC149">
            <v>48.6</v>
          </cell>
        </row>
        <row r="150">
          <cell r="H150" t="str">
            <v>8715738824423</v>
          </cell>
          <cell r="I150" t="str">
            <v>Free Foil Strap Set</v>
          </cell>
          <cell r="J150" t="str">
            <v>900</v>
          </cell>
          <cell r="K150" t="str">
            <v>Black</v>
          </cell>
          <cell r="L150" t="str">
            <v>O/S</v>
          </cell>
          <cell r="M150" t="str">
            <v xml:space="preserve">Carry Over </v>
          </cell>
          <cell r="N150" t="str">
            <v xml:space="preserve">North Kite &amp; Foils </v>
          </cell>
          <cell r="P150" t="str">
            <v>85003.240033900O/S</v>
          </cell>
          <cell r="Q150">
            <v>136</v>
          </cell>
          <cell r="R150">
            <v>0</v>
          </cell>
          <cell r="S150">
            <v>0</v>
          </cell>
          <cell r="T150">
            <v>92</v>
          </cell>
          <cell r="U150">
            <v>61.4</v>
          </cell>
          <cell r="V150">
            <v>61.333333333333336</v>
          </cell>
          <cell r="W150">
            <v>92</v>
          </cell>
          <cell r="X150">
            <v>61.4</v>
          </cell>
          <cell r="Y150">
            <v>1.498371335504886</v>
          </cell>
          <cell r="Z150">
            <v>42.93333333333333</v>
          </cell>
          <cell r="AA150">
            <v>43</v>
          </cell>
          <cell r="AB150">
            <v>51.949333333333328</v>
          </cell>
          <cell r="AC150">
            <v>52</v>
          </cell>
        </row>
        <row r="151">
          <cell r="H151" t="str">
            <v>8715738824430</v>
          </cell>
          <cell r="I151" t="str">
            <v>Free-V Foil Strap Set</v>
          </cell>
          <cell r="J151" t="str">
            <v>900</v>
          </cell>
          <cell r="K151" t="str">
            <v>Black</v>
          </cell>
          <cell r="L151" t="str">
            <v>O/S</v>
          </cell>
          <cell r="M151" t="str">
            <v xml:space="preserve">Carry Over </v>
          </cell>
          <cell r="N151" t="str">
            <v xml:space="preserve">North Kite &amp; Foils </v>
          </cell>
          <cell r="P151" t="str">
            <v>85003.240035900O/S</v>
          </cell>
          <cell r="Q151">
            <v>137</v>
          </cell>
          <cell r="R151">
            <v>0</v>
          </cell>
          <cell r="S151">
            <v>0</v>
          </cell>
          <cell r="T151">
            <v>122.5</v>
          </cell>
          <cell r="U151">
            <v>81.699999999999989</v>
          </cell>
          <cell r="V151">
            <v>81.666666666666671</v>
          </cell>
          <cell r="W151">
            <v>122.5</v>
          </cell>
          <cell r="X151">
            <v>81.699999999999989</v>
          </cell>
          <cell r="Y151">
            <v>1.4993880048959611</v>
          </cell>
          <cell r="Z151">
            <v>57.166666666666664</v>
          </cell>
          <cell r="AA151">
            <v>57.2</v>
          </cell>
          <cell r="AB151">
            <v>69.171666666666667</v>
          </cell>
          <cell r="AC151">
            <v>69.199999999999989</v>
          </cell>
        </row>
        <row r="152">
          <cell r="H152" t="str">
            <v>8715738824409</v>
          </cell>
          <cell r="I152" t="str">
            <v>Free-Lo Strap</v>
          </cell>
          <cell r="J152" t="str">
            <v>900</v>
          </cell>
          <cell r="K152" t="str">
            <v>Black</v>
          </cell>
          <cell r="L152" t="str">
            <v>O/S</v>
          </cell>
          <cell r="M152" t="str">
            <v xml:space="preserve">Carry Over </v>
          </cell>
          <cell r="N152" t="str">
            <v xml:space="preserve">North Kite &amp; Foils </v>
          </cell>
          <cell r="P152" t="str">
            <v>85003.240036900O/S</v>
          </cell>
          <cell r="Q152">
            <v>138</v>
          </cell>
          <cell r="R152">
            <v>0</v>
          </cell>
          <cell r="S152">
            <v>0</v>
          </cell>
          <cell r="T152">
            <v>61.5</v>
          </cell>
          <cell r="U152">
            <v>41</v>
          </cell>
          <cell r="V152">
            <v>41</v>
          </cell>
          <cell r="W152">
            <v>61.5</v>
          </cell>
          <cell r="X152">
            <v>41</v>
          </cell>
          <cell r="Y152">
            <v>1.5</v>
          </cell>
          <cell r="Z152">
            <v>28.7</v>
          </cell>
          <cell r="AA152">
            <v>28.7</v>
          </cell>
          <cell r="AB152">
            <v>34.726999999999997</v>
          </cell>
          <cell r="AC152">
            <v>34.800000000000004</v>
          </cell>
        </row>
        <row r="153">
          <cell r="H153" t="str">
            <v>8715738825659</v>
          </cell>
          <cell r="I153" t="str">
            <v>Free-Lo V Strap</v>
          </cell>
          <cell r="J153" t="str">
            <v>900</v>
          </cell>
          <cell r="K153" t="str">
            <v>Black</v>
          </cell>
          <cell r="L153" t="str">
            <v>O/S</v>
          </cell>
          <cell r="M153" t="str">
            <v xml:space="preserve">Carry Over </v>
          </cell>
          <cell r="N153" t="str">
            <v xml:space="preserve">North Kite &amp; Foils </v>
          </cell>
          <cell r="P153" t="str">
            <v>85003.240037900O/S</v>
          </cell>
          <cell r="Q153">
            <v>139</v>
          </cell>
          <cell r="R153">
            <v>0</v>
          </cell>
          <cell r="S153">
            <v>0</v>
          </cell>
          <cell r="T153">
            <v>81.5</v>
          </cell>
          <cell r="U153">
            <v>54.4</v>
          </cell>
          <cell r="V153">
            <v>54.333333333333336</v>
          </cell>
          <cell r="W153">
            <v>81.5</v>
          </cell>
          <cell r="X153">
            <v>54.4</v>
          </cell>
          <cell r="Y153">
            <v>1.4981617647058825</v>
          </cell>
          <cell r="Z153">
            <v>38.033333333333331</v>
          </cell>
          <cell r="AA153">
            <v>38.1</v>
          </cell>
          <cell r="AB153">
            <v>46.020333333333326</v>
          </cell>
          <cell r="AC153">
            <v>46.1</v>
          </cell>
        </row>
        <row r="154">
          <cell r="H154" t="str">
            <v>8715738815445</v>
          </cell>
          <cell r="I154" t="str">
            <v>Charge PRO Surfboard</v>
          </cell>
          <cell r="J154" t="str">
            <v>100</v>
          </cell>
          <cell r="K154" t="str">
            <v>White</v>
          </cell>
          <cell r="L154" t="str">
            <v>5ft 5in</v>
          </cell>
          <cell r="M154" t="str">
            <v xml:space="preserve">Carry Over </v>
          </cell>
          <cell r="N154" t="str">
            <v xml:space="preserve">North Kite &amp; Foils </v>
          </cell>
          <cell r="P154" t="str">
            <v>85012.2400061005ft 5in</v>
          </cell>
          <cell r="Q154">
            <v>140</v>
          </cell>
          <cell r="R154">
            <v>0</v>
          </cell>
          <cell r="S154">
            <v>0</v>
          </cell>
          <cell r="T154">
            <v>1329</v>
          </cell>
          <cell r="U154">
            <v>929.4</v>
          </cell>
          <cell r="V154">
            <v>929.37062937062944</v>
          </cell>
          <cell r="W154">
            <v>1329</v>
          </cell>
          <cell r="X154">
            <v>929.4</v>
          </cell>
          <cell r="Y154">
            <v>1.4299548095545513</v>
          </cell>
          <cell r="Z154">
            <v>697.02797202797206</v>
          </cell>
          <cell r="AA154">
            <v>697.1</v>
          </cell>
          <cell r="AB154">
            <v>843.40384615384619</v>
          </cell>
          <cell r="AC154">
            <v>843.5</v>
          </cell>
        </row>
        <row r="155">
          <cell r="H155" t="str">
            <v>8715738815452</v>
          </cell>
          <cell r="I155" t="str">
            <v>Charge PRO Surfboard</v>
          </cell>
          <cell r="J155" t="str">
            <v>100</v>
          </cell>
          <cell r="K155" t="str">
            <v>White</v>
          </cell>
          <cell r="L155" t="str">
            <v>5ft 7in</v>
          </cell>
          <cell r="M155" t="str">
            <v xml:space="preserve">Carry Over </v>
          </cell>
          <cell r="N155" t="str">
            <v xml:space="preserve">North Kite &amp; Foils </v>
          </cell>
          <cell r="P155" t="str">
            <v>85012.2400061005ft 7in</v>
          </cell>
          <cell r="Q155">
            <v>141</v>
          </cell>
          <cell r="R155">
            <v>0</v>
          </cell>
          <cell r="S155">
            <v>0</v>
          </cell>
          <cell r="T155">
            <v>1329</v>
          </cell>
          <cell r="U155">
            <v>929.4</v>
          </cell>
          <cell r="V155">
            <v>929.37062937062944</v>
          </cell>
          <cell r="W155">
            <v>1329</v>
          </cell>
          <cell r="X155">
            <v>929.4</v>
          </cell>
          <cell r="Y155">
            <v>1.4299548095545513</v>
          </cell>
          <cell r="Z155">
            <v>697.02797202797206</v>
          </cell>
          <cell r="AA155">
            <v>697.1</v>
          </cell>
          <cell r="AB155">
            <v>843.40384615384619</v>
          </cell>
          <cell r="AC155">
            <v>843.5</v>
          </cell>
        </row>
        <row r="156">
          <cell r="H156" t="str">
            <v>8715738815469</v>
          </cell>
          <cell r="I156" t="str">
            <v>Charge PRO Surfboard</v>
          </cell>
          <cell r="J156" t="str">
            <v>100</v>
          </cell>
          <cell r="K156" t="str">
            <v>White</v>
          </cell>
          <cell r="L156" t="str">
            <v>5ft 9in</v>
          </cell>
          <cell r="M156" t="str">
            <v xml:space="preserve">Carry Over </v>
          </cell>
          <cell r="N156" t="str">
            <v xml:space="preserve">North Kite &amp; Foils </v>
          </cell>
          <cell r="P156" t="str">
            <v>85012.2400061005ft 9in</v>
          </cell>
          <cell r="Q156">
            <v>142</v>
          </cell>
          <cell r="R156">
            <v>0</v>
          </cell>
          <cell r="S156">
            <v>0</v>
          </cell>
          <cell r="T156">
            <v>1329</v>
          </cell>
          <cell r="U156">
            <v>929.4</v>
          </cell>
          <cell r="V156">
            <v>929.37062937062944</v>
          </cell>
          <cell r="W156">
            <v>1329</v>
          </cell>
          <cell r="X156">
            <v>929.4</v>
          </cell>
          <cell r="Y156">
            <v>1.4299548095545513</v>
          </cell>
          <cell r="Z156">
            <v>697.02797202797206</v>
          </cell>
          <cell r="AA156">
            <v>697.1</v>
          </cell>
          <cell r="AB156">
            <v>843.40384615384619</v>
          </cell>
          <cell r="AC156">
            <v>843.5</v>
          </cell>
        </row>
        <row r="157">
          <cell r="H157" t="str">
            <v>8715738815476</v>
          </cell>
          <cell r="I157" t="str">
            <v>Charge PRO Surfboard</v>
          </cell>
          <cell r="J157" t="str">
            <v>100</v>
          </cell>
          <cell r="K157" t="str">
            <v>White</v>
          </cell>
          <cell r="L157" t="str">
            <v>5ft 11in</v>
          </cell>
          <cell r="M157" t="str">
            <v xml:space="preserve">Carry Over </v>
          </cell>
          <cell r="N157" t="str">
            <v xml:space="preserve">North Kite &amp; Foils </v>
          </cell>
          <cell r="P157" t="str">
            <v>85012.2400061005ft 11in</v>
          </cell>
          <cell r="Q157">
            <v>143</v>
          </cell>
          <cell r="R157">
            <v>0</v>
          </cell>
          <cell r="S157">
            <v>0</v>
          </cell>
          <cell r="T157">
            <v>1329</v>
          </cell>
          <cell r="U157">
            <v>929.4</v>
          </cell>
          <cell r="V157">
            <v>929.37062937062944</v>
          </cell>
          <cell r="W157">
            <v>1329</v>
          </cell>
          <cell r="X157">
            <v>929.4</v>
          </cell>
          <cell r="Y157">
            <v>1.4299548095545513</v>
          </cell>
          <cell r="Z157">
            <v>697.02797202797206</v>
          </cell>
          <cell r="AA157">
            <v>697.1</v>
          </cell>
          <cell r="AB157">
            <v>843.40384615384619</v>
          </cell>
          <cell r="AC157">
            <v>843.5</v>
          </cell>
        </row>
        <row r="158">
          <cell r="H158" t="str">
            <v>8715738875753</v>
          </cell>
          <cell r="I158" t="str">
            <v>Cross Pro Surfboard</v>
          </cell>
          <cell r="J158" t="str">
            <v>196</v>
          </cell>
          <cell r="K158" t="str">
            <v>Titanium</v>
          </cell>
          <cell r="L158" t="str">
            <v>5ft 1in</v>
          </cell>
          <cell r="M158" t="str">
            <v xml:space="preserve">Carry Over </v>
          </cell>
          <cell r="N158" t="str">
            <v xml:space="preserve">North Kite &amp; Foils </v>
          </cell>
          <cell r="P158" t="str">
            <v>85012.2500071965ft 1in</v>
          </cell>
          <cell r="Q158">
            <v>144</v>
          </cell>
          <cell r="R158">
            <v>0</v>
          </cell>
          <cell r="S158">
            <v>0</v>
          </cell>
          <cell r="T158">
            <v>1429</v>
          </cell>
          <cell r="U158">
            <v>999.4</v>
          </cell>
          <cell r="V158">
            <v>999.30069930069931</v>
          </cell>
          <cell r="W158">
            <v>1429</v>
          </cell>
          <cell r="X158">
            <v>999.4</v>
          </cell>
          <cell r="Y158">
            <v>1.4298579147488493</v>
          </cell>
          <cell r="Z158">
            <v>749.47552447552448</v>
          </cell>
          <cell r="AA158">
            <v>749.5</v>
          </cell>
          <cell r="AB158">
            <v>906.86538461538464</v>
          </cell>
          <cell r="AC158">
            <v>906.9</v>
          </cell>
        </row>
        <row r="159">
          <cell r="H159" t="str">
            <v>8715738875760</v>
          </cell>
          <cell r="I159" t="str">
            <v>Cross Pro Surfboard</v>
          </cell>
          <cell r="J159" t="str">
            <v>196</v>
          </cell>
          <cell r="K159" t="str">
            <v>Titanium</v>
          </cell>
          <cell r="L159" t="str">
            <v>5ft 3in</v>
          </cell>
          <cell r="M159" t="str">
            <v xml:space="preserve">Carry Over </v>
          </cell>
          <cell r="N159" t="str">
            <v xml:space="preserve">North Kite &amp; Foils </v>
          </cell>
          <cell r="P159" t="str">
            <v>85012.2500071965ft 3in</v>
          </cell>
          <cell r="Q159">
            <v>145</v>
          </cell>
          <cell r="R159">
            <v>0</v>
          </cell>
          <cell r="S159">
            <v>0</v>
          </cell>
          <cell r="T159">
            <v>1429</v>
          </cell>
          <cell r="U159">
            <v>999.4</v>
          </cell>
          <cell r="V159">
            <v>999.30069930069931</v>
          </cell>
          <cell r="W159">
            <v>1429</v>
          </cell>
          <cell r="X159">
            <v>999.4</v>
          </cell>
          <cell r="Y159">
            <v>1.4298579147488493</v>
          </cell>
          <cell r="Z159">
            <v>749.47552447552448</v>
          </cell>
          <cell r="AA159">
            <v>749.5</v>
          </cell>
          <cell r="AB159">
            <v>906.86538461538464</v>
          </cell>
          <cell r="AC159">
            <v>906.9</v>
          </cell>
        </row>
        <row r="160">
          <cell r="H160" t="str">
            <v>8715738875777</v>
          </cell>
          <cell r="I160" t="str">
            <v>Cross Pro Surfboard</v>
          </cell>
          <cell r="J160" t="str">
            <v>196</v>
          </cell>
          <cell r="K160" t="str">
            <v>Titanium</v>
          </cell>
          <cell r="L160" t="str">
            <v>5ft 5in</v>
          </cell>
          <cell r="M160" t="str">
            <v xml:space="preserve">Carry Over </v>
          </cell>
          <cell r="N160" t="str">
            <v xml:space="preserve">North Kite &amp; Foils </v>
          </cell>
          <cell r="P160" t="str">
            <v>85012.2500071965ft 5in</v>
          </cell>
          <cell r="Q160">
            <v>146</v>
          </cell>
          <cell r="R160">
            <v>0</v>
          </cell>
          <cell r="S160">
            <v>0</v>
          </cell>
          <cell r="T160">
            <v>1429</v>
          </cell>
          <cell r="U160">
            <v>999.4</v>
          </cell>
          <cell r="V160">
            <v>999.30069930069931</v>
          </cell>
          <cell r="W160">
            <v>1429</v>
          </cell>
          <cell r="X160">
            <v>999.4</v>
          </cell>
          <cell r="Y160">
            <v>1.4298579147488493</v>
          </cell>
          <cell r="Z160">
            <v>749.47552447552448</v>
          </cell>
          <cell r="AA160">
            <v>749.5</v>
          </cell>
          <cell r="AB160">
            <v>906.86538461538464</v>
          </cell>
          <cell r="AC160">
            <v>906.9</v>
          </cell>
        </row>
        <row r="161">
          <cell r="H161" t="str">
            <v>8715738815483</v>
          </cell>
          <cell r="I161" t="str">
            <v>Cross Surfboard</v>
          </cell>
          <cell r="J161" t="str">
            <v>100</v>
          </cell>
          <cell r="K161" t="str">
            <v>White</v>
          </cell>
          <cell r="L161" t="str">
            <v>5ft 1in</v>
          </cell>
          <cell r="M161" t="str">
            <v xml:space="preserve">Carry Over </v>
          </cell>
          <cell r="N161" t="str">
            <v xml:space="preserve">North Kite &amp; Foils </v>
          </cell>
          <cell r="P161" t="str">
            <v>85012.2400041005ft 1in</v>
          </cell>
          <cell r="Q161">
            <v>147</v>
          </cell>
          <cell r="R161">
            <v>0</v>
          </cell>
          <cell r="S161">
            <v>0</v>
          </cell>
          <cell r="T161">
            <v>1229</v>
          </cell>
          <cell r="U161">
            <v>859.5</v>
          </cell>
          <cell r="V161">
            <v>859.44055944055947</v>
          </cell>
          <cell r="W161">
            <v>1229</v>
          </cell>
          <cell r="X161">
            <v>859.5</v>
          </cell>
          <cell r="Y161">
            <v>1.4299011052937753</v>
          </cell>
          <cell r="Z161">
            <v>644.58041958041963</v>
          </cell>
          <cell r="AA161">
            <v>644.6</v>
          </cell>
          <cell r="AB161">
            <v>779.94230769230774</v>
          </cell>
          <cell r="AC161">
            <v>780</v>
          </cell>
        </row>
        <row r="162">
          <cell r="H162" t="str">
            <v>8715738815490</v>
          </cell>
          <cell r="I162" t="str">
            <v>Cross Surfboard</v>
          </cell>
          <cell r="J162" t="str">
            <v>100</v>
          </cell>
          <cell r="K162" t="str">
            <v>White</v>
          </cell>
          <cell r="L162" t="str">
            <v>5ft 3in</v>
          </cell>
          <cell r="M162" t="str">
            <v xml:space="preserve">Carry Over </v>
          </cell>
          <cell r="N162" t="str">
            <v xml:space="preserve">North Kite &amp; Foils </v>
          </cell>
          <cell r="P162" t="str">
            <v>85012.2400041005ft 3in</v>
          </cell>
          <cell r="Q162">
            <v>148</v>
          </cell>
          <cell r="R162">
            <v>0</v>
          </cell>
          <cell r="S162">
            <v>0</v>
          </cell>
          <cell r="T162">
            <v>1229</v>
          </cell>
          <cell r="U162">
            <v>859.5</v>
          </cell>
          <cell r="V162">
            <v>859.44055944055947</v>
          </cell>
          <cell r="W162">
            <v>1229</v>
          </cell>
          <cell r="X162">
            <v>859.5</v>
          </cell>
          <cell r="Y162">
            <v>1.4299011052937753</v>
          </cell>
          <cell r="Z162">
            <v>644.58041958041963</v>
          </cell>
          <cell r="AA162">
            <v>644.6</v>
          </cell>
          <cell r="AB162">
            <v>779.94230769230774</v>
          </cell>
          <cell r="AC162">
            <v>780</v>
          </cell>
        </row>
        <row r="163">
          <cell r="H163" t="str">
            <v>8715738815506</v>
          </cell>
          <cell r="I163" t="str">
            <v>Cross Surfboard</v>
          </cell>
          <cell r="J163" t="str">
            <v>100</v>
          </cell>
          <cell r="K163" t="str">
            <v>White</v>
          </cell>
          <cell r="L163" t="str">
            <v>5ft 5in</v>
          </cell>
          <cell r="M163" t="str">
            <v xml:space="preserve">Carry Over </v>
          </cell>
          <cell r="N163" t="str">
            <v xml:space="preserve">North Kite &amp; Foils </v>
          </cell>
          <cell r="P163" t="str">
            <v>85012.2400041005ft 5in</v>
          </cell>
          <cell r="Q163">
            <v>149</v>
          </cell>
          <cell r="R163">
            <v>0</v>
          </cell>
          <cell r="S163">
            <v>0</v>
          </cell>
          <cell r="T163">
            <v>1229</v>
          </cell>
          <cell r="U163">
            <v>859.5</v>
          </cell>
          <cell r="V163">
            <v>859.44055944055947</v>
          </cell>
          <cell r="W163">
            <v>1229</v>
          </cell>
          <cell r="X163">
            <v>859.5</v>
          </cell>
          <cell r="Y163">
            <v>1.4299011052937753</v>
          </cell>
          <cell r="Z163">
            <v>644.58041958041963</v>
          </cell>
          <cell r="AA163">
            <v>644.6</v>
          </cell>
          <cell r="AB163">
            <v>779.94230769230774</v>
          </cell>
          <cell r="AC163">
            <v>780</v>
          </cell>
        </row>
        <row r="164">
          <cell r="H164" t="str">
            <v>8715738823112</v>
          </cell>
          <cell r="I164" t="str">
            <v>Sense Foil Board</v>
          </cell>
          <cell r="J164" t="str">
            <v>196</v>
          </cell>
          <cell r="K164" t="str">
            <v>Titanium</v>
          </cell>
          <cell r="L164" t="str">
            <v>135x47cm</v>
          </cell>
          <cell r="M164" t="str">
            <v xml:space="preserve">Carry Over </v>
          </cell>
          <cell r="N164" t="str">
            <v xml:space="preserve">North Kite &amp; Foils </v>
          </cell>
          <cell r="P164" t="str">
            <v>85013.240012196135x47cm</v>
          </cell>
          <cell r="Q164">
            <v>150</v>
          </cell>
          <cell r="R164">
            <v>0</v>
          </cell>
          <cell r="S164">
            <v>0</v>
          </cell>
          <cell r="T164">
            <v>819</v>
          </cell>
          <cell r="U164">
            <v>572.80000000000007</v>
          </cell>
          <cell r="V164">
            <v>572.72727272727275</v>
          </cell>
          <cell r="W164">
            <v>819</v>
          </cell>
          <cell r="X164">
            <v>572.80000000000007</v>
          </cell>
          <cell r="Y164">
            <v>1.4298184357541899</v>
          </cell>
          <cell r="Z164">
            <v>429.54545454545456</v>
          </cell>
          <cell r="AA164">
            <v>429.6</v>
          </cell>
          <cell r="AB164">
            <v>519.75</v>
          </cell>
          <cell r="AC164">
            <v>519.80000000000007</v>
          </cell>
        </row>
        <row r="165">
          <cell r="H165" t="str">
            <v>8715738910072</v>
          </cell>
          <cell r="I165" t="str">
            <v>Swell Pro Foil Board   -  Incl Boardbag</v>
          </cell>
          <cell r="J165" t="str">
            <v>621</v>
          </cell>
          <cell r="K165" t="str">
            <v>Ocean Green</v>
          </cell>
          <cell r="L165" t="str">
            <v>4ft 8in</v>
          </cell>
          <cell r="M165" t="str">
            <v>New</v>
          </cell>
          <cell r="N165" t="str">
            <v xml:space="preserve">North Kite &amp; Foils </v>
          </cell>
          <cell r="P165" t="str">
            <v>85013.2600106214ft 8in</v>
          </cell>
          <cell r="Q165">
            <v>151</v>
          </cell>
          <cell r="R165" t="e">
            <v>#VALUE!</v>
          </cell>
          <cell r="S165" t="e">
            <v>#VALUE!</v>
          </cell>
          <cell r="T165" t="str">
            <v/>
          </cell>
          <cell r="U165" t="str">
            <v/>
          </cell>
          <cell r="V165">
            <v>1188.1118881118882</v>
          </cell>
          <cell r="W165">
            <v>1699</v>
          </cell>
          <cell r="X165">
            <v>1188.1999999999998</v>
          </cell>
          <cell r="Y165">
            <v>1.429893957246255</v>
          </cell>
          <cell r="Z165">
            <v>891.08391608391617</v>
          </cell>
          <cell r="AA165">
            <v>891.1</v>
          </cell>
          <cell r="AB165">
            <v>1078.2115384615386</v>
          </cell>
          <cell r="AC165">
            <v>1078.3</v>
          </cell>
        </row>
        <row r="166">
          <cell r="H166" t="str">
            <v>8715738910096</v>
          </cell>
          <cell r="I166" t="str">
            <v>Swell Pro Foil Board   -  Incl Boardbag</v>
          </cell>
          <cell r="J166" t="str">
            <v>621</v>
          </cell>
          <cell r="K166" t="str">
            <v>Ocean Green</v>
          </cell>
          <cell r="L166" t="str">
            <v>5ft 0in</v>
          </cell>
          <cell r="M166" t="str">
            <v>New</v>
          </cell>
          <cell r="N166" t="str">
            <v xml:space="preserve">North Kite &amp; Foils </v>
          </cell>
          <cell r="P166" t="str">
            <v>85013.2600106215ft 0in</v>
          </cell>
          <cell r="Q166">
            <v>152</v>
          </cell>
          <cell r="R166" t="e">
            <v>#VALUE!</v>
          </cell>
          <cell r="S166" t="e">
            <v>#VALUE!</v>
          </cell>
          <cell r="T166" t="str">
            <v/>
          </cell>
          <cell r="U166" t="str">
            <v/>
          </cell>
          <cell r="V166">
            <v>1223.0769230769231</v>
          </cell>
          <cell r="W166">
            <v>1749</v>
          </cell>
          <cell r="X166">
            <v>1223.0999999999999</v>
          </cell>
          <cell r="Y166">
            <v>1.4299730193769931</v>
          </cell>
          <cell r="Z166">
            <v>917.30769230769238</v>
          </cell>
          <cell r="AA166">
            <v>917.4</v>
          </cell>
          <cell r="AB166">
            <v>1109.9423076923078</v>
          </cell>
          <cell r="AC166">
            <v>1110</v>
          </cell>
        </row>
        <row r="167">
          <cell r="H167" t="str">
            <v>8715738910102</v>
          </cell>
          <cell r="I167" t="str">
            <v>Swell Pro Foil Board   -  Incl Boardbag</v>
          </cell>
          <cell r="J167" t="str">
            <v>621</v>
          </cell>
          <cell r="K167" t="str">
            <v>Ocean Green</v>
          </cell>
          <cell r="L167" t="str">
            <v>5ft 2in</v>
          </cell>
          <cell r="M167" t="str">
            <v>New</v>
          </cell>
          <cell r="N167" t="str">
            <v xml:space="preserve">North Kite &amp; Foils </v>
          </cell>
          <cell r="P167" t="str">
            <v>85013.2600106215ft 2in</v>
          </cell>
          <cell r="Q167">
            <v>153</v>
          </cell>
          <cell r="R167" t="e">
            <v>#VALUE!</v>
          </cell>
          <cell r="S167" t="e">
            <v>#VALUE!</v>
          </cell>
          <cell r="T167" t="str">
            <v/>
          </cell>
          <cell r="U167" t="str">
            <v/>
          </cell>
          <cell r="V167">
            <v>1258.0419580419582</v>
          </cell>
          <cell r="W167">
            <v>1799</v>
          </cell>
          <cell r="X167">
            <v>1258.0999999999999</v>
          </cell>
          <cell r="Y167">
            <v>1.4299340275017884</v>
          </cell>
          <cell r="Z167">
            <v>943.53146853146859</v>
          </cell>
          <cell r="AA167">
            <v>943.6</v>
          </cell>
          <cell r="AB167">
            <v>1141.6730769230769</v>
          </cell>
          <cell r="AC167">
            <v>1141.6999999999998</v>
          </cell>
        </row>
        <row r="168">
          <cell r="H168" t="str">
            <v>8715738910119</v>
          </cell>
          <cell r="I168" t="str">
            <v>Swell Pro Foil Board   -  Incl Boardbag</v>
          </cell>
          <cell r="J168" t="str">
            <v>621</v>
          </cell>
          <cell r="K168" t="str">
            <v>Ocean Green</v>
          </cell>
          <cell r="L168" t="str">
            <v>5ft 4in</v>
          </cell>
          <cell r="M168" t="str">
            <v>New</v>
          </cell>
          <cell r="N168" t="str">
            <v xml:space="preserve">North Kite &amp; Foils </v>
          </cell>
          <cell r="P168" t="str">
            <v>85013.2600106215ft 4in</v>
          </cell>
          <cell r="Q168">
            <v>154</v>
          </cell>
          <cell r="R168" t="e">
            <v>#VALUE!</v>
          </cell>
          <cell r="S168" t="e">
            <v>#VALUE!</v>
          </cell>
          <cell r="T168" t="str">
            <v/>
          </cell>
          <cell r="U168" t="str">
            <v/>
          </cell>
          <cell r="V168">
            <v>1293.0069930069931</v>
          </cell>
          <cell r="W168">
            <v>1849</v>
          </cell>
          <cell r="X168">
            <v>1293.0999999999999</v>
          </cell>
          <cell r="Y168">
            <v>1.4298971463923904</v>
          </cell>
          <cell r="Z168">
            <v>969.7552447552448</v>
          </cell>
          <cell r="AA168">
            <v>969.80000000000007</v>
          </cell>
          <cell r="AB168">
            <v>1173.4038461538462</v>
          </cell>
          <cell r="AC168">
            <v>1173.5</v>
          </cell>
        </row>
        <row r="169">
          <cell r="H169" t="str">
            <v>8715738909984</v>
          </cell>
          <cell r="I169" t="str">
            <v>Seek Pro Foil Board   -   Incl Boardbag</v>
          </cell>
          <cell r="J169" t="str">
            <v>621</v>
          </cell>
          <cell r="K169" t="str">
            <v>Ocean Green</v>
          </cell>
          <cell r="L169" t="str">
            <v>4ft 9in</v>
          </cell>
          <cell r="M169" t="str">
            <v>New</v>
          </cell>
          <cell r="N169" t="str">
            <v xml:space="preserve">North Kite &amp; Foils </v>
          </cell>
          <cell r="P169" t="str">
            <v>85013.2600116214ft 9in</v>
          </cell>
          <cell r="Q169">
            <v>155</v>
          </cell>
          <cell r="R169" t="e">
            <v>#VALUE!</v>
          </cell>
          <cell r="S169" t="e">
            <v>#VALUE!</v>
          </cell>
          <cell r="T169" t="str">
            <v/>
          </cell>
          <cell r="U169" t="str">
            <v/>
          </cell>
          <cell r="V169">
            <v>1223.0769230769231</v>
          </cell>
          <cell r="W169">
            <v>1749</v>
          </cell>
          <cell r="X169">
            <v>1223.0999999999999</v>
          </cell>
          <cell r="Y169">
            <v>1.4299730193769931</v>
          </cell>
          <cell r="Z169">
            <v>917.30769230769238</v>
          </cell>
          <cell r="AA169">
            <v>917.4</v>
          </cell>
          <cell r="AB169">
            <v>1109.9423076923078</v>
          </cell>
          <cell r="AC169">
            <v>1110</v>
          </cell>
        </row>
        <row r="170">
          <cell r="H170" t="str">
            <v>8715738909991</v>
          </cell>
          <cell r="I170" t="str">
            <v>Seek Pro Foil Board   -   Incl Boardbag</v>
          </cell>
          <cell r="J170" t="str">
            <v>621</v>
          </cell>
          <cell r="K170" t="str">
            <v>Ocean Green</v>
          </cell>
          <cell r="L170" t="str">
            <v>4ft 11in</v>
          </cell>
          <cell r="M170" t="str">
            <v>New</v>
          </cell>
          <cell r="N170" t="str">
            <v xml:space="preserve">North Kite &amp; Foils </v>
          </cell>
          <cell r="P170" t="str">
            <v>85013.2600116214ft 11in</v>
          </cell>
          <cell r="Q170">
            <v>156</v>
          </cell>
          <cell r="R170" t="e">
            <v>#VALUE!</v>
          </cell>
          <cell r="S170" t="e">
            <v>#VALUE!</v>
          </cell>
          <cell r="T170" t="str">
            <v/>
          </cell>
          <cell r="U170" t="str">
            <v/>
          </cell>
          <cell r="V170">
            <v>1258.0419580419582</v>
          </cell>
          <cell r="W170">
            <v>1799</v>
          </cell>
          <cell r="X170">
            <v>1258.0999999999999</v>
          </cell>
          <cell r="Y170">
            <v>1.4299340275017884</v>
          </cell>
          <cell r="Z170">
            <v>943.53146853146859</v>
          </cell>
          <cell r="AA170">
            <v>943.6</v>
          </cell>
          <cell r="AB170">
            <v>1141.6730769230769</v>
          </cell>
          <cell r="AC170">
            <v>1141.6999999999998</v>
          </cell>
        </row>
        <row r="171">
          <cell r="H171" t="str">
            <v>8715738910003</v>
          </cell>
          <cell r="I171" t="str">
            <v>Seek Pro Foil Board   -   Incl Boardbag</v>
          </cell>
          <cell r="J171" t="str">
            <v>621</v>
          </cell>
          <cell r="K171" t="str">
            <v>Ocean Green</v>
          </cell>
          <cell r="L171" t="str">
            <v>5ft 1in</v>
          </cell>
          <cell r="M171" t="str">
            <v>New</v>
          </cell>
          <cell r="N171" t="str">
            <v xml:space="preserve">North Kite &amp; Foils </v>
          </cell>
          <cell r="P171" t="str">
            <v>85013.2600116215ft 1in</v>
          </cell>
          <cell r="Q171">
            <v>157</v>
          </cell>
          <cell r="R171" t="e">
            <v>#VALUE!</v>
          </cell>
          <cell r="S171" t="e">
            <v>#VALUE!</v>
          </cell>
          <cell r="T171" t="str">
            <v/>
          </cell>
          <cell r="U171" t="str">
            <v/>
          </cell>
          <cell r="V171">
            <v>1293.0069930069931</v>
          </cell>
          <cell r="W171">
            <v>1849</v>
          </cell>
          <cell r="X171">
            <v>1293.0999999999999</v>
          </cell>
          <cell r="Y171">
            <v>1.4298971463923904</v>
          </cell>
          <cell r="Z171">
            <v>969.7552447552448</v>
          </cell>
          <cell r="AA171">
            <v>969.80000000000007</v>
          </cell>
          <cell r="AB171">
            <v>1173.4038461538462</v>
          </cell>
          <cell r="AC171">
            <v>1173.5</v>
          </cell>
        </row>
        <row r="172">
          <cell r="H172" t="str">
            <v>8715738910010</v>
          </cell>
          <cell r="I172" t="str">
            <v>Seek Pro Foil Board   -   Incl Boardbag</v>
          </cell>
          <cell r="J172" t="str">
            <v>621</v>
          </cell>
          <cell r="K172" t="str">
            <v>Ocean Green</v>
          </cell>
          <cell r="L172" t="str">
            <v>5ft 3in</v>
          </cell>
          <cell r="M172" t="str">
            <v>New</v>
          </cell>
          <cell r="N172" t="str">
            <v xml:space="preserve">North Kite &amp; Foils </v>
          </cell>
          <cell r="P172" t="str">
            <v>85013.2600116215ft 3in</v>
          </cell>
          <cell r="Q172">
            <v>158</v>
          </cell>
          <cell r="R172" t="e">
            <v>#VALUE!</v>
          </cell>
          <cell r="S172" t="e">
            <v>#VALUE!</v>
          </cell>
          <cell r="T172" t="str">
            <v/>
          </cell>
          <cell r="U172" t="str">
            <v/>
          </cell>
          <cell r="V172">
            <v>1327.9720279720279</v>
          </cell>
          <cell r="W172">
            <v>1899</v>
          </cell>
          <cell r="X172">
            <v>1328</v>
          </cell>
          <cell r="Y172">
            <v>1.4299698795180722</v>
          </cell>
          <cell r="Z172">
            <v>995.97902097902102</v>
          </cell>
          <cell r="AA172">
            <v>996</v>
          </cell>
          <cell r="AB172">
            <v>1205.1346153846155</v>
          </cell>
          <cell r="AC172">
            <v>1205.1999999999998</v>
          </cell>
        </row>
        <row r="173">
          <cell r="H173" t="str">
            <v>8715738910027</v>
          </cell>
          <cell r="I173" t="str">
            <v>Seek Pro Foil Board   -   Incl Boardbag</v>
          </cell>
          <cell r="J173" t="str">
            <v>621</v>
          </cell>
          <cell r="K173" t="str">
            <v>Ocean Green</v>
          </cell>
          <cell r="L173" t="str">
            <v>5ft 5in</v>
          </cell>
          <cell r="M173" t="str">
            <v>New</v>
          </cell>
          <cell r="N173" t="str">
            <v xml:space="preserve">North Kite &amp; Foils </v>
          </cell>
          <cell r="P173" t="str">
            <v>85013.2600116215ft 5in</v>
          </cell>
          <cell r="Q173">
            <v>159</v>
          </cell>
          <cell r="R173" t="e">
            <v>#VALUE!</v>
          </cell>
          <cell r="S173" t="e">
            <v>#VALUE!</v>
          </cell>
          <cell r="T173" t="str">
            <v/>
          </cell>
          <cell r="U173" t="str">
            <v/>
          </cell>
          <cell r="V173">
            <v>1362.937062937063</v>
          </cell>
          <cell r="W173">
            <v>1949</v>
          </cell>
          <cell r="X173">
            <v>1363</v>
          </cell>
          <cell r="Y173">
            <v>1.4299339691856199</v>
          </cell>
          <cell r="Z173">
            <v>1022.2027972027972</v>
          </cell>
          <cell r="AA173">
            <v>1022.3000000000001</v>
          </cell>
          <cell r="AB173">
            <v>1236.8653846153845</v>
          </cell>
          <cell r="AC173">
            <v>1236.8999999999999</v>
          </cell>
        </row>
        <row r="174">
          <cell r="H174" t="str">
            <v>8715738911543</v>
          </cell>
          <cell r="I174" t="str">
            <v>Seek Foil Board</v>
          </cell>
          <cell r="J174" t="str">
            <v>621</v>
          </cell>
          <cell r="K174" t="str">
            <v>Ocean Green</v>
          </cell>
          <cell r="L174" t="str">
            <v>5ft 5in</v>
          </cell>
          <cell r="M174" t="str">
            <v>New</v>
          </cell>
          <cell r="N174" t="str">
            <v xml:space="preserve">North Kite &amp; Foils </v>
          </cell>
          <cell r="P174" t="str">
            <v>85013.2600126215ft 5in</v>
          </cell>
          <cell r="Q174">
            <v>160</v>
          </cell>
          <cell r="R174" t="e">
            <v>#VALUE!</v>
          </cell>
          <cell r="S174" t="e">
            <v>#VALUE!</v>
          </cell>
          <cell r="T174" t="str">
            <v/>
          </cell>
          <cell r="U174" t="str">
            <v/>
          </cell>
          <cell r="V174">
            <v>1118.1818181818182</v>
          </cell>
          <cell r="W174">
            <v>1599</v>
          </cell>
          <cell r="X174">
            <v>1118.1999999999998</v>
          </cell>
          <cell r="Y174">
            <v>1.4299767483455557</v>
          </cell>
          <cell r="Z174">
            <v>838.63636363636374</v>
          </cell>
          <cell r="AA174">
            <v>838.7</v>
          </cell>
          <cell r="AB174">
            <v>1014.7500000000001</v>
          </cell>
          <cell r="AC174">
            <v>1014.8000000000001</v>
          </cell>
        </row>
        <row r="175">
          <cell r="H175" t="str">
            <v>8715738911550</v>
          </cell>
          <cell r="I175" t="str">
            <v>Seek Foil Board</v>
          </cell>
          <cell r="J175" t="str">
            <v>621</v>
          </cell>
          <cell r="K175" t="str">
            <v>Ocean Green</v>
          </cell>
          <cell r="L175" t="str">
            <v>5ft 7in</v>
          </cell>
          <cell r="M175" t="str">
            <v>New</v>
          </cell>
          <cell r="N175" t="str">
            <v xml:space="preserve">North Kite &amp; Foils </v>
          </cell>
          <cell r="P175" t="str">
            <v>85013.2600126215ft 7in</v>
          </cell>
          <cell r="Q175">
            <v>161</v>
          </cell>
          <cell r="R175" t="e">
            <v>#VALUE!</v>
          </cell>
          <cell r="S175" t="e">
            <v>#VALUE!</v>
          </cell>
          <cell r="T175" t="str">
            <v/>
          </cell>
          <cell r="U175" t="str">
            <v/>
          </cell>
          <cell r="V175">
            <v>1139.1608391608393</v>
          </cell>
          <cell r="W175">
            <v>1629</v>
          </cell>
          <cell r="X175">
            <v>1139.1999999999998</v>
          </cell>
          <cell r="Y175">
            <v>1.4299508426966294</v>
          </cell>
          <cell r="Z175">
            <v>854.37062937062944</v>
          </cell>
          <cell r="AA175">
            <v>854.4</v>
          </cell>
          <cell r="AB175">
            <v>1033.7884615384617</v>
          </cell>
          <cell r="AC175">
            <v>1033.8</v>
          </cell>
        </row>
        <row r="176">
          <cell r="H176" t="str">
            <v>8715738911567</v>
          </cell>
          <cell r="I176" t="str">
            <v>Seek Foil Board</v>
          </cell>
          <cell r="J176" t="str">
            <v>621</v>
          </cell>
          <cell r="K176" t="str">
            <v>Ocean Green</v>
          </cell>
          <cell r="L176" t="str">
            <v>5ft 9in</v>
          </cell>
          <cell r="M176" t="str">
            <v>New</v>
          </cell>
          <cell r="N176" t="str">
            <v xml:space="preserve">North Kite &amp; Foils </v>
          </cell>
          <cell r="P176" t="str">
            <v>85013.2600126215ft 9in</v>
          </cell>
          <cell r="Q176">
            <v>162</v>
          </cell>
          <cell r="R176" t="e">
            <v>#VALUE!</v>
          </cell>
          <cell r="S176" t="e">
            <v>#VALUE!</v>
          </cell>
          <cell r="T176" t="str">
            <v/>
          </cell>
          <cell r="U176" t="str">
            <v/>
          </cell>
          <cell r="V176">
            <v>1160.1398601398603</v>
          </cell>
          <cell r="W176">
            <v>1659</v>
          </cell>
          <cell r="X176">
            <v>1160.1999999999998</v>
          </cell>
          <cell r="Y176">
            <v>1.4299258748491641</v>
          </cell>
          <cell r="Z176">
            <v>870.10489510489515</v>
          </cell>
          <cell r="AA176">
            <v>870.2</v>
          </cell>
          <cell r="AB176">
            <v>1052.8269230769231</v>
          </cell>
          <cell r="AC176">
            <v>1052.8999999999999</v>
          </cell>
        </row>
        <row r="177">
          <cell r="H177" t="str">
            <v>8715738911574</v>
          </cell>
          <cell r="I177" t="str">
            <v>Seek Foil Board</v>
          </cell>
          <cell r="J177" t="str">
            <v>621</v>
          </cell>
          <cell r="K177" t="str">
            <v>Ocean Green</v>
          </cell>
          <cell r="L177" t="str">
            <v>5ft 11in</v>
          </cell>
          <cell r="M177" t="str">
            <v>New</v>
          </cell>
          <cell r="N177" t="str">
            <v xml:space="preserve">North Kite &amp; Foils </v>
          </cell>
          <cell r="P177" t="str">
            <v>85013.2600126215ft 11in</v>
          </cell>
          <cell r="Q177">
            <v>163</v>
          </cell>
          <cell r="R177" t="e">
            <v>#VALUE!</v>
          </cell>
          <cell r="S177" t="e">
            <v>#VALUE!</v>
          </cell>
          <cell r="T177" t="str">
            <v/>
          </cell>
          <cell r="U177" t="str">
            <v/>
          </cell>
          <cell r="V177">
            <v>1181.1188811188811</v>
          </cell>
          <cell r="W177">
            <v>1689</v>
          </cell>
          <cell r="X177">
            <v>1181.1999999999998</v>
          </cell>
          <cell r="Y177">
            <v>1.4299017947849646</v>
          </cell>
          <cell r="Z177">
            <v>885.83916083916074</v>
          </cell>
          <cell r="AA177">
            <v>885.9</v>
          </cell>
          <cell r="AB177">
            <v>1071.8653846153845</v>
          </cell>
          <cell r="AC177">
            <v>1071.8999999999999</v>
          </cell>
        </row>
        <row r="178">
          <cell r="H178" t="str">
            <v>8715738823068</v>
          </cell>
          <cell r="I178" t="str">
            <v>Seek Air Foil Board</v>
          </cell>
          <cell r="J178" t="str">
            <v>196</v>
          </cell>
          <cell r="K178" t="str">
            <v>Titanium</v>
          </cell>
          <cell r="L178" t="str">
            <v>4ft 10in</v>
          </cell>
          <cell r="M178" t="str">
            <v xml:space="preserve">Carry Over </v>
          </cell>
          <cell r="N178" t="str">
            <v xml:space="preserve">North Kite &amp; Foils </v>
          </cell>
          <cell r="P178" t="str">
            <v>85013.2400151964ft 10in</v>
          </cell>
          <cell r="Q178">
            <v>164</v>
          </cell>
          <cell r="R178">
            <v>0</v>
          </cell>
          <cell r="S178">
            <v>0</v>
          </cell>
          <cell r="T178">
            <v>1125</v>
          </cell>
          <cell r="U178">
            <v>786.80000000000007</v>
          </cell>
          <cell r="V178">
            <v>786.71328671328672</v>
          </cell>
          <cell r="W178">
            <v>1125</v>
          </cell>
          <cell r="X178">
            <v>786.80000000000007</v>
          </cell>
          <cell r="Y178">
            <v>1.4298423995932892</v>
          </cell>
          <cell r="Z178">
            <v>590.03496503496501</v>
          </cell>
          <cell r="AA178">
            <v>590.1</v>
          </cell>
          <cell r="AB178">
            <v>713.94230769230762</v>
          </cell>
          <cell r="AC178">
            <v>714</v>
          </cell>
        </row>
        <row r="179">
          <cell r="H179" t="str">
            <v>8715738823075</v>
          </cell>
          <cell r="I179" t="str">
            <v>Seek Air Foil Board</v>
          </cell>
          <cell r="J179" t="str">
            <v>196</v>
          </cell>
          <cell r="K179" t="str">
            <v>Titanium</v>
          </cell>
          <cell r="L179" t="str">
            <v>5ft 1in</v>
          </cell>
          <cell r="M179" t="str">
            <v xml:space="preserve">Carry Over </v>
          </cell>
          <cell r="N179" t="str">
            <v xml:space="preserve">North Kite &amp; Foils </v>
          </cell>
          <cell r="P179" t="str">
            <v>85013.2400151965ft 1in</v>
          </cell>
          <cell r="Q179">
            <v>165</v>
          </cell>
          <cell r="R179">
            <v>0</v>
          </cell>
          <cell r="S179">
            <v>0</v>
          </cell>
          <cell r="T179">
            <v>1179</v>
          </cell>
          <cell r="U179">
            <v>824.5</v>
          </cell>
          <cell r="V179">
            <v>824.47552447552448</v>
          </cell>
          <cell r="W179">
            <v>1179</v>
          </cell>
          <cell r="X179">
            <v>824.5</v>
          </cell>
          <cell r="Y179">
            <v>1.4299575500303214</v>
          </cell>
          <cell r="Z179">
            <v>618.35664335664342</v>
          </cell>
          <cell r="AA179">
            <v>618.4</v>
          </cell>
          <cell r="AB179">
            <v>748.21153846153857</v>
          </cell>
          <cell r="AC179">
            <v>748.30000000000007</v>
          </cell>
        </row>
        <row r="180">
          <cell r="H180" t="str">
            <v>8715738823082</v>
          </cell>
          <cell r="I180" t="str">
            <v>Seek Air Foil Board</v>
          </cell>
          <cell r="J180" t="str">
            <v>196</v>
          </cell>
          <cell r="K180" t="str">
            <v>Titanium</v>
          </cell>
          <cell r="L180" t="str">
            <v>5ft 5in</v>
          </cell>
          <cell r="M180" t="str">
            <v xml:space="preserve">Carry Over </v>
          </cell>
          <cell r="N180" t="str">
            <v xml:space="preserve">North Kite &amp; Foils </v>
          </cell>
          <cell r="P180" t="str">
            <v>85013.2400151965ft 5in</v>
          </cell>
          <cell r="Q180">
            <v>166</v>
          </cell>
          <cell r="R180">
            <v>0</v>
          </cell>
          <cell r="S180">
            <v>0</v>
          </cell>
          <cell r="T180">
            <v>1229</v>
          </cell>
          <cell r="U180">
            <v>859.5</v>
          </cell>
          <cell r="V180">
            <v>859.44055944055947</v>
          </cell>
          <cell r="W180">
            <v>1229</v>
          </cell>
          <cell r="X180">
            <v>859.5</v>
          </cell>
          <cell r="Y180">
            <v>1.4299011052937753</v>
          </cell>
          <cell r="Z180">
            <v>644.58041958041963</v>
          </cell>
          <cell r="AA180">
            <v>644.6</v>
          </cell>
          <cell r="AB180">
            <v>779.94230769230774</v>
          </cell>
          <cell r="AC180">
            <v>780</v>
          </cell>
        </row>
        <row r="181">
          <cell r="H181" t="str">
            <v>8715738823099</v>
          </cell>
          <cell r="I181" t="str">
            <v>Seek Air Foil Board</v>
          </cell>
          <cell r="J181" t="str">
            <v>196</v>
          </cell>
          <cell r="K181" t="str">
            <v>Titanium</v>
          </cell>
          <cell r="L181" t="str">
            <v>5ft 9in</v>
          </cell>
          <cell r="M181" t="str">
            <v xml:space="preserve">Carry Over </v>
          </cell>
          <cell r="N181" t="str">
            <v xml:space="preserve">North Kite &amp; Foils </v>
          </cell>
          <cell r="P181" t="str">
            <v>85013.2400151965ft 9in</v>
          </cell>
          <cell r="Q181">
            <v>167</v>
          </cell>
          <cell r="R181">
            <v>0</v>
          </cell>
          <cell r="S181">
            <v>0</v>
          </cell>
          <cell r="T181">
            <v>1279</v>
          </cell>
          <cell r="U181">
            <v>894.5</v>
          </cell>
          <cell r="V181">
            <v>894.40559440559446</v>
          </cell>
          <cell r="W181">
            <v>1279</v>
          </cell>
          <cell r="X181">
            <v>894.5</v>
          </cell>
          <cell r="Y181">
            <v>1.4298490776970374</v>
          </cell>
          <cell r="Z181">
            <v>670.80419580419584</v>
          </cell>
          <cell r="AA181">
            <v>670.9</v>
          </cell>
          <cell r="AB181">
            <v>811.67307692307691</v>
          </cell>
          <cell r="AC181">
            <v>811.7</v>
          </cell>
        </row>
        <row r="182">
          <cell r="H182" t="str">
            <v>8715738823105</v>
          </cell>
          <cell r="I182" t="str">
            <v>Seek Air Foil Board</v>
          </cell>
          <cell r="J182" t="str">
            <v>196</v>
          </cell>
          <cell r="K182" t="str">
            <v>Titanium</v>
          </cell>
          <cell r="L182" t="str">
            <v>6ft 2in</v>
          </cell>
          <cell r="M182" t="str">
            <v xml:space="preserve">Carry Over </v>
          </cell>
          <cell r="N182" t="str">
            <v xml:space="preserve">North Kite &amp; Foils </v>
          </cell>
          <cell r="P182" t="str">
            <v>85013.2400151966ft 2in</v>
          </cell>
          <cell r="Q182">
            <v>168</v>
          </cell>
          <cell r="R182">
            <v>0</v>
          </cell>
          <cell r="S182">
            <v>0</v>
          </cell>
          <cell r="T182">
            <v>1329</v>
          </cell>
          <cell r="U182">
            <v>929.4</v>
          </cell>
          <cell r="V182">
            <v>929.37062937062944</v>
          </cell>
          <cell r="W182">
            <v>1329</v>
          </cell>
          <cell r="X182">
            <v>929.4</v>
          </cell>
          <cell r="Y182">
            <v>1.4299548095545513</v>
          </cell>
          <cell r="Z182">
            <v>697.02797202797206</v>
          </cell>
          <cell r="AA182">
            <v>697.1</v>
          </cell>
          <cell r="AB182">
            <v>843.40384615384619</v>
          </cell>
          <cell r="AC182">
            <v>843.5</v>
          </cell>
        </row>
        <row r="183">
          <cell r="H183" t="str">
            <v>8715738849877</v>
          </cell>
          <cell r="I183" t="str">
            <v>Seek Prime Foil Board</v>
          </cell>
          <cell r="J183" t="str">
            <v>196</v>
          </cell>
          <cell r="K183" t="str">
            <v>Titanium</v>
          </cell>
          <cell r="L183" t="str">
            <v>6ft 4in</v>
          </cell>
          <cell r="M183" t="str">
            <v xml:space="preserve">Carry Over </v>
          </cell>
          <cell r="N183" t="str">
            <v xml:space="preserve">North Kite &amp; Foils </v>
          </cell>
          <cell r="P183" t="str">
            <v>85013.2400171966ft 4in</v>
          </cell>
          <cell r="Q183">
            <v>169</v>
          </cell>
          <cell r="R183">
            <v>0</v>
          </cell>
          <cell r="S183">
            <v>0</v>
          </cell>
          <cell r="T183">
            <v>1379</v>
          </cell>
          <cell r="U183">
            <v>964.4</v>
          </cell>
          <cell r="V183">
            <v>964.33566433566443</v>
          </cell>
          <cell r="W183">
            <v>1379</v>
          </cell>
          <cell r="X183">
            <v>964.4</v>
          </cell>
          <cell r="Y183">
            <v>1.4299046038987973</v>
          </cell>
          <cell r="Z183">
            <v>723.25174825174827</v>
          </cell>
          <cell r="AA183">
            <v>723.30000000000007</v>
          </cell>
          <cell r="AB183">
            <v>875.13461538461536</v>
          </cell>
          <cell r="AC183">
            <v>875.2</v>
          </cell>
        </row>
        <row r="184">
          <cell r="H184" t="str">
            <v>8715738849884</v>
          </cell>
          <cell r="I184" t="str">
            <v>Seek Prime Foil Board</v>
          </cell>
          <cell r="J184" t="str">
            <v>196</v>
          </cell>
          <cell r="K184" t="str">
            <v>Titanium</v>
          </cell>
          <cell r="L184" t="str">
            <v>6ft 10in</v>
          </cell>
          <cell r="M184" t="str">
            <v xml:space="preserve">Carry Over </v>
          </cell>
          <cell r="N184" t="str">
            <v xml:space="preserve">North Kite &amp; Foils </v>
          </cell>
          <cell r="P184" t="str">
            <v>85013.2400171966ft 10in</v>
          </cell>
          <cell r="Q184">
            <v>170</v>
          </cell>
          <cell r="R184">
            <v>0</v>
          </cell>
          <cell r="S184">
            <v>0</v>
          </cell>
          <cell r="T184">
            <v>1429</v>
          </cell>
          <cell r="U184">
            <v>999.4</v>
          </cell>
          <cell r="V184">
            <v>999.30069930069931</v>
          </cell>
          <cell r="W184">
            <v>1429</v>
          </cell>
          <cell r="X184">
            <v>999.4</v>
          </cell>
          <cell r="Y184">
            <v>1.4298579147488493</v>
          </cell>
          <cell r="Z184">
            <v>749.47552447552448</v>
          </cell>
          <cell r="AA184">
            <v>749.5</v>
          </cell>
          <cell r="AB184">
            <v>906.86538461538464</v>
          </cell>
          <cell r="AC184">
            <v>906.9</v>
          </cell>
        </row>
        <row r="185">
          <cell r="H185" t="str">
            <v>8715738889095</v>
          </cell>
          <cell r="I185" t="str">
            <v>Vector Race Foil Board</v>
          </cell>
          <cell r="J185" t="str">
            <v>250</v>
          </cell>
          <cell r="K185" t="str">
            <v>Yellow</v>
          </cell>
          <cell r="L185" t="str">
            <v>4ft 7in</v>
          </cell>
          <cell r="M185" t="str">
            <v xml:space="preserve">Carry Over </v>
          </cell>
          <cell r="N185" t="str">
            <v xml:space="preserve">North Kite &amp; Foils </v>
          </cell>
          <cell r="P185" t="str">
            <v>85013.2501702504ft 7in</v>
          </cell>
          <cell r="Q185">
            <v>171</v>
          </cell>
          <cell r="R185">
            <v>0</v>
          </cell>
          <cell r="S185">
            <v>0</v>
          </cell>
          <cell r="T185">
            <v>1789</v>
          </cell>
          <cell r="U185">
            <v>1251.0999999999999</v>
          </cell>
          <cell r="V185">
            <v>1251.048951048951</v>
          </cell>
          <cell r="W185">
            <v>1789</v>
          </cell>
          <cell r="X185">
            <v>1251.0999999999999</v>
          </cell>
          <cell r="Y185">
            <v>1.4299416513468148</v>
          </cell>
          <cell r="Z185">
            <v>938.28671328671328</v>
          </cell>
          <cell r="AA185">
            <v>938.30000000000007</v>
          </cell>
          <cell r="AB185">
            <v>1135.3269230769231</v>
          </cell>
          <cell r="AC185">
            <v>1135.3999999999999</v>
          </cell>
        </row>
        <row r="186">
          <cell r="H186" t="str">
            <v>8715738889101</v>
          </cell>
          <cell r="I186" t="str">
            <v>Vector Race Foil Board</v>
          </cell>
          <cell r="J186" t="str">
            <v>250</v>
          </cell>
          <cell r="K186" t="str">
            <v>Yellow</v>
          </cell>
          <cell r="L186" t="str">
            <v>5ft 0in</v>
          </cell>
          <cell r="M186" t="str">
            <v xml:space="preserve">Carry Over </v>
          </cell>
          <cell r="N186" t="str">
            <v xml:space="preserve">North Kite &amp; Foils </v>
          </cell>
          <cell r="P186" t="str">
            <v>85013.2501702505ft 0in</v>
          </cell>
          <cell r="Q186">
            <v>172</v>
          </cell>
          <cell r="R186">
            <v>0</v>
          </cell>
          <cell r="S186">
            <v>0</v>
          </cell>
          <cell r="T186">
            <v>1839</v>
          </cell>
          <cell r="U186">
            <v>1286.0999999999999</v>
          </cell>
          <cell r="V186">
            <v>1286.0139860139861</v>
          </cell>
          <cell r="W186">
            <v>1839</v>
          </cell>
          <cell r="X186">
            <v>1286.0999999999999</v>
          </cell>
          <cell r="Y186">
            <v>1.429904362024726</v>
          </cell>
          <cell r="Z186">
            <v>964.51048951048961</v>
          </cell>
          <cell r="AA186">
            <v>964.6</v>
          </cell>
          <cell r="AB186">
            <v>1167.0576923076924</v>
          </cell>
          <cell r="AC186">
            <v>1167.0999999999999</v>
          </cell>
        </row>
        <row r="187">
          <cell r="H187" t="str">
            <v>8715738889118</v>
          </cell>
          <cell r="I187" t="str">
            <v>Vector Race Foil Board</v>
          </cell>
          <cell r="J187" t="str">
            <v>250</v>
          </cell>
          <cell r="K187" t="str">
            <v>Yellow</v>
          </cell>
          <cell r="L187" t="str">
            <v>5ft 4in</v>
          </cell>
          <cell r="M187" t="str">
            <v xml:space="preserve">Carry Over </v>
          </cell>
          <cell r="N187" t="str">
            <v xml:space="preserve">North Kite &amp; Foils </v>
          </cell>
          <cell r="P187" t="str">
            <v>85013.2501702505ft 4in</v>
          </cell>
          <cell r="Q187">
            <v>173</v>
          </cell>
          <cell r="R187">
            <v>0</v>
          </cell>
          <cell r="S187">
            <v>0</v>
          </cell>
          <cell r="T187">
            <v>1895</v>
          </cell>
          <cell r="U187">
            <v>1325.1999999999998</v>
          </cell>
          <cell r="V187">
            <v>1325.1748251748252</v>
          </cell>
          <cell r="W187">
            <v>1895</v>
          </cell>
          <cell r="X187">
            <v>1325.1999999999998</v>
          </cell>
          <cell r="Y187">
            <v>1.429972834289164</v>
          </cell>
          <cell r="Z187">
            <v>993.88111888111894</v>
          </cell>
          <cell r="AA187">
            <v>993.9</v>
          </cell>
          <cell r="AB187">
            <v>1202.5961538461538</v>
          </cell>
          <cell r="AC187">
            <v>1202.5999999999999</v>
          </cell>
        </row>
        <row r="188">
          <cell r="H188" t="str">
            <v>8715738912267</v>
          </cell>
          <cell r="I188" t="str">
            <v>Boost Foil Board</v>
          </cell>
          <cell r="J188" t="str">
            <v>621</v>
          </cell>
          <cell r="K188" t="str">
            <v>Ocean Green</v>
          </cell>
          <cell r="L188" t="str">
            <v>4ft 9in</v>
          </cell>
          <cell r="M188" t="str">
            <v>New sizes</v>
          </cell>
          <cell r="N188" t="str">
            <v xml:space="preserve">North Kite &amp; Foils </v>
          </cell>
          <cell r="P188" t="str">
            <v>85013.2601656214ft 9in</v>
          </cell>
          <cell r="Q188">
            <v>174</v>
          </cell>
          <cell r="R188" t="e">
            <v>#VALUE!</v>
          </cell>
          <cell r="S188" t="e">
            <v>#VALUE!</v>
          </cell>
          <cell r="T188" t="str">
            <v/>
          </cell>
          <cell r="U188" t="str">
            <v/>
          </cell>
          <cell r="V188">
            <v>1006.2937062937064</v>
          </cell>
          <cell r="W188">
            <v>1439</v>
          </cell>
          <cell r="X188">
            <v>1006.3000000000001</v>
          </cell>
          <cell r="Y188">
            <v>1.4299910563450262</v>
          </cell>
          <cell r="Z188">
            <v>754.72027972027979</v>
          </cell>
          <cell r="AA188">
            <v>754.80000000000007</v>
          </cell>
          <cell r="AB188">
            <v>913.21153846153857</v>
          </cell>
          <cell r="AC188">
            <v>913.30000000000007</v>
          </cell>
        </row>
        <row r="189">
          <cell r="H189" t="str">
            <v>8715738911840</v>
          </cell>
          <cell r="I189" t="str">
            <v>Boost Foil Board</v>
          </cell>
          <cell r="J189" t="str">
            <v>621</v>
          </cell>
          <cell r="K189" t="str">
            <v>Ocean Green</v>
          </cell>
          <cell r="L189" t="str">
            <v>5ft 0in</v>
          </cell>
          <cell r="M189" t="str">
            <v>New sizes</v>
          </cell>
          <cell r="N189" t="str">
            <v xml:space="preserve">North Kite &amp; Foils </v>
          </cell>
          <cell r="P189" t="str">
            <v>85013.2601656215ft 0in</v>
          </cell>
          <cell r="Q189">
            <v>175</v>
          </cell>
          <cell r="R189" t="e">
            <v>#VALUE!</v>
          </cell>
          <cell r="S189" t="e">
            <v>#VALUE!</v>
          </cell>
          <cell r="T189" t="str">
            <v/>
          </cell>
          <cell r="U189" t="str">
            <v/>
          </cell>
          <cell r="V189">
            <v>1020.2797202797203</v>
          </cell>
          <cell r="W189">
            <v>1459</v>
          </cell>
          <cell r="X189">
            <v>1020.3000000000001</v>
          </cell>
          <cell r="Y189">
            <v>1.4299715769871606</v>
          </cell>
          <cell r="Z189">
            <v>765.2097902097903</v>
          </cell>
          <cell r="AA189">
            <v>765.30000000000007</v>
          </cell>
          <cell r="AB189">
            <v>925.90384615384619</v>
          </cell>
          <cell r="AC189">
            <v>926</v>
          </cell>
        </row>
        <row r="190">
          <cell r="H190" t="str">
            <v>8715738899032</v>
          </cell>
          <cell r="I190" t="str">
            <v>Boost Foil Board</v>
          </cell>
          <cell r="J190" t="str">
            <v>621</v>
          </cell>
          <cell r="K190" t="str">
            <v>Ocean Green</v>
          </cell>
          <cell r="L190" t="str">
            <v>5ft 3in</v>
          </cell>
          <cell r="M190" t="str">
            <v xml:space="preserve">Carry Over </v>
          </cell>
          <cell r="N190" t="str">
            <v xml:space="preserve">North Kite &amp; Foils </v>
          </cell>
          <cell r="P190" t="str">
            <v>85013.2601656215ft 3in</v>
          </cell>
          <cell r="Q190">
            <v>176</v>
          </cell>
          <cell r="R190">
            <v>20</v>
          </cell>
          <cell r="S190">
            <v>20</v>
          </cell>
          <cell r="T190">
            <v>1459</v>
          </cell>
          <cell r="U190">
            <v>1020.3000000000001</v>
          </cell>
          <cell r="V190">
            <v>1034.2657342657344</v>
          </cell>
          <cell r="W190">
            <v>1479</v>
          </cell>
          <cell r="X190">
            <v>1034.3</v>
          </cell>
          <cell r="Y190">
            <v>1.4299526249637438</v>
          </cell>
          <cell r="Z190">
            <v>775.69930069930081</v>
          </cell>
          <cell r="AA190">
            <v>775.7</v>
          </cell>
          <cell r="AB190">
            <v>938.59615384615392</v>
          </cell>
          <cell r="AC190">
            <v>938.6</v>
          </cell>
        </row>
        <row r="191">
          <cell r="H191" t="str">
            <v>8715738899049</v>
          </cell>
          <cell r="I191" t="str">
            <v>Boost Foil Board</v>
          </cell>
          <cell r="J191" t="str">
            <v>621</v>
          </cell>
          <cell r="K191" t="str">
            <v>Ocean Green</v>
          </cell>
          <cell r="L191" t="str">
            <v>5ft 6in</v>
          </cell>
          <cell r="M191" t="str">
            <v xml:space="preserve">Carry Over </v>
          </cell>
          <cell r="N191" t="str">
            <v xml:space="preserve">North Kite &amp; Foils </v>
          </cell>
          <cell r="P191" t="str">
            <v>85013.2601656215ft 6in</v>
          </cell>
          <cell r="Q191">
            <v>177</v>
          </cell>
          <cell r="R191">
            <v>20</v>
          </cell>
          <cell r="S191">
            <v>20</v>
          </cell>
          <cell r="T191">
            <v>1479</v>
          </cell>
          <cell r="U191">
            <v>1034.3</v>
          </cell>
          <cell r="V191">
            <v>1048.2517482517483</v>
          </cell>
          <cell r="W191">
            <v>1499</v>
          </cell>
          <cell r="X191">
            <v>1048.3</v>
          </cell>
          <cell r="Y191">
            <v>1.4299341791471907</v>
          </cell>
          <cell r="Z191">
            <v>786.1888111888112</v>
          </cell>
          <cell r="AA191">
            <v>786.2</v>
          </cell>
          <cell r="AB191">
            <v>951.28846153846155</v>
          </cell>
          <cell r="AC191">
            <v>951.30000000000007</v>
          </cell>
        </row>
        <row r="192">
          <cell r="H192" t="str">
            <v>8715738890442</v>
          </cell>
          <cell r="I192" t="str">
            <v>Vert Prone Foil Board</v>
          </cell>
          <cell r="J192" t="str">
            <v>196</v>
          </cell>
          <cell r="K192" t="str">
            <v>Titanium</v>
          </cell>
          <cell r="L192" t="str">
            <v>3ft 8in</v>
          </cell>
          <cell r="M192" t="str">
            <v xml:space="preserve">Carry Over </v>
          </cell>
          <cell r="N192" t="str">
            <v xml:space="preserve">North Kite &amp; Foils </v>
          </cell>
          <cell r="P192" t="str">
            <v>85013.2400181963ft 8in</v>
          </cell>
          <cell r="Q192">
            <v>178</v>
          </cell>
          <cell r="R192">
            <v>0</v>
          </cell>
          <cell r="S192">
            <v>0</v>
          </cell>
          <cell r="T192">
            <v>1229</v>
          </cell>
          <cell r="U192">
            <v>859.5</v>
          </cell>
          <cell r="V192">
            <v>859.44055944055947</v>
          </cell>
          <cell r="W192">
            <v>1229</v>
          </cell>
          <cell r="X192">
            <v>859.5</v>
          </cell>
          <cell r="Y192">
            <v>1.4299011052937753</v>
          </cell>
          <cell r="Z192">
            <v>644.58041958041963</v>
          </cell>
          <cell r="AA192">
            <v>644.6</v>
          </cell>
          <cell r="AB192">
            <v>779.94230769230774</v>
          </cell>
          <cell r="AC192">
            <v>780</v>
          </cell>
        </row>
        <row r="193">
          <cell r="H193" t="str">
            <v>8715738859463</v>
          </cell>
          <cell r="I193" t="str">
            <v>Vert Prone Foil Board</v>
          </cell>
          <cell r="J193" t="str">
            <v>196</v>
          </cell>
          <cell r="K193" t="str">
            <v>Titanium</v>
          </cell>
          <cell r="L193" t="str">
            <v>4ft 2in</v>
          </cell>
          <cell r="M193" t="str">
            <v xml:space="preserve">Carry Over </v>
          </cell>
          <cell r="N193" t="str">
            <v xml:space="preserve">North Kite &amp; Foils </v>
          </cell>
          <cell r="P193" t="str">
            <v>85013.2400181964ft 2in</v>
          </cell>
          <cell r="Q193">
            <v>179</v>
          </cell>
          <cell r="R193">
            <v>0</v>
          </cell>
          <cell r="S193">
            <v>0</v>
          </cell>
          <cell r="T193">
            <v>1279</v>
          </cell>
          <cell r="U193">
            <v>894.5</v>
          </cell>
          <cell r="V193">
            <v>894.40559440559446</v>
          </cell>
          <cell r="W193">
            <v>1279</v>
          </cell>
          <cell r="X193">
            <v>894.5</v>
          </cell>
          <cell r="Y193">
            <v>1.4298490776970374</v>
          </cell>
          <cell r="Z193">
            <v>670.80419580419584</v>
          </cell>
          <cell r="AA193">
            <v>670.9</v>
          </cell>
          <cell r="AB193">
            <v>811.67307692307691</v>
          </cell>
          <cell r="AC193">
            <v>811.7</v>
          </cell>
        </row>
        <row r="194">
          <cell r="H194" t="str">
            <v>8715738859470</v>
          </cell>
          <cell r="I194" t="str">
            <v>Vert Prone Foil Board</v>
          </cell>
          <cell r="J194" t="str">
            <v>196</v>
          </cell>
          <cell r="K194" t="str">
            <v>Titanium</v>
          </cell>
          <cell r="L194" t="str">
            <v>4ft 5in</v>
          </cell>
          <cell r="M194" t="str">
            <v xml:space="preserve">Carry Over </v>
          </cell>
          <cell r="N194" t="str">
            <v xml:space="preserve">North Kite &amp; Foils </v>
          </cell>
          <cell r="P194" t="str">
            <v>85013.2400181964ft 5in</v>
          </cell>
          <cell r="Q194">
            <v>180</v>
          </cell>
          <cell r="R194">
            <v>0</v>
          </cell>
          <cell r="S194">
            <v>0</v>
          </cell>
          <cell r="T194">
            <v>1329</v>
          </cell>
          <cell r="U194">
            <v>929.4</v>
          </cell>
          <cell r="V194">
            <v>929.37062937062944</v>
          </cell>
          <cell r="W194">
            <v>1329</v>
          </cell>
          <cell r="X194">
            <v>929.4</v>
          </cell>
          <cell r="Y194">
            <v>1.4299548095545513</v>
          </cell>
          <cell r="Z194">
            <v>697.02797202797206</v>
          </cell>
          <cell r="AA194">
            <v>697.1</v>
          </cell>
          <cell r="AB194">
            <v>843.40384615384619</v>
          </cell>
          <cell r="AC194">
            <v>843.5</v>
          </cell>
        </row>
        <row r="195">
          <cell r="H195" t="str">
            <v>8715738911826</v>
          </cell>
          <cell r="I195" t="str">
            <v>Vert Prone Foil Board</v>
          </cell>
          <cell r="J195" t="str">
            <v>196</v>
          </cell>
          <cell r="K195" t="str">
            <v>Titanium</v>
          </cell>
          <cell r="L195" t="str">
            <v>4ft 10in</v>
          </cell>
          <cell r="M195" t="str">
            <v>New sizes</v>
          </cell>
          <cell r="N195" t="str">
            <v xml:space="preserve">North Kite &amp; Foils </v>
          </cell>
          <cell r="P195" t="str">
            <v>85013.2400181964ft 10in</v>
          </cell>
          <cell r="Q195">
            <v>181</v>
          </cell>
          <cell r="R195" t="e">
            <v>#VALUE!</v>
          </cell>
          <cell r="S195" t="e">
            <v>#VALUE!</v>
          </cell>
          <cell r="T195" t="str">
            <v/>
          </cell>
          <cell r="U195" t="str">
            <v/>
          </cell>
          <cell r="V195">
            <v>964.33566433566443</v>
          </cell>
          <cell r="W195">
            <v>1379</v>
          </cell>
          <cell r="X195">
            <v>964.4</v>
          </cell>
          <cell r="Y195">
            <v>1.4299046038987973</v>
          </cell>
          <cell r="Z195">
            <v>723.25174825174827</v>
          </cell>
          <cell r="AA195">
            <v>723.30000000000007</v>
          </cell>
          <cell r="AB195">
            <v>875.13461538461536</v>
          </cell>
          <cell r="AC195">
            <v>875.2</v>
          </cell>
        </row>
        <row r="196">
          <cell r="H196" t="str">
            <v>8715738910317</v>
          </cell>
          <cell r="I196" t="str">
            <v>Echo Pro</v>
          </cell>
          <cell r="J196" t="str">
            <v>621</v>
          </cell>
          <cell r="K196" t="str">
            <v>Ocean Green</v>
          </cell>
          <cell r="L196" t="str">
            <v>120cm</v>
          </cell>
          <cell r="M196" t="str">
            <v>New</v>
          </cell>
          <cell r="N196" t="str">
            <v xml:space="preserve">North Kite &amp; Foils </v>
          </cell>
          <cell r="P196" t="str">
            <v>85013.260008621120cm</v>
          </cell>
          <cell r="Q196">
            <v>182</v>
          </cell>
          <cell r="R196" t="e">
            <v>#VALUE!</v>
          </cell>
          <cell r="S196" t="e">
            <v>#VALUE!</v>
          </cell>
          <cell r="T196" t="str">
            <v/>
          </cell>
          <cell r="U196" t="str">
            <v/>
          </cell>
          <cell r="V196">
            <v>873.42657342657344</v>
          </cell>
          <cell r="W196">
            <v>1249</v>
          </cell>
          <cell r="X196">
            <v>873.5</v>
          </cell>
          <cell r="Y196">
            <v>1.4298797939324557</v>
          </cell>
          <cell r="Z196">
            <v>655.06993006993002</v>
          </cell>
          <cell r="AA196">
            <v>655.1</v>
          </cell>
          <cell r="AB196">
            <v>792.63461538461536</v>
          </cell>
          <cell r="AC196">
            <v>792.7</v>
          </cell>
        </row>
        <row r="197">
          <cell r="H197" t="str">
            <v>8715738910324</v>
          </cell>
          <cell r="I197" t="str">
            <v>Echo Pro</v>
          </cell>
          <cell r="J197" t="str">
            <v>621</v>
          </cell>
          <cell r="K197" t="str">
            <v>Ocean Green</v>
          </cell>
          <cell r="L197" t="str">
            <v>135cm</v>
          </cell>
          <cell r="M197" t="str">
            <v>New</v>
          </cell>
          <cell r="N197" t="str">
            <v xml:space="preserve">North Kite &amp; Foils </v>
          </cell>
          <cell r="P197" t="str">
            <v>85013.260008621135cm</v>
          </cell>
          <cell r="Q197">
            <v>183</v>
          </cell>
          <cell r="R197" t="e">
            <v>#VALUE!</v>
          </cell>
          <cell r="S197" t="e">
            <v>#VALUE!</v>
          </cell>
          <cell r="T197" t="str">
            <v/>
          </cell>
          <cell r="U197" t="str">
            <v/>
          </cell>
          <cell r="V197">
            <v>908.39160839160843</v>
          </cell>
          <cell r="W197">
            <v>1299</v>
          </cell>
          <cell r="X197">
            <v>908.4</v>
          </cell>
          <cell r="Y197">
            <v>1.42998678996037</v>
          </cell>
          <cell r="Z197">
            <v>681.29370629370635</v>
          </cell>
          <cell r="AA197">
            <v>681.30000000000007</v>
          </cell>
          <cell r="AB197">
            <v>824.36538461538464</v>
          </cell>
          <cell r="AC197">
            <v>824.4</v>
          </cell>
        </row>
        <row r="198">
          <cell r="H198" t="str">
            <v>8715738909762</v>
          </cell>
          <cell r="I198" t="str">
            <v>Nova Pro Wing</v>
          </cell>
          <cell r="J198" t="str">
            <v>100</v>
          </cell>
          <cell r="K198" t="str">
            <v>White</v>
          </cell>
          <cell r="L198" t="str">
            <v>2.2m</v>
          </cell>
          <cell r="M198" t="str">
            <v>New</v>
          </cell>
          <cell r="N198" t="str">
            <v xml:space="preserve">North Kite &amp; Foils </v>
          </cell>
          <cell r="P198" t="str">
            <v>85014.2600081002.2m</v>
          </cell>
          <cell r="Q198">
            <v>184</v>
          </cell>
          <cell r="R198" t="e">
            <v>#VALUE!</v>
          </cell>
          <cell r="S198" t="e">
            <v>#VALUE!</v>
          </cell>
          <cell r="T198" t="str">
            <v/>
          </cell>
          <cell r="U198" t="str">
            <v/>
          </cell>
          <cell r="V198">
            <v>728.38709677419354</v>
          </cell>
          <cell r="W198">
            <v>1129</v>
          </cell>
          <cell r="X198">
            <v>728.4</v>
          </cell>
          <cell r="Y198">
            <v>1.5499725425590336</v>
          </cell>
          <cell r="Z198">
            <v>473.45161290322579</v>
          </cell>
          <cell r="AA198">
            <v>473.5</v>
          </cell>
          <cell r="AB198">
            <v>572.87645161290322</v>
          </cell>
          <cell r="AC198">
            <v>572.9</v>
          </cell>
        </row>
        <row r="199">
          <cell r="H199" t="str">
            <v>8715738909779</v>
          </cell>
          <cell r="I199" t="str">
            <v>Nova Pro Wing</v>
          </cell>
          <cell r="J199" t="str">
            <v>100</v>
          </cell>
          <cell r="K199" t="str">
            <v>White</v>
          </cell>
          <cell r="L199" t="str">
            <v>2.9m</v>
          </cell>
          <cell r="M199" t="str">
            <v>New</v>
          </cell>
          <cell r="N199" t="str">
            <v xml:space="preserve">North Kite &amp; Foils </v>
          </cell>
          <cell r="P199" t="str">
            <v>85014.2600081002.9m</v>
          </cell>
          <cell r="Q199">
            <v>185</v>
          </cell>
          <cell r="R199" t="e">
            <v>#VALUE!</v>
          </cell>
          <cell r="S199" t="e">
            <v>#VALUE!</v>
          </cell>
          <cell r="T199" t="str">
            <v/>
          </cell>
          <cell r="U199" t="str">
            <v/>
          </cell>
          <cell r="V199">
            <v>760.64516129032256</v>
          </cell>
          <cell r="W199">
            <v>1179</v>
          </cell>
          <cell r="X199">
            <v>760.7</v>
          </cell>
          <cell r="Y199">
            <v>1.5498882608124096</v>
          </cell>
          <cell r="Z199">
            <v>494.41935483870969</v>
          </cell>
          <cell r="AA199">
            <v>494.5</v>
          </cell>
          <cell r="AB199">
            <v>598.24741935483871</v>
          </cell>
          <cell r="AC199">
            <v>598.30000000000007</v>
          </cell>
        </row>
        <row r="200">
          <cell r="H200" t="str">
            <v>8715738909786</v>
          </cell>
          <cell r="I200" t="str">
            <v>Nova Pro Wing</v>
          </cell>
          <cell r="J200" t="str">
            <v>100</v>
          </cell>
          <cell r="K200" t="str">
            <v>White</v>
          </cell>
          <cell r="L200" t="str">
            <v>3.5m</v>
          </cell>
          <cell r="M200" t="str">
            <v>New</v>
          </cell>
          <cell r="N200" t="str">
            <v xml:space="preserve">North Kite &amp; Foils </v>
          </cell>
          <cell r="P200" t="str">
            <v>85014.2600081003.5m</v>
          </cell>
          <cell r="Q200">
            <v>186</v>
          </cell>
          <cell r="R200" t="e">
            <v>#VALUE!</v>
          </cell>
          <cell r="S200" t="e">
            <v>#VALUE!</v>
          </cell>
          <cell r="T200" t="str">
            <v/>
          </cell>
          <cell r="U200" t="str">
            <v/>
          </cell>
          <cell r="V200">
            <v>825.16129032258061</v>
          </cell>
          <cell r="W200">
            <v>1279</v>
          </cell>
          <cell r="X200">
            <v>825.2</v>
          </cell>
          <cell r="Y200">
            <v>1.5499272903538535</v>
          </cell>
          <cell r="Z200">
            <v>536.35483870967744</v>
          </cell>
          <cell r="AA200">
            <v>536.4</v>
          </cell>
          <cell r="AB200">
            <v>648.98935483870969</v>
          </cell>
          <cell r="AC200">
            <v>649</v>
          </cell>
        </row>
        <row r="201">
          <cell r="H201" t="str">
            <v>8715738909793</v>
          </cell>
          <cell r="I201" t="str">
            <v>Nova Pro Wing</v>
          </cell>
          <cell r="J201" t="str">
            <v>100</v>
          </cell>
          <cell r="K201" t="str">
            <v>White</v>
          </cell>
          <cell r="L201" t="str">
            <v>4.2m</v>
          </cell>
          <cell r="M201" t="str">
            <v>New</v>
          </cell>
          <cell r="N201" t="str">
            <v xml:space="preserve">North Kite &amp; Foils </v>
          </cell>
          <cell r="P201" t="str">
            <v>85014.2600081004.2m</v>
          </cell>
          <cell r="Q201">
            <v>187</v>
          </cell>
          <cell r="R201" t="e">
            <v>#VALUE!</v>
          </cell>
          <cell r="S201" t="e">
            <v>#VALUE!</v>
          </cell>
          <cell r="T201" t="str">
            <v/>
          </cell>
          <cell r="U201" t="str">
            <v/>
          </cell>
          <cell r="V201">
            <v>889.67741935483866</v>
          </cell>
          <cell r="W201">
            <v>1379</v>
          </cell>
          <cell r="X201">
            <v>889.7</v>
          </cell>
          <cell r="Y201">
            <v>1.5499606608969314</v>
          </cell>
          <cell r="Z201">
            <v>578.29032258064512</v>
          </cell>
          <cell r="AA201">
            <v>578.30000000000007</v>
          </cell>
          <cell r="AB201">
            <v>699.73129032258055</v>
          </cell>
          <cell r="AC201">
            <v>699.80000000000007</v>
          </cell>
        </row>
        <row r="202">
          <cell r="H202" t="str">
            <v>8715738909809</v>
          </cell>
          <cell r="I202" t="str">
            <v>Nova Pro Wing</v>
          </cell>
          <cell r="J202" t="str">
            <v>100</v>
          </cell>
          <cell r="K202" t="str">
            <v>White</v>
          </cell>
          <cell r="L202" t="str">
            <v>4.8m</v>
          </cell>
          <cell r="M202" t="str">
            <v>New</v>
          </cell>
          <cell r="N202" t="str">
            <v xml:space="preserve">North Kite &amp; Foils </v>
          </cell>
          <cell r="P202" t="str">
            <v>85014.2600081004.8m</v>
          </cell>
          <cell r="Q202">
            <v>188</v>
          </cell>
          <cell r="R202" t="e">
            <v>#VALUE!</v>
          </cell>
          <cell r="S202" t="e">
            <v>#VALUE!</v>
          </cell>
          <cell r="T202" t="str">
            <v/>
          </cell>
          <cell r="U202" t="str">
            <v/>
          </cell>
          <cell r="V202">
            <v>915.48387096774195</v>
          </cell>
          <cell r="W202">
            <v>1419</v>
          </cell>
          <cell r="X202">
            <v>915.5</v>
          </cell>
          <cell r="Y202">
            <v>1.5499726925177499</v>
          </cell>
          <cell r="Z202">
            <v>595.06451612903231</v>
          </cell>
          <cell r="AA202">
            <v>595.1</v>
          </cell>
          <cell r="AB202">
            <v>720.02806451612912</v>
          </cell>
          <cell r="AC202">
            <v>720.1</v>
          </cell>
        </row>
        <row r="203">
          <cell r="H203" t="str">
            <v>8715738909816</v>
          </cell>
          <cell r="I203" t="str">
            <v>Nova Pro Wing</v>
          </cell>
          <cell r="J203" t="str">
            <v>100</v>
          </cell>
          <cell r="K203" t="str">
            <v>White</v>
          </cell>
          <cell r="L203" t="str">
            <v>5.4m</v>
          </cell>
          <cell r="M203" t="str">
            <v>New</v>
          </cell>
          <cell r="N203" t="str">
            <v xml:space="preserve">North Kite &amp; Foils </v>
          </cell>
          <cell r="P203" t="str">
            <v>85014.2600081005.4m</v>
          </cell>
          <cell r="Q203">
            <v>189</v>
          </cell>
          <cell r="R203" t="e">
            <v>#VALUE!</v>
          </cell>
          <cell r="S203" t="e">
            <v>#VALUE!</v>
          </cell>
          <cell r="T203" t="str">
            <v/>
          </cell>
          <cell r="U203" t="str">
            <v/>
          </cell>
          <cell r="V203">
            <v>921.93548387096769</v>
          </cell>
          <cell r="W203">
            <v>1429</v>
          </cell>
          <cell r="X203">
            <v>922</v>
          </cell>
          <cell r="Y203">
            <v>1.5498915401301518</v>
          </cell>
          <cell r="Z203">
            <v>599.25806451612902</v>
          </cell>
          <cell r="AA203">
            <v>599.30000000000007</v>
          </cell>
          <cell r="AB203">
            <v>725.10225806451615</v>
          </cell>
          <cell r="AC203">
            <v>725.2</v>
          </cell>
        </row>
        <row r="204">
          <cell r="H204" t="str">
            <v>8715738909823</v>
          </cell>
          <cell r="I204" t="str">
            <v>Nova Pro Wing</v>
          </cell>
          <cell r="J204" t="str">
            <v>100</v>
          </cell>
          <cell r="K204" t="str">
            <v>White</v>
          </cell>
          <cell r="L204" t="str">
            <v>6.2m</v>
          </cell>
          <cell r="M204" t="str">
            <v>New</v>
          </cell>
          <cell r="N204" t="str">
            <v xml:space="preserve">North Kite &amp; Foils </v>
          </cell>
          <cell r="P204" t="str">
            <v>85014.2600081006.2m</v>
          </cell>
          <cell r="Q204">
            <v>190</v>
          </cell>
          <cell r="R204" t="e">
            <v>#VALUE!</v>
          </cell>
          <cell r="S204" t="e">
            <v>#VALUE!</v>
          </cell>
          <cell r="T204" t="str">
            <v/>
          </cell>
          <cell r="U204" t="str">
            <v/>
          </cell>
          <cell r="V204">
            <v>947.74193548387098</v>
          </cell>
          <cell r="W204">
            <v>1469</v>
          </cell>
          <cell r="X204">
            <v>947.80000000000007</v>
          </cell>
          <cell r="Y204">
            <v>1.5499050432580712</v>
          </cell>
          <cell r="Z204">
            <v>616.0322580645161</v>
          </cell>
          <cell r="AA204">
            <v>616.1</v>
          </cell>
          <cell r="AB204">
            <v>745.39903225806449</v>
          </cell>
          <cell r="AC204">
            <v>745.4</v>
          </cell>
        </row>
        <row r="205">
          <cell r="H205" t="str">
            <v>8715738909625</v>
          </cell>
          <cell r="I205" t="str">
            <v>Nova Wing</v>
          </cell>
          <cell r="J205" t="str">
            <v>200</v>
          </cell>
          <cell r="K205" t="str">
            <v>Orange</v>
          </cell>
          <cell r="L205" t="str">
            <v>4.2m</v>
          </cell>
          <cell r="M205" t="str">
            <v>New</v>
          </cell>
          <cell r="N205" t="str">
            <v xml:space="preserve">North Kite &amp; Foils </v>
          </cell>
          <cell r="P205" t="str">
            <v>85014.2600052004.2m</v>
          </cell>
          <cell r="Q205">
            <v>191</v>
          </cell>
          <cell r="R205" t="e">
            <v>#VALUE!</v>
          </cell>
          <cell r="S205" t="e">
            <v>#VALUE!</v>
          </cell>
          <cell r="T205" t="str">
            <v/>
          </cell>
          <cell r="U205" t="str">
            <v/>
          </cell>
          <cell r="V205">
            <v>773.54838709677415</v>
          </cell>
          <cell r="W205">
            <v>1199</v>
          </cell>
          <cell r="X205">
            <v>773.6</v>
          </cell>
          <cell r="Y205">
            <v>1.5498965873836608</v>
          </cell>
          <cell r="Z205">
            <v>502.80645161290323</v>
          </cell>
          <cell r="AA205">
            <v>502.90000000000003</v>
          </cell>
          <cell r="AB205">
            <v>608.39580645161288</v>
          </cell>
          <cell r="AC205">
            <v>608.4</v>
          </cell>
        </row>
        <row r="206">
          <cell r="H206" t="str">
            <v>8715738909632</v>
          </cell>
          <cell r="I206" t="str">
            <v>Nova Wing</v>
          </cell>
          <cell r="J206" t="str">
            <v>200</v>
          </cell>
          <cell r="K206" t="str">
            <v>Orange</v>
          </cell>
          <cell r="L206" t="str">
            <v>4.8m</v>
          </cell>
          <cell r="M206" t="str">
            <v>New</v>
          </cell>
          <cell r="N206" t="str">
            <v xml:space="preserve">North Kite &amp; Foils </v>
          </cell>
          <cell r="P206" t="str">
            <v>85014.2600052004.8m</v>
          </cell>
          <cell r="Q206">
            <v>192</v>
          </cell>
          <cell r="R206" t="e">
            <v>#VALUE!</v>
          </cell>
          <cell r="S206" t="e">
            <v>#VALUE!</v>
          </cell>
          <cell r="T206" t="str">
            <v/>
          </cell>
          <cell r="U206" t="str">
            <v/>
          </cell>
          <cell r="V206">
            <v>805.80645161290317</v>
          </cell>
          <cell r="W206">
            <v>1249</v>
          </cell>
          <cell r="X206">
            <v>805.9</v>
          </cell>
          <cell r="Y206">
            <v>1.549820076932622</v>
          </cell>
          <cell r="Z206">
            <v>523.77419354838707</v>
          </cell>
          <cell r="AA206">
            <v>523.80000000000007</v>
          </cell>
          <cell r="AB206">
            <v>633.76677419354837</v>
          </cell>
          <cell r="AC206">
            <v>633.80000000000007</v>
          </cell>
        </row>
        <row r="207">
          <cell r="H207" t="str">
            <v>8715738909649</v>
          </cell>
          <cell r="I207" t="str">
            <v>Nova Wing</v>
          </cell>
          <cell r="J207" t="str">
            <v>200</v>
          </cell>
          <cell r="K207" t="str">
            <v>Orange</v>
          </cell>
          <cell r="L207" t="str">
            <v>5.4m</v>
          </cell>
          <cell r="M207" t="str">
            <v>New</v>
          </cell>
          <cell r="N207" t="str">
            <v xml:space="preserve">North Kite &amp; Foils </v>
          </cell>
          <cell r="P207" t="str">
            <v>85014.2600052005.4m</v>
          </cell>
          <cell r="Q207">
            <v>193</v>
          </cell>
          <cell r="R207" t="e">
            <v>#VALUE!</v>
          </cell>
          <cell r="S207" t="e">
            <v>#VALUE!</v>
          </cell>
          <cell r="T207" t="str">
            <v/>
          </cell>
          <cell r="U207" t="str">
            <v/>
          </cell>
          <cell r="V207">
            <v>838.0645161290322</v>
          </cell>
          <cell r="W207">
            <v>1299</v>
          </cell>
          <cell r="X207">
            <v>838.1</v>
          </cell>
          <cell r="Y207">
            <v>1.5499343753728672</v>
          </cell>
          <cell r="Z207">
            <v>544.74193548387098</v>
          </cell>
          <cell r="AA207">
            <v>544.80000000000007</v>
          </cell>
          <cell r="AB207">
            <v>659.13774193548386</v>
          </cell>
          <cell r="AC207">
            <v>659.2</v>
          </cell>
        </row>
        <row r="208">
          <cell r="H208" t="str">
            <v>8715738909656</v>
          </cell>
          <cell r="I208" t="str">
            <v>Nova Wing</v>
          </cell>
          <cell r="J208" t="str">
            <v>200</v>
          </cell>
          <cell r="K208" t="str">
            <v>Orange</v>
          </cell>
          <cell r="L208" t="str">
            <v>6.2m</v>
          </cell>
          <cell r="M208" t="str">
            <v>New</v>
          </cell>
          <cell r="N208" t="str">
            <v xml:space="preserve">North Kite &amp; Foils </v>
          </cell>
          <cell r="P208" t="str">
            <v>85014.2600052006.2m</v>
          </cell>
          <cell r="Q208">
            <v>194</v>
          </cell>
          <cell r="R208" t="e">
            <v>#VALUE!</v>
          </cell>
          <cell r="S208" t="e">
            <v>#VALUE!</v>
          </cell>
          <cell r="T208" t="str">
            <v/>
          </cell>
          <cell r="U208" t="str">
            <v/>
          </cell>
          <cell r="V208">
            <v>870.32258064516122</v>
          </cell>
          <cell r="W208">
            <v>1349</v>
          </cell>
          <cell r="X208">
            <v>870.4</v>
          </cell>
          <cell r="Y208">
            <v>1.5498621323529411</v>
          </cell>
          <cell r="Z208">
            <v>565.70967741935476</v>
          </cell>
          <cell r="AA208">
            <v>565.80000000000007</v>
          </cell>
          <cell r="AB208">
            <v>684.50870967741923</v>
          </cell>
          <cell r="AC208">
            <v>684.6</v>
          </cell>
        </row>
        <row r="209">
          <cell r="H209" t="str">
            <v>8715738909663</v>
          </cell>
          <cell r="I209" t="str">
            <v>Nova Wing</v>
          </cell>
          <cell r="J209" t="str">
            <v>415</v>
          </cell>
          <cell r="K209" t="str">
            <v>Turquoise</v>
          </cell>
          <cell r="L209" t="str">
            <v>3.5m</v>
          </cell>
          <cell r="M209" t="str">
            <v>New</v>
          </cell>
          <cell r="N209" t="str">
            <v xml:space="preserve">North Kite &amp; Foils </v>
          </cell>
          <cell r="P209" t="str">
            <v>85014.2600054153.5m</v>
          </cell>
          <cell r="Q209">
            <v>195</v>
          </cell>
          <cell r="R209" t="e">
            <v>#VALUE!</v>
          </cell>
          <cell r="S209" t="e">
            <v>#VALUE!</v>
          </cell>
          <cell r="T209" t="str">
            <v/>
          </cell>
          <cell r="U209" t="str">
            <v/>
          </cell>
          <cell r="V209">
            <v>741.29032258064512</v>
          </cell>
          <cell r="W209">
            <v>1149</v>
          </cell>
          <cell r="X209">
            <v>741.30000000000007</v>
          </cell>
          <cell r="Y209">
            <v>1.5499797652772156</v>
          </cell>
          <cell r="Z209">
            <v>481.83870967741933</v>
          </cell>
          <cell r="AA209">
            <v>481.90000000000003</v>
          </cell>
          <cell r="AB209">
            <v>583.0248387096774</v>
          </cell>
          <cell r="AC209">
            <v>583.1</v>
          </cell>
        </row>
        <row r="210">
          <cell r="H210" t="str">
            <v>8715738909670</v>
          </cell>
          <cell r="I210" t="str">
            <v>Nova Wing</v>
          </cell>
          <cell r="J210" t="str">
            <v>415</v>
          </cell>
          <cell r="K210" t="str">
            <v>Turquoise</v>
          </cell>
          <cell r="L210" t="str">
            <v>4.2m</v>
          </cell>
          <cell r="M210" t="str">
            <v>New</v>
          </cell>
          <cell r="N210" t="str">
            <v xml:space="preserve">North Kite &amp; Foils </v>
          </cell>
          <cell r="P210" t="str">
            <v>85014.2600054154.2m</v>
          </cell>
          <cell r="Q210">
            <v>196</v>
          </cell>
          <cell r="R210" t="e">
            <v>#VALUE!</v>
          </cell>
          <cell r="S210" t="e">
            <v>#VALUE!</v>
          </cell>
          <cell r="T210" t="str">
            <v/>
          </cell>
          <cell r="U210" t="str">
            <v/>
          </cell>
          <cell r="V210">
            <v>773.54838709677415</v>
          </cell>
          <cell r="W210">
            <v>1199</v>
          </cell>
          <cell r="X210">
            <v>773.6</v>
          </cell>
          <cell r="Y210">
            <v>1.5498965873836608</v>
          </cell>
          <cell r="Z210">
            <v>502.80645161290323</v>
          </cell>
          <cell r="AA210">
            <v>502.90000000000003</v>
          </cell>
          <cell r="AB210">
            <v>608.39580645161288</v>
          </cell>
          <cell r="AC210">
            <v>608.4</v>
          </cell>
        </row>
        <row r="211">
          <cell r="H211" t="str">
            <v>8715738909687</v>
          </cell>
          <cell r="I211" t="str">
            <v>Nova Wing</v>
          </cell>
          <cell r="J211" t="str">
            <v>415</v>
          </cell>
          <cell r="K211" t="str">
            <v>Turquoise</v>
          </cell>
          <cell r="L211" t="str">
            <v>4.8m</v>
          </cell>
          <cell r="M211" t="str">
            <v>New</v>
          </cell>
          <cell r="N211" t="str">
            <v xml:space="preserve">North Kite &amp; Foils </v>
          </cell>
          <cell r="P211" t="str">
            <v>85014.2600054154.8m</v>
          </cell>
          <cell r="Q211">
            <v>197</v>
          </cell>
          <cell r="R211" t="e">
            <v>#VALUE!</v>
          </cell>
          <cell r="S211" t="e">
            <v>#VALUE!</v>
          </cell>
          <cell r="T211" t="str">
            <v/>
          </cell>
          <cell r="U211" t="str">
            <v/>
          </cell>
          <cell r="V211">
            <v>805.80645161290317</v>
          </cell>
          <cell r="W211">
            <v>1249</v>
          </cell>
          <cell r="X211">
            <v>805.9</v>
          </cell>
          <cell r="Y211">
            <v>1.549820076932622</v>
          </cell>
          <cell r="Z211">
            <v>523.77419354838707</v>
          </cell>
          <cell r="AA211">
            <v>523.80000000000007</v>
          </cell>
          <cell r="AB211">
            <v>633.76677419354837</v>
          </cell>
          <cell r="AC211">
            <v>633.80000000000007</v>
          </cell>
        </row>
        <row r="212">
          <cell r="H212" t="str">
            <v>8715738909694</v>
          </cell>
          <cell r="I212" t="str">
            <v>Nova Wing</v>
          </cell>
          <cell r="J212" t="str">
            <v>415</v>
          </cell>
          <cell r="K212" t="str">
            <v>Turquoise</v>
          </cell>
          <cell r="L212" t="str">
            <v>5.4m</v>
          </cell>
          <cell r="M212" t="str">
            <v>New</v>
          </cell>
          <cell r="N212" t="str">
            <v xml:space="preserve">North Kite &amp; Foils </v>
          </cell>
          <cell r="P212" t="str">
            <v>85014.2600054155.4m</v>
          </cell>
          <cell r="Q212">
            <v>198</v>
          </cell>
          <cell r="R212" t="e">
            <v>#VALUE!</v>
          </cell>
          <cell r="S212" t="e">
            <v>#VALUE!</v>
          </cell>
          <cell r="T212" t="str">
            <v/>
          </cell>
          <cell r="U212" t="str">
            <v/>
          </cell>
          <cell r="V212">
            <v>838.0645161290322</v>
          </cell>
          <cell r="W212">
            <v>1299</v>
          </cell>
          <cell r="X212">
            <v>838.1</v>
          </cell>
          <cell r="Y212">
            <v>1.5499343753728672</v>
          </cell>
          <cell r="Z212">
            <v>544.74193548387098</v>
          </cell>
          <cell r="AA212">
            <v>544.80000000000007</v>
          </cell>
          <cell r="AB212">
            <v>659.13774193548386</v>
          </cell>
          <cell r="AC212">
            <v>659.2</v>
          </cell>
        </row>
        <row r="213">
          <cell r="H213" t="str">
            <v>8715738909700</v>
          </cell>
          <cell r="I213" t="str">
            <v>Nova Wing</v>
          </cell>
          <cell r="J213" t="str">
            <v>415</v>
          </cell>
          <cell r="K213" t="str">
            <v>Turquoise</v>
          </cell>
          <cell r="L213" t="str">
            <v>6.2m</v>
          </cell>
          <cell r="M213" t="str">
            <v>New</v>
          </cell>
          <cell r="N213" t="str">
            <v xml:space="preserve">North Kite &amp; Foils </v>
          </cell>
          <cell r="P213" t="str">
            <v>85014.2600054156.2m</v>
          </cell>
          <cell r="Q213">
            <v>199</v>
          </cell>
          <cell r="R213" t="e">
            <v>#VALUE!</v>
          </cell>
          <cell r="S213" t="e">
            <v>#VALUE!</v>
          </cell>
          <cell r="T213" t="str">
            <v/>
          </cell>
          <cell r="U213" t="str">
            <v/>
          </cell>
          <cell r="V213">
            <v>870.32258064516122</v>
          </cell>
          <cell r="W213">
            <v>1349</v>
          </cell>
          <cell r="X213">
            <v>870.4</v>
          </cell>
          <cell r="Y213">
            <v>1.5498621323529411</v>
          </cell>
          <cell r="Z213">
            <v>565.70967741935476</v>
          </cell>
          <cell r="AA213">
            <v>565.80000000000007</v>
          </cell>
          <cell r="AB213">
            <v>684.50870967741923</v>
          </cell>
          <cell r="AC213">
            <v>684.6</v>
          </cell>
        </row>
        <row r="214">
          <cell r="H214" t="str">
            <v>8715738909717</v>
          </cell>
          <cell r="I214" t="str">
            <v>Nova Wing</v>
          </cell>
          <cell r="J214" t="str">
            <v>415</v>
          </cell>
          <cell r="K214" t="str">
            <v>Turquoise</v>
          </cell>
          <cell r="L214" t="str">
            <v>7m</v>
          </cell>
          <cell r="M214" t="str">
            <v>New</v>
          </cell>
          <cell r="N214" t="str">
            <v xml:space="preserve">North Kite &amp; Foils </v>
          </cell>
          <cell r="P214" t="str">
            <v>85014.2600054157m</v>
          </cell>
          <cell r="Q214">
            <v>200</v>
          </cell>
          <cell r="R214" t="e">
            <v>#VALUE!</v>
          </cell>
          <cell r="S214" t="e">
            <v>#VALUE!</v>
          </cell>
          <cell r="T214" t="str">
            <v/>
          </cell>
          <cell r="U214" t="str">
            <v/>
          </cell>
          <cell r="V214">
            <v>902.58064516129025</v>
          </cell>
          <cell r="W214">
            <v>1399</v>
          </cell>
          <cell r="X214">
            <v>902.6</v>
          </cell>
          <cell r="Y214">
            <v>1.5499667626855749</v>
          </cell>
          <cell r="Z214">
            <v>586.67741935483866</v>
          </cell>
          <cell r="AA214">
            <v>586.70000000000005</v>
          </cell>
          <cell r="AB214">
            <v>709.87967741935472</v>
          </cell>
          <cell r="AC214">
            <v>709.9</v>
          </cell>
        </row>
        <row r="215">
          <cell r="H215" t="str">
            <v>8715738909724</v>
          </cell>
          <cell r="I215" t="str">
            <v>Nova Wing</v>
          </cell>
          <cell r="J215" t="str">
            <v>512</v>
          </cell>
          <cell r="K215" t="str">
            <v>Deep Purple</v>
          </cell>
          <cell r="L215" t="str">
            <v>4.2m</v>
          </cell>
          <cell r="M215" t="str">
            <v>New</v>
          </cell>
          <cell r="N215" t="str">
            <v xml:space="preserve">North Kite &amp; Foils </v>
          </cell>
          <cell r="P215" t="str">
            <v>85014.2600055124.2m</v>
          </cell>
          <cell r="Q215">
            <v>201</v>
          </cell>
          <cell r="R215" t="e">
            <v>#VALUE!</v>
          </cell>
          <cell r="S215" t="e">
            <v>#VALUE!</v>
          </cell>
          <cell r="T215" t="str">
            <v/>
          </cell>
          <cell r="U215" t="str">
            <v/>
          </cell>
          <cell r="V215">
            <v>773.54838709677415</v>
          </cell>
          <cell r="W215">
            <v>1199</v>
          </cell>
          <cell r="X215">
            <v>773.6</v>
          </cell>
          <cell r="Y215">
            <v>1.5498965873836608</v>
          </cell>
          <cell r="Z215">
            <v>502.80645161290323</v>
          </cell>
          <cell r="AA215">
            <v>502.90000000000003</v>
          </cell>
          <cell r="AB215">
            <v>608.39580645161288</v>
          </cell>
          <cell r="AC215">
            <v>608.4</v>
          </cell>
        </row>
        <row r="216">
          <cell r="H216" t="str">
            <v>8715738909731</v>
          </cell>
          <cell r="I216" t="str">
            <v>Nova Wing</v>
          </cell>
          <cell r="J216" t="str">
            <v>512</v>
          </cell>
          <cell r="K216" t="str">
            <v>Deep Purple</v>
          </cell>
          <cell r="L216" t="str">
            <v>4.8m</v>
          </cell>
          <cell r="M216" t="str">
            <v>New</v>
          </cell>
          <cell r="N216" t="str">
            <v xml:space="preserve">North Kite &amp; Foils </v>
          </cell>
          <cell r="P216" t="str">
            <v>85014.2600055124.8m</v>
          </cell>
          <cell r="Q216">
            <v>202</v>
          </cell>
          <cell r="R216" t="e">
            <v>#VALUE!</v>
          </cell>
          <cell r="S216" t="e">
            <v>#VALUE!</v>
          </cell>
          <cell r="T216" t="str">
            <v/>
          </cell>
          <cell r="U216" t="str">
            <v/>
          </cell>
          <cell r="V216">
            <v>805.80645161290317</v>
          </cell>
          <cell r="W216">
            <v>1249</v>
          </cell>
          <cell r="X216">
            <v>805.9</v>
          </cell>
          <cell r="Y216">
            <v>1.549820076932622</v>
          </cell>
          <cell r="Z216">
            <v>523.77419354838707</v>
          </cell>
          <cell r="AA216">
            <v>523.80000000000007</v>
          </cell>
          <cell r="AB216">
            <v>633.76677419354837</v>
          </cell>
          <cell r="AC216">
            <v>633.80000000000007</v>
          </cell>
        </row>
        <row r="217">
          <cell r="H217" t="str">
            <v>8715738909748</v>
          </cell>
          <cell r="I217" t="str">
            <v>Nova Wing</v>
          </cell>
          <cell r="J217" t="str">
            <v>512</v>
          </cell>
          <cell r="K217" t="str">
            <v>Deep Purple</v>
          </cell>
          <cell r="L217" t="str">
            <v>5.4m</v>
          </cell>
          <cell r="M217" t="str">
            <v>New</v>
          </cell>
          <cell r="N217" t="str">
            <v xml:space="preserve">North Kite &amp; Foils </v>
          </cell>
          <cell r="P217" t="str">
            <v>85014.2600055125.4m</v>
          </cell>
          <cell r="Q217">
            <v>203</v>
          </cell>
          <cell r="R217" t="e">
            <v>#VALUE!</v>
          </cell>
          <cell r="S217" t="e">
            <v>#VALUE!</v>
          </cell>
          <cell r="T217" t="str">
            <v/>
          </cell>
          <cell r="U217" t="str">
            <v/>
          </cell>
          <cell r="V217">
            <v>838.0645161290322</v>
          </cell>
          <cell r="W217">
            <v>1299</v>
          </cell>
          <cell r="X217">
            <v>838.1</v>
          </cell>
          <cell r="Y217">
            <v>1.5499343753728672</v>
          </cell>
          <cell r="Z217">
            <v>544.74193548387098</v>
          </cell>
          <cell r="AA217">
            <v>544.80000000000007</v>
          </cell>
          <cell r="AB217">
            <v>659.13774193548386</v>
          </cell>
          <cell r="AC217">
            <v>659.2</v>
          </cell>
        </row>
        <row r="218">
          <cell r="H218" t="str">
            <v>8715738909755</v>
          </cell>
          <cell r="I218" t="str">
            <v>Nova Wing</v>
          </cell>
          <cell r="J218" t="str">
            <v>512</v>
          </cell>
          <cell r="K218" t="str">
            <v>Deep Purple</v>
          </cell>
          <cell r="L218" t="str">
            <v>6.2m</v>
          </cell>
          <cell r="M218" t="str">
            <v>New</v>
          </cell>
          <cell r="N218" t="str">
            <v xml:space="preserve">North Kite &amp; Foils </v>
          </cell>
          <cell r="P218" t="str">
            <v>85014.2600055126.2m</v>
          </cell>
          <cell r="Q218">
            <v>204</v>
          </cell>
          <cell r="R218" t="e">
            <v>#VALUE!</v>
          </cell>
          <cell r="S218" t="e">
            <v>#VALUE!</v>
          </cell>
          <cell r="T218" t="str">
            <v/>
          </cell>
          <cell r="U218" t="str">
            <v/>
          </cell>
          <cell r="V218">
            <v>870.32258064516122</v>
          </cell>
          <cell r="W218">
            <v>1349</v>
          </cell>
          <cell r="X218">
            <v>870.4</v>
          </cell>
          <cell r="Y218">
            <v>1.5498621323529411</v>
          </cell>
          <cell r="Z218">
            <v>565.70967741935476</v>
          </cell>
          <cell r="AA218">
            <v>565.80000000000007</v>
          </cell>
          <cell r="AB218">
            <v>684.50870967741923</v>
          </cell>
          <cell r="AC218">
            <v>684.6</v>
          </cell>
        </row>
        <row r="219">
          <cell r="H219" t="str">
            <v>8715738911093</v>
          </cell>
          <cell r="I219" t="str">
            <v>Mode Ultra Wing</v>
          </cell>
          <cell r="J219" t="str">
            <v>100</v>
          </cell>
          <cell r="K219" t="str">
            <v>White</v>
          </cell>
          <cell r="L219" t="str">
            <v>4.2m</v>
          </cell>
          <cell r="M219" t="str">
            <v>New</v>
          </cell>
          <cell r="N219" t="str">
            <v xml:space="preserve">North Kite &amp; Foils </v>
          </cell>
          <cell r="P219" t="str">
            <v>85014.2600201004.2m</v>
          </cell>
          <cell r="Q219">
            <v>205</v>
          </cell>
          <cell r="R219" t="e">
            <v>#VALUE!</v>
          </cell>
          <cell r="S219" t="e">
            <v>#VALUE!</v>
          </cell>
          <cell r="T219" t="str">
            <v/>
          </cell>
          <cell r="U219" t="str">
            <v/>
          </cell>
          <cell r="V219">
            <v>1128.3870967741934</v>
          </cell>
          <cell r="W219">
            <v>1749</v>
          </cell>
          <cell r="X219">
            <v>1128.3999999999999</v>
          </cell>
          <cell r="Y219">
            <v>1.5499822757887276</v>
          </cell>
          <cell r="Z219">
            <v>733.45161290322574</v>
          </cell>
          <cell r="AA219">
            <v>733.5</v>
          </cell>
          <cell r="AB219">
            <v>887.47645161290313</v>
          </cell>
          <cell r="AC219">
            <v>887.5</v>
          </cell>
        </row>
        <row r="220">
          <cell r="H220" t="str">
            <v>8715738911109</v>
          </cell>
          <cell r="I220" t="str">
            <v>Mode Ultra Wing</v>
          </cell>
          <cell r="J220" t="str">
            <v>100</v>
          </cell>
          <cell r="K220" t="str">
            <v>White</v>
          </cell>
          <cell r="L220" t="str">
            <v>4.8m</v>
          </cell>
          <cell r="M220" t="str">
            <v>New</v>
          </cell>
          <cell r="N220" t="str">
            <v xml:space="preserve">North Kite &amp; Foils </v>
          </cell>
          <cell r="P220" t="str">
            <v>85014.2600201004.8m</v>
          </cell>
          <cell r="Q220">
            <v>206</v>
          </cell>
          <cell r="R220" t="e">
            <v>#VALUE!</v>
          </cell>
          <cell r="S220" t="e">
            <v>#VALUE!</v>
          </cell>
          <cell r="T220" t="str">
            <v/>
          </cell>
          <cell r="U220" t="str">
            <v/>
          </cell>
          <cell r="V220">
            <v>1192.9032258064515</v>
          </cell>
          <cell r="W220">
            <v>1849</v>
          </cell>
          <cell r="X220">
            <v>1193</v>
          </cell>
          <cell r="Y220">
            <v>1.5498742665549037</v>
          </cell>
          <cell r="Z220">
            <v>775.38709677419354</v>
          </cell>
          <cell r="AA220">
            <v>775.4</v>
          </cell>
          <cell r="AB220">
            <v>938.21838709677411</v>
          </cell>
          <cell r="AC220">
            <v>938.30000000000007</v>
          </cell>
        </row>
        <row r="221">
          <cell r="H221" t="str">
            <v>8715738911116</v>
          </cell>
          <cell r="I221" t="str">
            <v>Mode Ultra Wing</v>
          </cell>
          <cell r="J221" t="str">
            <v>100</v>
          </cell>
          <cell r="K221" t="str">
            <v>White</v>
          </cell>
          <cell r="L221" t="str">
            <v>5.4m</v>
          </cell>
          <cell r="M221" t="str">
            <v>New</v>
          </cell>
          <cell r="N221" t="str">
            <v xml:space="preserve">North Kite &amp; Foils </v>
          </cell>
          <cell r="P221" t="str">
            <v>85014.2600201005.4m</v>
          </cell>
          <cell r="Q221">
            <v>207</v>
          </cell>
          <cell r="R221" t="e">
            <v>#VALUE!</v>
          </cell>
          <cell r="S221" t="e">
            <v>#VALUE!</v>
          </cell>
          <cell r="T221" t="str">
            <v/>
          </cell>
          <cell r="U221" t="str">
            <v/>
          </cell>
          <cell r="V221">
            <v>1257.4193548387098</v>
          </cell>
          <cell r="W221">
            <v>1949</v>
          </cell>
          <cell r="X221">
            <v>1257.5</v>
          </cell>
          <cell r="Y221">
            <v>1.5499005964214712</v>
          </cell>
          <cell r="Z221">
            <v>817.32258064516134</v>
          </cell>
          <cell r="AA221">
            <v>817.4</v>
          </cell>
          <cell r="AB221">
            <v>988.9603225806452</v>
          </cell>
          <cell r="AC221">
            <v>989</v>
          </cell>
        </row>
        <row r="222">
          <cell r="H222" t="str">
            <v>8715738911123</v>
          </cell>
          <cell r="I222" t="str">
            <v>Mode Ultra Wing</v>
          </cell>
          <cell r="J222" t="str">
            <v>100</v>
          </cell>
          <cell r="K222" t="str">
            <v>White</v>
          </cell>
          <cell r="L222" t="str">
            <v>6.2m</v>
          </cell>
          <cell r="M222" t="str">
            <v>New</v>
          </cell>
          <cell r="N222" t="str">
            <v xml:space="preserve">North Kite &amp; Foils </v>
          </cell>
          <cell r="P222" t="str">
            <v>85014.2600201006.2m</v>
          </cell>
          <cell r="Q222">
            <v>208</v>
          </cell>
          <cell r="R222" t="e">
            <v>#VALUE!</v>
          </cell>
          <cell r="S222" t="e">
            <v>#VALUE!</v>
          </cell>
          <cell r="T222" t="str">
            <v/>
          </cell>
          <cell r="U222" t="str">
            <v/>
          </cell>
          <cell r="V222">
            <v>1321.9354838709678</v>
          </cell>
          <cell r="W222">
            <v>2049</v>
          </cell>
          <cell r="X222">
            <v>1322</v>
          </cell>
          <cell r="Y222">
            <v>1.5499243570347958</v>
          </cell>
          <cell r="Z222">
            <v>859.25806451612914</v>
          </cell>
          <cell r="AA222">
            <v>859.30000000000007</v>
          </cell>
          <cell r="AB222">
            <v>1039.7022580645162</v>
          </cell>
          <cell r="AC222">
            <v>1039.8</v>
          </cell>
        </row>
        <row r="223">
          <cell r="H223" t="str">
            <v>8715738911130</v>
          </cell>
          <cell r="I223" t="str">
            <v>Mode Ultra Wing</v>
          </cell>
          <cell r="J223" t="str">
            <v>100</v>
          </cell>
          <cell r="K223" t="str">
            <v>White</v>
          </cell>
          <cell r="L223" t="str">
            <v>6.5m</v>
          </cell>
          <cell r="M223" t="str">
            <v>New</v>
          </cell>
          <cell r="N223" t="str">
            <v xml:space="preserve">North Kite &amp; Foils </v>
          </cell>
          <cell r="P223" t="str">
            <v>85014.2600201006.5m</v>
          </cell>
          <cell r="Q223">
            <v>209</v>
          </cell>
          <cell r="R223" t="e">
            <v>#VALUE!</v>
          </cell>
          <cell r="S223" t="e">
            <v>#VALUE!</v>
          </cell>
          <cell r="T223" t="str">
            <v/>
          </cell>
          <cell r="U223" t="str">
            <v/>
          </cell>
          <cell r="V223">
            <v>1354.1935483870968</v>
          </cell>
          <cell r="W223">
            <v>2099</v>
          </cell>
          <cell r="X223">
            <v>1354.1999999999998</v>
          </cell>
          <cell r="Y223">
            <v>1.5499926155663863</v>
          </cell>
          <cell r="Z223">
            <v>880.22580645161293</v>
          </cell>
          <cell r="AA223">
            <v>880.30000000000007</v>
          </cell>
          <cell r="AB223">
            <v>1065.0732258064515</v>
          </cell>
          <cell r="AC223">
            <v>1065.0999999999999</v>
          </cell>
        </row>
        <row r="224">
          <cell r="H224" t="str">
            <v>8715738911147</v>
          </cell>
          <cell r="I224" t="str">
            <v>Mode Ultra Wing</v>
          </cell>
          <cell r="J224" t="str">
            <v>100</v>
          </cell>
          <cell r="K224" t="str">
            <v>White</v>
          </cell>
          <cell r="L224" t="str">
            <v>7m</v>
          </cell>
          <cell r="M224" t="str">
            <v>New</v>
          </cell>
          <cell r="N224" t="str">
            <v xml:space="preserve">North Kite &amp; Foils </v>
          </cell>
          <cell r="P224" t="str">
            <v>85014.2600201007m</v>
          </cell>
          <cell r="Q224">
            <v>210</v>
          </cell>
          <cell r="R224" t="e">
            <v>#VALUE!</v>
          </cell>
          <cell r="S224" t="e">
            <v>#VALUE!</v>
          </cell>
          <cell r="T224" t="str">
            <v/>
          </cell>
          <cell r="U224" t="str">
            <v/>
          </cell>
          <cell r="V224">
            <v>1386.4516129032259</v>
          </cell>
          <cell r="W224">
            <v>2149</v>
          </cell>
          <cell r="X224">
            <v>1386.5</v>
          </cell>
          <cell r="Y224">
            <v>1.5499459069599713</v>
          </cell>
          <cell r="Z224">
            <v>901.19354838709683</v>
          </cell>
          <cell r="AA224">
            <v>901.2</v>
          </cell>
          <cell r="AB224">
            <v>1090.4441935483871</v>
          </cell>
          <cell r="AC224">
            <v>1090.5</v>
          </cell>
        </row>
        <row r="225">
          <cell r="H225" t="str">
            <v>8715738897120</v>
          </cell>
          <cell r="I225" t="str">
            <v>Mode Pro wing</v>
          </cell>
          <cell r="J225" t="str">
            <v>100</v>
          </cell>
          <cell r="K225" t="str">
            <v>White</v>
          </cell>
          <cell r="L225" t="str">
            <v>2.9m</v>
          </cell>
          <cell r="M225" t="str">
            <v xml:space="preserve">Carry Over </v>
          </cell>
          <cell r="N225" t="str">
            <v xml:space="preserve">North Kite &amp; Foils </v>
          </cell>
          <cell r="P225" t="str">
            <v>85014.2600061002.9m</v>
          </cell>
          <cell r="Q225">
            <v>211</v>
          </cell>
          <cell r="R225">
            <v>0</v>
          </cell>
          <cell r="S225">
            <v>0</v>
          </cell>
          <cell r="T225">
            <v>1299</v>
          </cell>
          <cell r="U225">
            <v>838.1</v>
          </cell>
          <cell r="V225">
            <v>838.0645161290322</v>
          </cell>
          <cell r="W225">
            <v>1299</v>
          </cell>
          <cell r="X225">
            <v>838.1</v>
          </cell>
          <cell r="Y225">
            <v>1.5499343753728672</v>
          </cell>
          <cell r="Z225">
            <v>544.74193548387098</v>
          </cell>
          <cell r="AA225">
            <v>544.80000000000007</v>
          </cell>
          <cell r="AB225">
            <v>659.13774193548386</v>
          </cell>
          <cell r="AC225">
            <v>659.2</v>
          </cell>
        </row>
        <row r="226">
          <cell r="H226" t="str">
            <v>8715738897137</v>
          </cell>
          <cell r="I226" t="str">
            <v>Mode Pro wing</v>
          </cell>
          <cell r="J226" t="str">
            <v>100</v>
          </cell>
          <cell r="K226" t="str">
            <v>White</v>
          </cell>
          <cell r="L226" t="str">
            <v>3.5m</v>
          </cell>
          <cell r="M226" t="str">
            <v xml:space="preserve">Carry Over </v>
          </cell>
          <cell r="N226" t="str">
            <v xml:space="preserve">North Kite &amp; Foils </v>
          </cell>
          <cell r="P226" t="str">
            <v>85014.2600061003.5m</v>
          </cell>
          <cell r="Q226">
            <v>212</v>
          </cell>
          <cell r="R226">
            <v>0</v>
          </cell>
          <cell r="S226">
            <v>0</v>
          </cell>
          <cell r="T226">
            <v>1399</v>
          </cell>
          <cell r="U226">
            <v>902.6</v>
          </cell>
          <cell r="V226">
            <v>902.58064516129025</v>
          </cell>
          <cell r="W226">
            <v>1399</v>
          </cell>
          <cell r="X226">
            <v>902.6</v>
          </cell>
          <cell r="Y226">
            <v>1.5499667626855749</v>
          </cell>
          <cell r="Z226">
            <v>586.67741935483866</v>
          </cell>
          <cell r="AA226">
            <v>586.70000000000005</v>
          </cell>
          <cell r="AB226">
            <v>709.87967741935472</v>
          </cell>
          <cell r="AC226">
            <v>709.9</v>
          </cell>
        </row>
        <row r="227">
          <cell r="H227" t="str">
            <v>8715738897144</v>
          </cell>
          <cell r="I227" t="str">
            <v>Mode Pro wing</v>
          </cell>
          <cell r="J227" t="str">
            <v>100</v>
          </cell>
          <cell r="K227" t="str">
            <v>White</v>
          </cell>
          <cell r="L227" t="str">
            <v>4.2m</v>
          </cell>
          <cell r="M227" t="str">
            <v xml:space="preserve">Carry Over </v>
          </cell>
          <cell r="N227" t="str">
            <v xml:space="preserve">North Kite &amp; Foils </v>
          </cell>
          <cell r="P227" t="str">
            <v>85014.2600061004.2m</v>
          </cell>
          <cell r="Q227">
            <v>213</v>
          </cell>
          <cell r="R227">
            <v>0</v>
          </cell>
          <cell r="S227">
            <v>0</v>
          </cell>
          <cell r="T227">
            <v>1499</v>
          </cell>
          <cell r="U227">
            <v>967.1</v>
          </cell>
          <cell r="V227">
            <v>967.09677419354841</v>
          </cell>
          <cell r="W227">
            <v>1499</v>
          </cell>
          <cell r="X227">
            <v>967.1</v>
          </cell>
          <cell r="Y227">
            <v>1.5499948299038362</v>
          </cell>
          <cell r="Z227">
            <v>628.61290322580646</v>
          </cell>
          <cell r="AA227">
            <v>628.70000000000005</v>
          </cell>
          <cell r="AB227">
            <v>760.62161290322581</v>
          </cell>
          <cell r="AC227">
            <v>760.7</v>
          </cell>
        </row>
        <row r="228">
          <cell r="H228" t="str">
            <v>8715738897151</v>
          </cell>
          <cell r="I228" t="str">
            <v>Mode Pro wing</v>
          </cell>
          <cell r="J228" t="str">
            <v>100</v>
          </cell>
          <cell r="K228" t="str">
            <v>White</v>
          </cell>
          <cell r="L228" t="str">
            <v>4.8m</v>
          </cell>
          <cell r="M228" t="str">
            <v xml:space="preserve">Carry Over </v>
          </cell>
          <cell r="N228" t="str">
            <v xml:space="preserve">North Kite &amp; Foils </v>
          </cell>
          <cell r="P228" t="str">
            <v>85014.2600061004.8m</v>
          </cell>
          <cell r="Q228">
            <v>214</v>
          </cell>
          <cell r="R228">
            <v>0</v>
          </cell>
          <cell r="S228">
            <v>0</v>
          </cell>
          <cell r="T228">
            <v>1549</v>
          </cell>
          <cell r="U228">
            <v>999.4</v>
          </cell>
          <cell r="V228">
            <v>999.35483870967744</v>
          </cell>
          <cell r="W228">
            <v>1549</v>
          </cell>
          <cell r="X228">
            <v>999.4</v>
          </cell>
          <cell r="Y228">
            <v>1.5499299579747849</v>
          </cell>
          <cell r="Z228">
            <v>649.58064516129036</v>
          </cell>
          <cell r="AA228">
            <v>649.6</v>
          </cell>
          <cell r="AB228">
            <v>785.9925806451613</v>
          </cell>
          <cell r="AC228">
            <v>786</v>
          </cell>
        </row>
        <row r="229">
          <cell r="H229" t="str">
            <v>8715738897168</v>
          </cell>
          <cell r="I229" t="str">
            <v>Mode Pro wing</v>
          </cell>
          <cell r="J229" t="str">
            <v>100</v>
          </cell>
          <cell r="K229" t="str">
            <v>White</v>
          </cell>
          <cell r="L229" t="str">
            <v>5.5m</v>
          </cell>
          <cell r="M229" t="str">
            <v xml:space="preserve">Carry Over </v>
          </cell>
          <cell r="N229" t="str">
            <v xml:space="preserve">North Kite &amp; Foils </v>
          </cell>
          <cell r="P229" t="str">
            <v>85014.2600061005.5m</v>
          </cell>
          <cell r="Q229">
            <v>215</v>
          </cell>
          <cell r="R229">
            <v>0</v>
          </cell>
          <cell r="S229">
            <v>0</v>
          </cell>
          <cell r="T229">
            <v>1599</v>
          </cell>
          <cell r="U229">
            <v>1031.6999999999998</v>
          </cell>
          <cell r="V229">
            <v>1031.6129032258063</v>
          </cell>
          <cell r="W229">
            <v>1599</v>
          </cell>
          <cell r="X229">
            <v>1031.6999999999998</v>
          </cell>
          <cell r="Y229">
            <v>1.5498691480081421</v>
          </cell>
          <cell r="Z229">
            <v>670.54838709677415</v>
          </cell>
          <cell r="AA229">
            <v>670.6</v>
          </cell>
          <cell r="AB229">
            <v>811.36354838709667</v>
          </cell>
          <cell r="AC229">
            <v>811.4</v>
          </cell>
        </row>
        <row r="230">
          <cell r="H230" t="str">
            <v>8715738897175</v>
          </cell>
          <cell r="I230" t="str">
            <v>Mode Pro wing</v>
          </cell>
          <cell r="J230" t="str">
            <v>100</v>
          </cell>
          <cell r="K230" t="str">
            <v>White</v>
          </cell>
          <cell r="L230" t="str">
            <v>6.5m</v>
          </cell>
          <cell r="M230" t="str">
            <v xml:space="preserve">Carry Over </v>
          </cell>
          <cell r="N230" t="str">
            <v xml:space="preserve">North Kite &amp; Foils </v>
          </cell>
          <cell r="P230" t="str">
            <v>85014.2600061006.5m</v>
          </cell>
          <cell r="Q230">
            <v>216</v>
          </cell>
          <cell r="R230">
            <v>0</v>
          </cell>
          <cell r="S230">
            <v>0</v>
          </cell>
          <cell r="T230">
            <v>1649</v>
          </cell>
          <cell r="U230">
            <v>1063.8999999999999</v>
          </cell>
          <cell r="V230">
            <v>1063.8709677419354</v>
          </cell>
          <cell r="W230">
            <v>1649</v>
          </cell>
          <cell r="X230">
            <v>1063.8999999999999</v>
          </cell>
          <cell r="Y230">
            <v>1.549957702791616</v>
          </cell>
          <cell r="Z230">
            <v>691.51612903225805</v>
          </cell>
          <cell r="AA230">
            <v>691.6</v>
          </cell>
          <cell r="AB230">
            <v>836.73451612903227</v>
          </cell>
          <cell r="AC230">
            <v>836.80000000000007</v>
          </cell>
        </row>
        <row r="231">
          <cell r="H231" t="str">
            <v>8715738912540</v>
          </cell>
          <cell r="I231" t="str">
            <v>Loft PRO wing</v>
          </cell>
          <cell r="J231" t="str">
            <v>100</v>
          </cell>
          <cell r="K231" t="str">
            <v>White</v>
          </cell>
          <cell r="L231" t="str">
            <v>6.0m</v>
          </cell>
          <cell r="M231" t="str">
            <v>New</v>
          </cell>
          <cell r="N231" t="str">
            <v xml:space="preserve">North Kite &amp; Foils </v>
          </cell>
          <cell r="P231" t="str">
            <v>85014.2600071006.0m</v>
          </cell>
          <cell r="Q231">
            <v>217</v>
          </cell>
          <cell r="R231" t="e">
            <v>#VALUE!</v>
          </cell>
          <cell r="S231" t="e">
            <v>#VALUE!</v>
          </cell>
          <cell r="T231" t="str">
            <v/>
          </cell>
          <cell r="U231" t="str">
            <v/>
          </cell>
          <cell r="V231">
            <v>1083.2258064516129</v>
          </cell>
          <cell r="W231">
            <v>1679</v>
          </cell>
          <cell r="X231">
            <v>1083.3</v>
          </cell>
          <cell r="Y231">
            <v>1.5498938428874736</v>
          </cell>
          <cell r="Z231">
            <v>704.09677419354841</v>
          </cell>
          <cell r="AA231">
            <v>704.1</v>
          </cell>
          <cell r="AB231">
            <v>851.95709677419359</v>
          </cell>
          <cell r="AC231">
            <v>852</v>
          </cell>
        </row>
        <row r="232">
          <cell r="H232" t="str">
            <v>8715738912557</v>
          </cell>
          <cell r="I232" t="str">
            <v>Loft PRO wing</v>
          </cell>
          <cell r="J232" t="str">
            <v>100</v>
          </cell>
          <cell r="K232" t="str">
            <v>White</v>
          </cell>
          <cell r="L232" t="str">
            <v>7m</v>
          </cell>
          <cell r="M232" t="str">
            <v>New</v>
          </cell>
          <cell r="N232" t="str">
            <v xml:space="preserve">North Kite &amp; Foils </v>
          </cell>
          <cell r="P232" t="str">
            <v>85014.2600071007m</v>
          </cell>
          <cell r="Q232">
            <v>218</v>
          </cell>
          <cell r="R232" t="e">
            <v>#VALUE!</v>
          </cell>
          <cell r="S232" t="e">
            <v>#VALUE!</v>
          </cell>
          <cell r="T232" t="str">
            <v/>
          </cell>
          <cell r="U232" t="str">
            <v/>
          </cell>
          <cell r="V232">
            <v>1121.9354838709678</v>
          </cell>
          <cell r="W232">
            <v>1739</v>
          </cell>
          <cell r="X232">
            <v>1122</v>
          </cell>
          <cell r="Y232">
            <v>1.5499108734402851</v>
          </cell>
          <cell r="Z232">
            <v>729.25806451612914</v>
          </cell>
          <cell r="AA232">
            <v>729.30000000000007</v>
          </cell>
          <cell r="AB232">
            <v>882.40225806451622</v>
          </cell>
          <cell r="AC232">
            <v>882.5</v>
          </cell>
        </row>
        <row r="233">
          <cell r="H233" t="str">
            <v>8715738912564</v>
          </cell>
          <cell r="I233" t="str">
            <v>Loft PRO wing</v>
          </cell>
          <cell r="J233" t="str">
            <v>100</v>
          </cell>
          <cell r="K233" t="str">
            <v>White</v>
          </cell>
          <cell r="L233" t="str">
            <v>8m</v>
          </cell>
          <cell r="M233" t="str">
            <v>New</v>
          </cell>
          <cell r="N233" t="str">
            <v xml:space="preserve">North Kite &amp; Foils </v>
          </cell>
          <cell r="P233" t="str">
            <v>85014.2600071008m</v>
          </cell>
          <cell r="Q233">
            <v>219</v>
          </cell>
          <cell r="R233" t="e">
            <v>#VALUE!</v>
          </cell>
          <cell r="S233" t="e">
            <v>#VALUE!</v>
          </cell>
          <cell r="T233" t="str">
            <v/>
          </cell>
          <cell r="U233" t="str">
            <v/>
          </cell>
          <cell r="V233">
            <v>1160.6451612903224</v>
          </cell>
          <cell r="W233">
            <v>1799</v>
          </cell>
          <cell r="X233">
            <v>1160.6999999999998</v>
          </cell>
          <cell r="Y233">
            <v>1.5499267683294566</v>
          </cell>
          <cell r="Z233">
            <v>754.41935483870964</v>
          </cell>
          <cell r="AA233">
            <v>754.5</v>
          </cell>
          <cell r="AB233">
            <v>912.84741935483862</v>
          </cell>
          <cell r="AC233">
            <v>912.9</v>
          </cell>
        </row>
        <row r="234">
          <cell r="H234" t="str">
            <v>8715738912618</v>
          </cell>
          <cell r="I234" t="str">
            <v>Rover Parawing</v>
          </cell>
          <cell r="J234" t="str">
            <v>953</v>
          </cell>
          <cell r="K234" t="str">
            <v>Black / Lime</v>
          </cell>
          <cell r="L234" t="str">
            <v>2.4m</v>
          </cell>
          <cell r="M234" t="str">
            <v>New</v>
          </cell>
          <cell r="N234" t="str">
            <v xml:space="preserve">North Kite &amp; Foils </v>
          </cell>
          <cell r="P234" t="str">
            <v>85014.2600359532.4m</v>
          </cell>
          <cell r="Q234">
            <v>220</v>
          </cell>
          <cell r="R234" t="e">
            <v>#VALUE!</v>
          </cell>
          <cell r="S234" t="e">
            <v>#VALUE!</v>
          </cell>
          <cell r="T234" t="str">
            <v/>
          </cell>
          <cell r="U234" t="str">
            <v/>
          </cell>
          <cell r="V234">
            <v>547.74193548387098</v>
          </cell>
          <cell r="W234">
            <v>849</v>
          </cell>
          <cell r="X234">
            <v>547.80000000000007</v>
          </cell>
          <cell r="Y234">
            <v>1.5498357064622124</v>
          </cell>
          <cell r="Z234">
            <v>356.03225806451616</v>
          </cell>
          <cell r="AA234">
            <v>356.1</v>
          </cell>
          <cell r="AB234">
            <v>430.79903225806453</v>
          </cell>
          <cell r="AC234">
            <v>430.8</v>
          </cell>
        </row>
        <row r="235">
          <cell r="H235" t="str">
            <v>8715738912625</v>
          </cell>
          <cell r="I235" t="str">
            <v>Rover Parawing</v>
          </cell>
          <cell r="J235" t="str">
            <v>953</v>
          </cell>
          <cell r="K235" t="str">
            <v>Black / Lime</v>
          </cell>
          <cell r="L235" t="str">
            <v>2.9m</v>
          </cell>
          <cell r="M235" t="str">
            <v>New</v>
          </cell>
          <cell r="N235" t="str">
            <v xml:space="preserve">North Kite &amp; Foils </v>
          </cell>
          <cell r="P235" t="str">
            <v>85014.2600359532.9m</v>
          </cell>
          <cell r="Q235">
            <v>221</v>
          </cell>
          <cell r="R235" t="e">
            <v>#VALUE!</v>
          </cell>
          <cell r="S235" t="e">
            <v>#VALUE!</v>
          </cell>
          <cell r="T235" t="str">
            <v/>
          </cell>
          <cell r="U235" t="str">
            <v/>
          </cell>
          <cell r="V235">
            <v>573.54838709677415</v>
          </cell>
          <cell r="W235">
            <v>889</v>
          </cell>
          <cell r="X235">
            <v>573.6</v>
          </cell>
          <cell r="Y235">
            <v>1.5498605299860528</v>
          </cell>
          <cell r="Z235">
            <v>372.80645161290323</v>
          </cell>
          <cell r="AA235">
            <v>372.90000000000003</v>
          </cell>
          <cell r="AB235">
            <v>451.09580645161287</v>
          </cell>
          <cell r="AC235">
            <v>451.1</v>
          </cell>
        </row>
        <row r="236">
          <cell r="H236" t="str">
            <v>8715738912632</v>
          </cell>
          <cell r="I236" t="str">
            <v>Rover Parawing</v>
          </cell>
          <cell r="J236" t="str">
            <v>953</v>
          </cell>
          <cell r="K236" t="str">
            <v>Black / Lime</v>
          </cell>
          <cell r="L236" t="str">
            <v>3.5m</v>
          </cell>
          <cell r="M236" t="str">
            <v>New</v>
          </cell>
          <cell r="N236" t="str">
            <v xml:space="preserve">North Kite &amp; Foils </v>
          </cell>
          <cell r="P236" t="str">
            <v>85014.2600359533.5m</v>
          </cell>
          <cell r="Q236">
            <v>222</v>
          </cell>
          <cell r="R236" t="e">
            <v>#VALUE!</v>
          </cell>
          <cell r="S236" t="e">
            <v>#VALUE!</v>
          </cell>
          <cell r="T236" t="str">
            <v/>
          </cell>
          <cell r="U236" t="str">
            <v/>
          </cell>
          <cell r="V236">
            <v>599.35483870967744</v>
          </cell>
          <cell r="W236">
            <v>929</v>
          </cell>
          <cell r="X236">
            <v>599.4</v>
          </cell>
          <cell r="Y236">
            <v>1.5498832165498833</v>
          </cell>
          <cell r="Z236">
            <v>389.58064516129036</v>
          </cell>
          <cell r="AA236">
            <v>389.6</v>
          </cell>
          <cell r="AB236">
            <v>471.39258064516133</v>
          </cell>
          <cell r="AC236">
            <v>471.40000000000003</v>
          </cell>
        </row>
        <row r="237">
          <cell r="H237" t="str">
            <v>8715738912649</v>
          </cell>
          <cell r="I237" t="str">
            <v>Rover Parawing</v>
          </cell>
          <cell r="J237" t="str">
            <v>953</v>
          </cell>
          <cell r="K237" t="str">
            <v>Black / Lime</v>
          </cell>
          <cell r="L237" t="str">
            <v>4.2m</v>
          </cell>
          <cell r="M237" t="str">
            <v>New</v>
          </cell>
          <cell r="N237" t="str">
            <v xml:space="preserve">North Kite &amp; Foils </v>
          </cell>
          <cell r="P237" t="str">
            <v>85014.2600359534.2m</v>
          </cell>
          <cell r="Q237">
            <v>223</v>
          </cell>
          <cell r="R237" t="e">
            <v>#VALUE!</v>
          </cell>
          <cell r="S237" t="e">
            <v>#VALUE!</v>
          </cell>
          <cell r="T237" t="str">
            <v/>
          </cell>
          <cell r="U237" t="str">
            <v/>
          </cell>
          <cell r="V237">
            <v>625.16129032258061</v>
          </cell>
          <cell r="W237">
            <v>969</v>
          </cell>
          <cell r="X237">
            <v>625.20000000000005</v>
          </cell>
          <cell r="Y237">
            <v>1.5499040307101726</v>
          </cell>
          <cell r="Z237">
            <v>406.35483870967744</v>
          </cell>
          <cell r="AA237">
            <v>406.40000000000003</v>
          </cell>
          <cell r="AB237">
            <v>491.68935483870968</v>
          </cell>
          <cell r="AC237">
            <v>491.70000000000005</v>
          </cell>
        </row>
        <row r="238">
          <cell r="H238" t="str">
            <v>8715738912656</v>
          </cell>
          <cell r="I238" t="str">
            <v>Rover Parawing</v>
          </cell>
          <cell r="J238" t="str">
            <v>953</v>
          </cell>
          <cell r="K238" t="str">
            <v>Black / Lime</v>
          </cell>
          <cell r="L238" t="str">
            <v>5.0m</v>
          </cell>
          <cell r="M238" t="str">
            <v>New</v>
          </cell>
          <cell r="N238" t="str">
            <v xml:space="preserve">North Kite &amp; Foils </v>
          </cell>
          <cell r="P238" t="str">
            <v>85014.2600359535.0m</v>
          </cell>
          <cell r="Q238">
            <v>224</v>
          </cell>
          <cell r="R238" t="e">
            <v>#VALUE!</v>
          </cell>
          <cell r="S238" t="e">
            <v>#VALUE!</v>
          </cell>
          <cell r="T238" t="str">
            <v/>
          </cell>
          <cell r="U238" t="str">
            <v/>
          </cell>
          <cell r="V238">
            <v>650.9677419354839</v>
          </cell>
          <cell r="W238">
            <v>1009</v>
          </cell>
          <cell r="X238">
            <v>651</v>
          </cell>
          <cell r="Y238">
            <v>1.5499231950844854</v>
          </cell>
          <cell r="Z238">
            <v>423.12903225806457</v>
          </cell>
          <cell r="AA238">
            <v>423.20000000000005</v>
          </cell>
          <cell r="AB238">
            <v>511.98612903225813</v>
          </cell>
          <cell r="AC238">
            <v>512</v>
          </cell>
        </row>
        <row r="239">
          <cell r="H239" t="str">
            <v>8715738912663</v>
          </cell>
          <cell r="I239" t="str">
            <v>Rover Parawing</v>
          </cell>
          <cell r="J239" t="str">
            <v>953</v>
          </cell>
          <cell r="K239" t="str">
            <v>Black / Lime</v>
          </cell>
          <cell r="L239" t="str">
            <v>6.0m</v>
          </cell>
          <cell r="M239" t="str">
            <v>New</v>
          </cell>
          <cell r="N239" t="str">
            <v xml:space="preserve">North Kite &amp; Foils </v>
          </cell>
          <cell r="P239" t="str">
            <v>85014.2600359536.0m</v>
          </cell>
          <cell r="Q239">
            <v>225</v>
          </cell>
          <cell r="R239" t="e">
            <v>#VALUE!</v>
          </cell>
          <cell r="S239" t="e">
            <v>#VALUE!</v>
          </cell>
          <cell r="T239" t="str">
            <v/>
          </cell>
          <cell r="U239" t="str">
            <v/>
          </cell>
          <cell r="V239">
            <v>676.77419354838707</v>
          </cell>
          <cell r="W239">
            <v>1049</v>
          </cell>
          <cell r="X239">
            <v>676.80000000000007</v>
          </cell>
          <cell r="Y239">
            <v>1.5499408983451535</v>
          </cell>
          <cell r="Z239">
            <v>439.90322580645159</v>
          </cell>
          <cell r="AA239">
            <v>440</v>
          </cell>
          <cell r="AB239">
            <v>532.28290322580642</v>
          </cell>
          <cell r="AC239">
            <v>532.30000000000007</v>
          </cell>
        </row>
        <row r="240">
          <cell r="H240" t="str">
            <v>8715738898691</v>
          </cell>
          <cell r="I240" t="str">
            <v>Ranger Parawing</v>
          </cell>
          <cell r="J240" t="str">
            <v>650</v>
          </cell>
          <cell r="K240" t="str">
            <v>Lime</v>
          </cell>
          <cell r="L240" t="str">
            <v>2.2m</v>
          </cell>
          <cell r="M240" t="str">
            <v xml:space="preserve">Carry Over </v>
          </cell>
          <cell r="N240" t="str">
            <v xml:space="preserve">North Kite &amp; Foils </v>
          </cell>
          <cell r="P240" t="str">
            <v>85014.2600306502.2m</v>
          </cell>
          <cell r="Q240">
            <v>226</v>
          </cell>
          <cell r="R240">
            <v>0</v>
          </cell>
          <cell r="S240">
            <v>0</v>
          </cell>
          <cell r="T240">
            <v>599</v>
          </cell>
          <cell r="U240">
            <v>386.5</v>
          </cell>
          <cell r="V240">
            <v>386.45161290322579</v>
          </cell>
          <cell r="W240">
            <v>599</v>
          </cell>
          <cell r="X240">
            <v>386.5</v>
          </cell>
          <cell r="Y240">
            <v>1.5498059508408797</v>
          </cell>
          <cell r="Z240">
            <v>251.19354838709677</v>
          </cell>
          <cell r="AA240">
            <v>251.2</v>
          </cell>
          <cell r="AB240">
            <v>303.94419354838709</v>
          </cell>
          <cell r="AC240">
            <v>304</v>
          </cell>
        </row>
        <row r="241">
          <cell r="H241" t="str">
            <v>8715738898707</v>
          </cell>
          <cell r="I241" t="str">
            <v>Ranger Parawing</v>
          </cell>
          <cell r="J241" t="str">
            <v>650</v>
          </cell>
          <cell r="K241" t="str">
            <v>Lime</v>
          </cell>
          <cell r="L241" t="str">
            <v>3.2m</v>
          </cell>
          <cell r="M241" t="str">
            <v xml:space="preserve">Carry Over </v>
          </cell>
          <cell r="N241" t="str">
            <v xml:space="preserve">North Kite &amp; Foils </v>
          </cell>
          <cell r="P241" t="str">
            <v>85014.2600306503.2m</v>
          </cell>
          <cell r="Q241">
            <v>227</v>
          </cell>
          <cell r="R241">
            <v>0</v>
          </cell>
          <cell r="S241">
            <v>0</v>
          </cell>
          <cell r="T241">
            <v>649</v>
          </cell>
          <cell r="U241">
            <v>418.8</v>
          </cell>
          <cell r="V241">
            <v>418.70967741935482</v>
          </cell>
          <cell r="W241">
            <v>649</v>
          </cell>
          <cell r="X241">
            <v>418.8</v>
          </cell>
          <cell r="Y241">
            <v>1.5496657115568291</v>
          </cell>
          <cell r="Z241">
            <v>272.16129032258067</v>
          </cell>
          <cell r="AA241">
            <v>272.20000000000005</v>
          </cell>
          <cell r="AB241">
            <v>329.31516129032258</v>
          </cell>
          <cell r="AC241">
            <v>329.40000000000003</v>
          </cell>
        </row>
        <row r="242">
          <cell r="H242" t="str">
            <v>8715738898714</v>
          </cell>
          <cell r="I242" t="str">
            <v>Ranger Parawing</v>
          </cell>
          <cell r="J242" t="str">
            <v>650</v>
          </cell>
          <cell r="K242" t="str">
            <v>Lime</v>
          </cell>
          <cell r="L242" t="str">
            <v>4.2m</v>
          </cell>
          <cell r="M242" t="str">
            <v xml:space="preserve">Carry Over </v>
          </cell>
          <cell r="N242" t="str">
            <v xml:space="preserve">North Kite &amp; Foils </v>
          </cell>
          <cell r="P242" t="str">
            <v>85014.2600306504.2m</v>
          </cell>
          <cell r="Q242">
            <v>228</v>
          </cell>
          <cell r="R242">
            <v>0</v>
          </cell>
          <cell r="S242">
            <v>0</v>
          </cell>
          <cell r="T242">
            <v>699</v>
          </cell>
          <cell r="U242">
            <v>451</v>
          </cell>
          <cell r="V242">
            <v>450.96774193548384</v>
          </cell>
          <cell r="W242">
            <v>699</v>
          </cell>
          <cell r="X242">
            <v>451</v>
          </cell>
          <cell r="Y242">
            <v>1.5498891352549888</v>
          </cell>
          <cell r="Z242">
            <v>293.12903225806451</v>
          </cell>
          <cell r="AA242">
            <v>293.20000000000005</v>
          </cell>
          <cell r="AB242">
            <v>354.68612903225807</v>
          </cell>
          <cell r="AC242">
            <v>354.70000000000005</v>
          </cell>
        </row>
        <row r="243">
          <cell r="H243" t="str">
            <v>8715738898721</v>
          </cell>
          <cell r="I243" t="str">
            <v>Ranger Parawing</v>
          </cell>
          <cell r="J243" t="str">
            <v>650</v>
          </cell>
          <cell r="K243" t="str">
            <v>Lime</v>
          </cell>
          <cell r="L243" t="str">
            <v>5.2m</v>
          </cell>
          <cell r="M243" t="str">
            <v xml:space="preserve">Carry Over </v>
          </cell>
          <cell r="N243" t="str">
            <v xml:space="preserve">North Kite &amp; Foils </v>
          </cell>
          <cell r="P243" t="str">
            <v>85014.2600306505.2m</v>
          </cell>
          <cell r="Q243">
            <v>229</v>
          </cell>
          <cell r="R243">
            <v>0</v>
          </cell>
          <cell r="S243">
            <v>0</v>
          </cell>
          <cell r="T243">
            <v>749</v>
          </cell>
          <cell r="U243">
            <v>483.3</v>
          </cell>
          <cell r="V243">
            <v>483.22580645161287</v>
          </cell>
          <cell r="W243">
            <v>749</v>
          </cell>
          <cell r="X243">
            <v>483.3</v>
          </cell>
          <cell r="Y243">
            <v>1.5497620525553486</v>
          </cell>
          <cell r="Z243">
            <v>314.09677419354836</v>
          </cell>
          <cell r="AA243">
            <v>314.10000000000002</v>
          </cell>
          <cell r="AB243">
            <v>380.0570967741935</v>
          </cell>
          <cell r="AC243">
            <v>380.1</v>
          </cell>
        </row>
        <row r="244">
          <cell r="H244" t="str">
            <v>8715738899407</v>
          </cell>
          <cell r="I244" t="str">
            <v>Ranger Parawing Control Bar</v>
          </cell>
          <cell r="J244" t="str">
            <v>999</v>
          </cell>
          <cell r="K244" t="str">
            <v>Multiple Color</v>
          </cell>
          <cell r="L244" t="str">
            <v>O/S</v>
          </cell>
          <cell r="M244" t="str">
            <v xml:space="preserve">Carry Over </v>
          </cell>
          <cell r="N244" t="str">
            <v xml:space="preserve">North Kite &amp; Foils </v>
          </cell>
          <cell r="P244" t="str">
            <v>85006.260270999O/S</v>
          </cell>
          <cell r="Q244">
            <v>230</v>
          </cell>
          <cell r="R244">
            <v>0</v>
          </cell>
          <cell r="S244">
            <v>0</v>
          </cell>
          <cell r="T244">
            <v>69</v>
          </cell>
          <cell r="U244">
            <v>46</v>
          </cell>
          <cell r="V244">
            <v>46</v>
          </cell>
          <cell r="W244">
            <v>69</v>
          </cell>
          <cell r="X244">
            <v>46</v>
          </cell>
          <cell r="Y244">
            <v>1.5</v>
          </cell>
          <cell r="Z244">
            <v>32.199999999999996</v>
          </cell>
          <cell r="AA244">
            <v>32.200000000000003</v>
          </cell>
          <cell r="AB244">
            <v>38.961999999999996</v>
          </cell>
          <cell r="AC244">
            <v>39</v>
          </cell>
        </row>
        <row r="245">
          <cell r="H245" t="str">
            <v>8715738917415</v>
          </cell>
          <cell r="I245" t="str">
            <v>Rover Parawing Control Bar</v>
          </cell>
          <cell r="J245" t="str">
            <v>999</v>
          </cell>
          <cell r="K245" t="str">
            <v>Multiple Color</v>
          </cell>
          <cell r="L245" t="str">
            <v>O/S</v>
          </cell>
          <cell r="M245" t="str">
            <v>NEW</v>
          </cell>
          <cell r="N245" t="str">
            <v xml:space="preserve">North Kite &amp; Foils </v>
          </cell>
          <cell r="P245" t="str">
            <v>85006.260291999O/S</v>
          </cell>
          <cell r="Q245">
            <v>231</v>
          </cell>
          <cell r="R245" t="e">
            <v>#VALUE!</v>
          </cell>
          <cell r="S245" t="e">
            <v>#VALUE!</v>
          </cell>
          <cell r="T245" t="str">
            <v/>
          </cell>
          <cell r="U245" t="str">
            <v/>
          </cell>
          <cell r="V245">
            <v>46</v>
          </cell>
          <cell r="W245">
            <v>69</v>
          </cell>
          <cell r="X245">
            <v>46</v>
          </cell>
          <cell r="Y245">
            <v>1.5</v>
          </cell>
          <cell r="Z245">
            <v>32.199999999999996</v>
          </cell>
          <cell r="AA245">
            <v>32.200000000000003</v>
          </cell>
          <cell r="AB245">
            <v>38.961999999999996</v>
          </cell>
          <cell r="AC245">
            <v>39</v>
          </cell>
        </row>
        <row r="246">
          <cell r="H246" t="str">
            <v>8715738848504</v>
          </cell>
          <cell r="I246" t="str">
            <v>ShiftLock Handle - Carbon</v>
          </cell>
          <cell r="J246" t="str">
            <v>900</v>
          </cell>
          <cell r="K246" t="str">
            <v>Black</v>
          </cell>
          <cell r="L246" t="str">
            <v>250</v>
          </cell>
          <cell r="M246" t="str">
            <v xml:space="preserve">Carry Over </v>
          </cell>
          <cell r="N246" t="str">
            <v xml:space="preserve">North Kite &amp; Foils </v>
          </cell>
          <cell r="P246" t="str">
            <v>85015.240106900250</v>
          </cell>
          <cell r="Q246">
            <v>232</v>
          </cell>
          <cell r="R246">
            <v>0</v>
          </cell>
          <cell r="S246">
            <v>0</v>
          </cell>
          <cell r="T246">
            <v>80</v>
          </cell>
          <cell r="U246">
            <v>53.4</v>
          </cell>
          <cell r="V246">
            <v>53.333333333333336</v>
          </cell>
          <cell r="W246">
            <v>80</v>
          </cell>
          <cell r="X246">
            <v>53.4</v>
          </cell>
          <cell r="Y246">
            <v>1.4981273408239701</v>
          </cell>
          <cell r="Z246">
            <v>37.333333333333336</v>
          </cell>
          <cell r="AA246">
            <v>37.4</v>
          </cell>
          <cell r="AB246">
            <v>45.173333333333332</v>
          </cell>
          <cell r="AC246">
            <v>45.2</v>
          </cell>
        </row>
        <row r="247">
          <cell r="H247" t="str">
            <v>8715738848511</v>
          </cell>
          <cell r="I247" t="str">
            <v>ShiftLock Handle - Carbon</v>
          </cell>
          <cell r="J247" t="str">
            <v>900</v>
          </cell>
          <cell r="K247" t="str">
            <v>Black</v>
          </cell>
          <cell r="L247" t="str">
            <v>400</v>
          </cell>
          <cell r="M247" t="str">
            <v xml:space="preserve">Carry Over </v>
          </cell>
          <cell r="N247" t="str">
            <v xml:space="preserve">North Kite &amp; Foils </v>
          </cell>
          <cell r="P247" t="str">
            <v>85015.240106900400</v>
          </cell>
          <cell r="Q247">
            <v>233</v>
          </cell>
          <cell r="R247">
            <v>0</v>
          </cell>
          <cell r="S247">
            <v>0</v>
          </cell>
          <cell r="T247">
            <v>85</v>
          </cell>
          <cell r="U247">
            <v>56.7</v>
          </cell>
          <cell r="V247">
            <v>56.666666666666664</v>
          </cell>
          <cell r="W247">
            <v>85</v>
          </cell>
          <cell r="X247">
            <v>56.7</v>
          </cell>
          <cell r="Y247">
            <v>1.4991181657848325</v>
          </cell>
          <cell r="Z247">
            <v>39.666666666666664</v>
          </cell>
          <cell r="AA247">
            <v>39.700000000000003</v>
          </cell>
          <cell r="AB247">
            <v>47.996666666666663</v>
          </cell>
          <cell r="AC247">
            <v>48</v>
          </cell>
        </row>
        <row r="248">
          <cell r="H248" t="str">
            <v>8715738848528</v>
          </cell>
          <cell r="I248" t="str">
            <v>ShiftLock Handle - Carbon</v>
          </cell>
          <cell r="J248" t="str">
            <v>900</v>
          </cell>
          <cell r="K248" t="str">
            <v>Black</v>
          </cell>
          <cell r="L248" t="str">
            <v>500</v>
          </cell>
          <cell r="M248" t="str">
            <v xml:space="preserve">Carry Over </v>
          </cell>
          <cell r="N248" t="str">
            <v xml:space="preserve">North Kite &amp; Foils </v>
          </cell>
          <cell r="P248" t="str">
            <v>85015.240106900500</v>
          </cell>
          <cell r="Q248">
            <v>234</v>
          </cell>
          <cell r="R248">
            <v>0</v>
          </cell>
          <cell r="S248">
            <v>0</v>
          </cell>
          <cell r="T248">
            <v>97.5</v>
          </cell>
          <cell r="U248">
            <v>65</v>
          </cell>
          <cell r="V248">
            <v>65</v>
          </cell>
          <cell r="W248">
            <v>97.5</v>
          </cell>
          <cell r="X248">
            <v>65</v>
          </cell>
          <cell r="Y248">
            <v>1.5</v>
          </cell>
          <cell r="Z248">
            <v>45.5</v>
          </cell>
          <cell r="AA248">
            <v>45.5</v>
          </cell>
          <cell r="AB248">
            <v>55.055</v>
          </cell>
          <cell r="AC248">
            <v>55.1</v>
          </cell>
        </row>
        <row r="249">
          <cell r="H249" t="str">
            <v>8715738887824</v>
          </cell>
          <cell r="I249" t="str">
            <v>ShiftLock Handle - Carbon</v>
          </cell>
          <cell r="J249" t="str">
            <v>900</v>
          </cell>
          <cell r="K249" t="str">
            <v>Black</v>
          </cell>
          <cell r="L249" t="str">
            <v>950</v>
          </cell>
          <cell r="M249" t="str">
            <v xml:space="preserve">Carry Over </v>
          </cell>
          <cell r="N249" t="str">
            <v xml:space="preserve">North Kite &amp; Foils </v>
          </cell>
          <cell r="P249" t="str">
            <v>85015.240106900950</v>
          </cell>
          <cell r="Q249">
            <v>235</v>
          </cell>
          <cell r="R249">
            <v>0</v>
          </cell>
          <cell r="S249">
            <v>0</v>
          </cell>
          <cell r="T249">
            <v>122.5</v>
          </cell>
          <cell r="U249">
            <v>81.699999999999989</v>
          </cell>
          <cell r="V249">
            <v>81.666666666666671</v>
          </cell>
          <cell r="W249">
            <v>122.5</v>
          </cell>
          <cell r="X249">
            <v>81.699999999999989</v>
          </cell>
          <cell r="Y249">
            <v>1.4993880048959611</v>
          </cell>
          <cell r="Z249">
            <v>57.166666666666664</v>
          </cell>
          <cell r="AA249">
            <v>57.2</v>
          </cell>
          <cell r="AB249">
            <v>69.171666666666667</v>
          </cell>
          <cell r="AC249">
            <v>69.199999999999989</v>
          </cell>
        </row>
        <row r="250">
          <cell r="H250" t="str">
            <v>8715738848535</v>
          </cell>
          <cell r="I250" t="str">
            <v>ShiftLock Handle - Carbon</v>
          </cell>
          <cell r="J250" t="str">
            <v>900</v>
          </cell>
          <cell r="K250" t="str">
            <v>Black</v>
          </cell>
          <cell r="L250" t="str">
            <v>1100</v>
          </cell>
          <cell r="M250" t="str">
            <v xml:space="preserve">Carry Over </v>
          </cell>
          <cell r="N250" t="str">
            <v xml:space="preserve">North Kite &amp; Foils </v>
          </cell>
          <cell r="P250" t="str">
            <v>85015.2401069001100</v>
          </cell>
          <cell r="Q250">
            <v>236</v>
          </cell>
          <cell r="R250">
            <v>0</v>
          </cell>
          <cell r="S250">
            <v>0</v>
          </cell>
          <cell r="T250">
            <v>132.5</v>
          </cell>
          <cell r="U250">
            <v>88.399999999999991</v>
          </cell>
          <cell r="V250">
            <v>88.333333333333329</v>
          </cell>
          <cell r="W250">
            <v>132.5</v>
          </cell>
          <cell r="X250">
            <v>88.399999999999991</v>
          </cell>
          <cell r="Y250">
            <v>1.4988687782805432</v>
          </cell>
          <cell r="Z250">
            <v>61.833333333333329</v>
          </cell>
          <cell r="AA250">
            <v>61.9</v>
          </cell>
          <cell r="AB250">
            <v>74.818333333333328</v>
          </cell>
          <cell r="AC250">
            <v>74.899999999999991</v>
          </cell>
        </row>
        <row r="251">
          <cell r="H251" t="str">
            <v>8715738890688</v>
          </cell>
          <cell r="I251" t="str">
            <v>Shiftlock J Handle - Carbon</v>
          </cell>
          <cell r="J251" t="str">
            <v>900</v>
          </cell>
          <cell r="K251" t="str">
            <v>Black</v>
          </cell>
          <cell r="L251" t="str">
            <v>400</v>
          </cell>
          <cell r="M251" t="str">
            <v xml:space="preserve">Carry Over </v>
          </cell>
          <cell r="N251" t="str">
            <v xml:space="preserve">North Kite &amp; Foils </v>
          </cell>
          <cell r="P251" t="str">
            <v>85015.250207900400</v>
          </cell>
          <cell r="Q251">
            <v>237</v>
          </cell>
          <cell r="R251">
            <v>0</v>
          </cell>
          <cell r="S251">
            <v>0</v>
          </cell>
          <cell r="T251">
            <v>102.5</v>
          </cell>
          <cell r="U251">
            <v>68.399999999999991</v>
          </cell>
          <cell r="V251">
            <v>68.333333333333329</v>
          </cell>
          <cell r="W251">
            <v>102.5</v>
          </cell>
          <cell r="X251">
            <v>68.399999999999991</v>
          </cell>
          <cell r="Y251">
            <v>1.4985380116959066</v>
          </cell>
          <cell r="Z251">
            <v>47.833333333333329</v>
          </cell>
          <cell r="AA251">
            <v>47.9</v>
          </cell>
          <cell r="AB251">
            <v>57.878333333333323</v>
          </cell>
          <cell r="AC251">
            <v>57.9</v>
          </cell>
        </row>
        <row r="252">
          <cell r="H252" t="str">
            <v>8715738876781</v>
          </cell>
          <cell r="I252" t="str">
            <v>Sonar SF530 Front wing</v>
          </cell>
          <cell r="J252" t="str">
            <v>900</v>
          </cell>
          <cell r="K252" t="str">
            <v>Black</v>
          </cell>
          <cell r="L252" t="str">
            <v>530 cm²</v>
          </cell>
          <cell r="M252" t="str">
            <v xml:space="preserve">Carry Over </v>
          </cell>
          <cell r="N252" t="str">
            <v xml:space="preserve">North Kite &amp; Foils </v>
          </cell>
          <cell r="P252" t="str">
            <v>85004.250132900530 cm²</v>
          </cell>
          <cell r="Q252">
            <v>238</v>
          </cell>
          <cell r="R252">
            <v>0</v>
          </cell>
          <cell r="S252">
            <v>0</v>
          </cell>
          <cell r="T252">
            <v>635</v>
          </cell>
          <cell r="U252">
            <v>423.40000000000003</v>
          </cell>
          <cell r="V252">
            <v>423.33333333333331</v>
          </cell>
          <cell r="W252">
            <v>635</v>
          </cell>
          <cell r="X252">
            <v>423.40000000000003</v>
          </cell>
          <cell r="Y252">
            <v>1.4997638167217759</v>
          </cell>
          <cell r="Z252">
            <v>296.33333333333331</v>
          </cell>
          <cell r="AA252">
            <v>296.40000000000003</v>
          </cell>
          <cell r="AB252">
            <v>358.56333333333328</v>
          </cell>
          <cell r="AC252">
            <v>358.6</v>
          </cell>
        </row>
        <row r="253">
          <cell r="H253" t="str">
            <v>8715738846180</v>
          </cell>
          <cell r="I253" t="str">
            <v>Sonar SF680 Front wing</v>
          </cell>
          <cell r="J253" t="str">
            <v>900</v>
          </cell>
          <cell r="K253" t="str">
            <v>Black</v>
          </cell>
          <cell r="L253" t="str">
            <v>680 cm²</v>
          </cell>
          <cell r="M253" t="str">
            <v xml:space="preserve">Carry Over </v>
          </cell>
          <cell r="N253" t="str">
            <v xml:space="preserve">North Kite &amp; Foils </v>
          </cell>
          <cell r="P253" t="str">
            <v>85004.240095900680 cm²</v>
          </cell>
          <cell r="Q253">
            <v>239</v>
          </cell>
          <cell r="R253">
            <v>0</v>
          </cell>
          <cell r="S253">
            <v>0</v>
          </cell>
          <cell r="T253">
            <v>655</v>
          </cell>
          <cell r="U253">
            <v>436.70000000000005</v>
          </cell>
          <cell r="V253">
            <v>436.66666666666669</v>
          </cell>
          <cell r="W253">
            <v>655</v>
          </cell>
          <cell r="X253">
            <v>436.70000000000005</v>
          </cell>
          <cell r="Y253">
            <v>1.4998855049232882</v>
          </cell>
          <cell r="Z253">
            <v>305.66666666666669</v>
          </cell>
          <cell r="AA253">
            <v>305.70000000000005</v>
          </cell>
          <cell r="AB253">
            <v>369.85666666666668</v>
          </cell>
          <cell r="AC253">
            <v>369.90000000000003</v>
          </cell>
        </row>
        <row r="254">
          <cell r="H254" t="str">
            <v>8715738846173</v>
          </cell>
          <cell r="I254" t="str">
            <v>Sonar SF830 Front wing</v>
          </cell>
          <cell r="J254" t="str">
            <v>900</v>
          </cell>
          <cell r="K254" t="str">
            <v>Black</v>
          </cell>
          <cell r="L254" t="str">
            <v>830 cm²</v>
          </cell>
          <cell r="M254" t="str">
            <v xml:space="preserve">Carry Over </v>
          </cell>
          <cell r="N254" t="str">
            <v xml:space="preserve">North Kite &amp; Foils </v>
          </cell>
          <cell r="P254" t="str">
            <v>85004.240096900830 cm²</v>
          </cell>
          <cell r="Q254">
            <v>240</v>
          </cell>
          <cell r="R254">
            <v>0</v>
          </cell>
          <cell r="S254">
            <v>0</v>
          </cell>
          <cell r="T254">
            <v>675</v>
          </cell>
          <cell r="U254">
            <v>450</v>
          </cell>
          <cell r="V254">
            <v>450</v>
          </cell>
          <cell r="W254">
            <v>675</v>
          </cell>
          <cell r="X254">
            <v>450</v>
          </cell>
          <cell r="Y254">
            <v>1.5</v>
          </cell>
          <cell r="Z254">
            <v>315</v>
          </cell>
          <cell r="AA254">
            <v>315</v>
          </cell>
          <cell r="AB254">
            <v>381.15</v>
          </cell>
          <cell r="AC254">
            <v>381.20000000000005</v>
          </cell>
        </row>
        <row r="255">
          <cell r="H255" t="str">
            <v>8715738814073</v>
          </cell>
          <cell r="I255" t="str">
            <v>Sonar SF930 Front Wing</v>
          </cell>
          <cell r="J255" t="str">
            <v>900</v>
          </cell>
          <cell r="K255" t="str">
            <v>Black</v>
          </cell>
          <cell r="L255" t="str">
            <v>930 cm²</v>
          </cell>
          <cell r="M255" t="str">
            <v xml:space="preserve">Carry Over </v>
          </cell>
          <cell r="N255" t="str">
            <v xml:space="preserve">North Kite &amp; Foils </v>
          </cell>
          <cell r="P255" t="str">
            <v>85004.230091900930 cm²</v>
          </cell>
          <cell r="Q255">
            <v>241</v>
          </cell>
          <cell r="R255">
            <v>0</v>
          </cell>
          <cell r="S255">
            <v>0</v>
          </cell>
          <cell r="T255">
            <v>695</v>
          </cell>
          <cell r="U255">
            <v>463.40000000000003</v>
          </cell>
          <cell r="V255">
            <v>463.33333333333331</v>
          </cell>
          <cell r="W255">
            <v>695</v>
          </cell>
          <cell r="X255">
            <v>463.40000000000003</v>
          </cell>
          <cell r="Y255">
            <v>1.499784203711696</v>
          </cell>
          <cell r="Z255">
            <v>324.33333333333331</v>
          </cell>
          <cell r="AA255">
            <v>324.40000000000003</v>
          </cell>
          <cell r="AB255">
            <v>392.44333333333327</v>
          </cell>
          <cell r="AC255">
            <v>392.5</v>
          </cell>
        </row>
        <row r="256">
          <cell r="H256" t="str">
            <v>8715738814080</v>
          </cell>
          <cell r="I256" t="str">
            <v>Sonar SF1080 Front Wing</v>
          </cell>
          <cell r="J256" t="str">
            <v>900</v>
          </cell>
          <cell r="K256" t="str">
            <v>Black</v>
          </cell>
          <cell r="L256" t="str">
            <v>1080 cm²</v>
          </cell>
          <cell r="M256" t="str">
            <v xml:space="preserve">Carry Over </v>
          </cell>
          <cell r="N256" t="str">
            <v xml:space="preserve">North Kite &amp; Foils </v>
          </cell>
          <cell r="P256" t="str">
            <v>85004.2300929001080 cm²</v>
          </cell>
          <cell r="Q256">
            <v>242</v>
          </cell>
          <cell r="R256">
            <v>0</v>
          </cell>
          <cell r="S256">
            <v>0</v>
          </cell>
          <cell r="T256">
            <v>715</v>
          </cell>
          <cell r="U256">
            <v>476.70000000000005</v>
          </cell>
          <cell r="V256">
            <v>476.66666666666669</v>
          </cell>
          <cell r="W256">
            <v>715</v>
          </cell>
          <cell r="X256">
            <v>476.70000000000005</v>
          </cell>
          <cell r="Y256">
            <v>1.4998951122299138</v>
          </cell>
          <cell r="Z256">
            <v>333.66666666666669</v>
          </cell>
          <cell r="AA256">
            <v>333.70000000000005</v>
          </cell>
          <cell r="AB256">
            <v>403.73666666666668</v>
          </cell>
          <cell r="AC256">
            <v>403.8</v>
          </cell>
        </row>
        <row r="257">
          <cell r="H257" t="str">
            <v>8715738814097</v>
          </cell>
          <cell r="I257" t="str">
            <v>Sonar SF1230 Front Wing</v>
          </cell>
          <cell r="J257" t="str">
            <v>900</v>
          </cell>
          <cell r="K257" t="str">
            <v>Black</v>
          </cell>
          <cell r="L257" t="str">
            <v>1230 cm²</v>
          </cell>
          <cell r="M257" t="str">
            <v xml:space="preserve">Carry Over </v>
          </cell>
          <cell r="N257" t="str">
            <v xml:space="preserve">North Kite &amp; Foils </v>
          </cell>
          <cell r="P257" t="str">
            <v>85004.2300939001230 cm²</v>
          </cell>
          <cell r="Q257">
            <v>243</v>
          </cell>
          <cell r="R257">
            <v>0</v>
          </cell>
          <cell r="S257">
            <v>0</v>
          </cell>
          <cell r="T257">
            <v>735</v>
          </cell>
          <cell r="U257">
            <v>490</v>
          </cell>
          <cell r="V257">
            <v>490</v>
          </cell>
          <cell r="W257">
            <v>735</v>
          </cell>
          <cell r="X257">
            <v>490</v>
          </cell>
          <cell r="Y257">
            <v>1.5</v>
          </cell>
          <cell r="Z257">
            <v>343</v>
          </cell>
          <cell r="AA257">
            <v>343</v>
          </cell>
          <cell r="AB257">
            <v>415.03</v>
          </cell>
          <cell r="AC257">
            <v>415.1</v>
          </cell>
        </row>
        <row r="258">
          <cell r="H258" t="str">
            <v>8715738889408</v>
          </cell>
          <cell r="I258" t="str">
            <v>Sonar S145v2 Stabilizer</v>
          </cell>
          <cell r="J258" t="str">
            <v>900</v>
          </cell>
          <cell r="K258" t="str">
            <v>Black</v>
          </cell>
          <cell r="L258" t="str">
            <v>145 cm²</v>
          </cell>
          <cell r="M258" t="str">
            <v xml:space="preserve">Carry Over </v>
          </cell>
          <cell r="N258" t="str">
            <v xml:space="preserve">North Kite &amp; Foils </v>
          </cell>
          <cell r="P258" t="str">
            <v>85004.250139900145 cm²</v>
          </cell>
          <cell r="Q258">
            <v>244</v>
          </cell>
          <cell r="R258">
            <v>0</v>
          </cell>
          <cell r="S258">
            <v>0</v>
          </cell>
          <cell r="T258">
            <v>200</v>
          </cell>
          <cell r="U258">
            <v>133.4</v>
          </cell>
          <cell r="V258">
            <v>133.33333333333334</v>
          </cell>
          <cell r="W258">
            <v>200</v>
          </cell>
          <cell r="X258">
            <v>133.4</v>
          </cell>
          <cell r="Y258">
            <v>1.4992503748125936</v>
          </cell>
          <cell r="Z258">
            <v>93.333333333333329</v>
          </cell>
          <cell r="AA258">
            <v>93.399999999999991</v>
          </cell>
          <cell r="AB258">
            <v>112.93333333333332</v>
          </cell>
          <cell r="AC258">
            <v>113</v>
          </cell>
        </row>
        <row r="259">
          <cell r="H259" t="str">
            <v>8715738846678</v>
          </cell>
          <cell r="I259" t="str">
            <v>Sonar S185 Stabilizer</v>
          </cell>
          <cell r="J259" t="str">
            <v>900</v>
          </cell>
          <cell r="K259" t="str">
            <v>Black</v>
          </cell>
          <cell r="L259" t="str">
            <v>185 cm²</v>
          </cell>
          <cell r="M259" t="str">
            <v xml:space="preserve">Carry Over </v>
          </cell>
          <cell r="N259" t="str">
            <v xml:space="preserve">North Kite &amp; Foils </v>
          </cell>
          <cell r="P259" t="str">
            <v>85004.240097900185 cm²</v>
          </cell>
          <cell r="Q259">
            <v>245</v>
          </cell>
          <cell r="R259">
            <v>-7.5</v>
          </cell>
          <cell r="S259">
            <v>-7.5</v>
          </cell>
          <cell r="T259">
            <v>207.5</v>
          </cell>
          <cell r="U259">
            <v>138.4</v>
          </cell>
          <cell r="V259">
            <v>133.33333333333334</v>
          </cell>
          <cell r="W259">
            <v>200</v>
          </cell>
          <cell r="X259">
            <v>133.4</v>
          </cell>
          <cell r="Y259">
            <v>1.4992503748125936</v>
          </cell>
          <cell r="Z259">
            <v>93.333333333333329</v>
          </cell>
          <cell r="AA259">
            <v>93.399999999999991</v>
          </cell>
          <cell r="AB259">
            <v>112.93333333333332</v>
          </cell>
          <cell r="AC259">
            <v>113</v>
          </cell>
        </row>
        <row r="260">
          <cell r="H260" t="str">
            <v>8715738815216</v>
          </cell>
          <cell r="I260" t="str">
            <v>Sonar S215 Stabilizer</v>
          </cell>
          <cell r="J260" t="str">
            <v>900</v>
          </cell>
          <cell r="K260" t="str">
            <v>Black</v>
          </cell>
          <cell r="L260" t="str">
            <v>215 cm²</v>
          </cell>
          <cell r="M260" t="str">
            <v xml:space="preserve">Carry Over </v>
          </cell>
          <cell r="N260" t="str">
            <v xml:space="preserve">North Kite &amp; Foils </v>
          </cell>
          <cell r="P260" t="str">
            <v>85004.230096900215 cm²</v>
          </cell>
          <cell r="Q260">
            <v>246</v>
          </cell>
          <cell r="R260">
            <v>-15</v>
          </cell>
          <cell r="S260">
            <v>-15</v>
          </cell>
          <cell r="T260">
            <v>215</v>
          </cell>
          <cell r="U260">
            <v>143.4</v>
          </cell>
          <cell r="V260">
            <v>133.33333333333334</v>
          </cell>
          <cell r="W260">
            <v>200</v>
          </cell>
          <cell r="X260">
            <v>133.4</v>
          </cell>
          <cell r="Y260">
            <v>1.4992503748125936</v>
          </cell>
          <cell r="Z260">
            <v>93.333333333333329</v>
          </cell>
          <cell r="AA260">
            <v>93.399999999999991</v>
          </cell>
          <cell r="AB260">
            <v>112.93333333333332</v>
          </cell>
          <cell r="AC260">
            <v>113</v>
          </cell>
        </row>
        <row r="261">
          <cell r="H261" t="str">
            <v>8715738876668</v>
          </cell>
          <cell r="I261" t="str">
            <v>Sonar MA500v2 Front wing</v>
          </cell>
          <cell r="J261" t="str">
            <v>900</v>
          </cell>
          <cell r="K261" t="str">
            <v>Black</v>
          </cell>
          <cell r="L261" t="str">
            <v>500 cm²</v>
          </cell>
          <cell r="M261" t="str">
            <v xml:space="preserve">Carry Over </v>
          </cell>
          <cell r="N261" t="str">
            <v xml:space="preserve">North Kite &amp; Foils </v>
          </cell>
          <cell r="P261" t="str">
            <v>85004.250130900500 cm²</v>
          </cell>
          <cell r="Q261">
            <v>246</v>
          </cell>
          <cell r="R261">
            <v>0</v>
          </cell>
          <cell r="S261">
            <v>0</v>
          </cell>
          <cell r="T261">
            <v>624.5</v>
          </cell>
          <cell r="U261">
            <v>416.40000000000003</v>
          </cell>
          <cell r="V261">
            <v>416.33333333333331</v>
          </cell>
          <cell r="W261">
            <v>624.5</v>
          </cell>
          <cell r="X261">
            <v>416.40000000000003</v>
          </cell>
          <cell r="Y261">
            <v>1.4997598463016328</v>
          </cell>
          <cell r="Z261">
            <v>291.43333333333328</v>
          </cell>
          <cell r="AA261">
            <v>291.5</v>
          </cell>
          <cell r="AB261">
            <v>352.63433333333325</v>
          </cell>
          <cell r="AC261">
            <v>352.70000000000005</v>
          </cell>
        </row>
        <row r="262">
          <cell r="H262" t="str">
            <v>8715738876675</v>
          </cell>
          <cell r="I262" t="str">
            <v>Sonar MA600v2 Front wing</v>
          </cell>
          <cell r="J262" t="str">
            <v>900</v>
          </cell>
          <cell r="K262" t="str">
            <v>Black</v>
          </cell>
          <cell r="L262" t="str">
            <v>600 cm²</v>
          </cell>
          <cell r="M262" t="str">
            <v xml:space="preserve">Carry Over </v>
          </cell>
          <cell r="N262" t="str">
            <v xml:space="preserve">North Kite &amp; Foils </v>
          </cell>
          <cell r="P262" t="str">
            <v>85004.250131900600 cm²</v>
          </cell>
          <cell r="Q262">
            <v>247</v>
          </cell>
          <cell r="R262">
            <v>0</v>
          </cell>
          <cell r="S262">
            <v>0</v>
          </cell>
          <cell r="T262">
            <v>634.5</v>
          </cell>
          <cell r="U262">
            <v>423</v>
          </cell>
          <cell r="V262">
            <v>423</v>
          </cell>
          <cell r="W262">
            <v>634.5</v>
          </cell>
          <cell r="X262">
            <v>423</v>
          </cell>
          <cell r="Y262">
            <v>1.5</v>
          </cell>
          <cell r="Z262">
            <v>296.09999999999997</v>
          </cell>
          <cell r="AA262">
            <v>296.10000000000002</v>
          </cell>
          <cell r="AB262">
            <v>358.28099999999995</v>
          </cell>
          <cell r="AC262">
            <v>358.3</v>
          </cell>
        </row>
        <row r="263">
          <cell r="H263" t="str">
            <v>8715738846111</v>
          </cell>
          <cell r="I263" t="str">
            <v>Sonar MA700v2 Front Wing</v>
          </cell>
          <cell r="J263" t="str">
            <v>900</v>
          </cell>
          <cell r="K263" t="str">
            <v>Black</v>
          </cell>
          <cell r="L263" t="str">
            <v>700 cm²</v>
          </cell>
          <cell r="M263" t="str">
            <v xml:space="preserve">Carry Over </v>
          </cell>
          <cell r="N263" t="str">
            <v xml:space="preserve">North Kite &amp; Foils </v>
          </cell>
          <cell r="P263" t="str">
            <v>85004.240089900700 cm²</v>
          </cell>
          <cell r="Q263">
            <v>248</v>
          </cell>
          <cell r="R263">
            <v>0</v>
          </cell>
          <cell r="S263">
            <v>0</v>
          </cell>
          <cell r="T263">
            <v>654.5</v>
          </cell>
          <cell r="U263">
            <v>436.40000000000003</v>
          </cell>
          <cell r="V263">
            <v>436.33333333333331</v>
          </cell>
          <cell r="W263">
            <v>654.5</v>
          </cell>
          <cell r="X263">
            <v>436.40000000000003</v>
          </cell>
          <cell r="Y263">
            <v>1.4997708524289641</v>
          </cell>
          <cell r="Z263">
            <v>305.43333333333328</v>
          </cell>
          <cell r="AA263">
            <v>305.5</v>
          </cell>
          <cell r="AB263">
            <v>369.57433333333324</v>
          </cell>
          <cell r="AC263">
            <v>369.6</v>
          </cell>
        </row>
        <row r="264">
          <cell r="H264" t="str">
            <v>8715738825734</v>
          </cell>
          <cell r="I264" t="str">
            <v>Sonar MA850v2 Front Wing</v>
          </cell>
          <cell r="J264" t="str">
            <v>900</v>
          </cell>
          <cell r="K264" t="str">
            <v>Black</v>
          </cell>
          <cell r="L264" t="str">
            <v>850 cm²</v>
          </cell>
          <cell r="M264" t="str">
            <v xml:space="preserve">Carry Over </v>
          </cell>
          <cell r="N264" t="str">
            <v xml:space="preserve">North Kite &amp; Foils </v>
          </cell>
          <cell r="P264" t="str">
            <v>85004.240086900850 cm²</v>
          </cell>
          <cell r="Q264">
            <v>249</v>
          </cell>
          <cell r="R264">
            <v>0</v>
          </cell>
          <cell r="S264">
            <v>0</v>
          </cell>
          <cell r="T264">
            <v>675.5</v>
          </cell>
          <cell r="U264">
            <v>450.40000000000003</v>
          </cell>
          <cell r="V264">
            <v>450.33333333333331</v>
          </cell>
          <cell r="W264">
            <v>675.5</v>
          </cell>
          <cell r="X264">
            <v>450.40000000000003</v>
          </cell>
          <cell r="Y264">
            <v>1.4997779751332148</v>
          </cell>
          <cell r="Z264">
            <v>315.23333333333329</v>
          </cell>
          <cell r="AA264">
            <v>315.3</v>
          </cell>
          <cell r="AB264">
            <v>381.43233333333325</v>
          </cell>
          <cell r="AC264">
            <v>381.5</v>
          </cell>
        </row>
        <row r="265">
          <cell r="H265" t="str">
            <v>8715738911499</v>
          </cell>
          <cell r="I265" t="str">
            <v>Sonar MA950v2 Front Wing</v>
          </cell>
          <cell r="J265" t="str">
            <v>900</v>
          </cell>
          <cell r="K265" t="str">
            <v>Black</v>
          </cell>
          <cell r="L265" t="str">
            <v>950 cm²</v>
          </cell>
          <cell r="M265" t="str">
            <v>New</v>
          </cell>
          <cell r="N265" t="str">
            <v xml:space="preserve">North Kite &amp; Foils </v>
          </cell>
          <cell r="P265" t="str">
            <v>85004.260088900950 cm²</v>
          </cell>
          <cell r="Q265">
            <v>250</v>
          </cell>
          <cell r="R265" t="e">
            <v>#VALUE!</v>
          </cell>
          <cell r="S265" t="e">
            <v>#VALUE!</v>
          </cell>
          <cell r="T265" t="str">
            <v/>
          </cell>
          <cell r="U265" t="str">
            <v/>
          </cell>
          <cell r="V265">
            <v>457</v>
          </cell>
          <cell r="W265">
            <v>685.5</v>
          </cell>
          <cell r="X265">
            <v>457</v>
          </cell>
          <cell r="Y265">
            <v>1.5</v>
          </cell>
          <cell r="Z265">
            <v>319.89999999999998</v>
          </cell>
          <cell r="AA265">
            <v>319.89999999999998</v>
          </cell>
          <cell r="AB265">
            <v>387.07899999999995</v>
          </cell>
          <cell r="AC265">
            <v>387.1</v>
          </cell>
        </row>
        <row r="266">
          <cell r="H266" t="str">
            <v>8715738846128</v>
          </cell>
          <cell r="I266" t="str">
            <v>Sonar MA1050v2 Front Wing</v>
          </cell>
          <cell r="J266" t="str">
            <v>900</v>
          </cell>
          <cell r="K266" t="str">
            <v>Black</v>
          </cell>
          <cell r="L266" t="str">
            <v>1050 cm²</v>
          </cell>
          <cell r="M266" t="str">
            <v xml:space="preserve">Carry Over </v>
          </cell>
          <cell r="N266" t="str">
            <v xml:space="preserve">North Kite &amp; Foils </v>
          </cell>
          <cell r="P266" t="str">
            <v>85004.2400909001050 cm²</v>
          </cell>
          <cell r="Q266">
            <v>251</v>
          </cell>
          <cell r="R266">
            <v>0</v>
          </cell>
          <cell r="S266">
            <v>0</v>
          </cell>
          <cell r="T266">
            <v>695.5</v>
          </cell>
          <cell r="U266">
            <v>463.70000000000005</v>
          </cell>
          <cell r="V266">
            <v>463.66666666666669</v>
          </cell>
          <cell r="W266">
            <v>695.5</v>
          </cell>
          <cell r="X266">
            <v>463.70000000000005</v>
          </cell>
          <cell r="Y266">
            <v>1.4998921716627127</v>
          </cell>
          <cell r="Z266">
            <v>324.56666666666666</v>
          </cell>
          <cell r="AA266">
            <v>324.60000000000002</v>
          </cell>
          <cell r="AB266">
            <v>392.72566666666665</v>
          </cell>
          <cell r="AC266">
            <v>392.8</v>
          </cell>
        </row>
        <row r="267">
          <cell r="H267" t="str">
            <v>8715738846135</v>
          </cell>
          <cell r="I267" t="str">
            <v>Sonar MA1200v2 Front Wing</v>
          </cell>
          <cell r="J267" t="str">
            <v>900</v>
          </cell>
          <cell r="K267" t="str">
            <v>Black</v>
          </cell>
          <cell r="L267" t="str">
            <v>1200 cm²</v>
          </cell>
          <cell r="M267" t="str">
            <v xml:space="preserve">Carry Over </v>
          </cell>
          <cell r="N267" t="str">
            <v xml:space="preserve">North Kite &amp; Foils </v>
          </cell>
          <cell r="P267" t="str">
            <v>85004.2400919001200 cm²</v>
          </cell>
          <cell r="Q267">
            <v>252</v>
          </cell>
          <cell r="R267">
            <v>0</v>
          </cell>
          <cell r="S267">
            <v>0</v>
          </cell>
          <cell r="T267">
            <v>715</v>
          </cell>
          <cell r="U267">
            <v>476.70000000000005</v>
          </cell>
          <cell r="V267">
            <v>476.66666666666669</v>
          </cell>
          <cell r="W267">
            <v>715</v>
          </cell>
          <cell r="X267">
            <v>476.70000000000005</v>
          </cell>
          <cell r="Y267">
            <v>1.4998951122299138</v>
          </cell>
          <cell r="Z267">
            <v>333.66666666666669</v>
          </cell>
          <cell r="AA267">
            <v>333.70000000000005</v>
          </cell>
          <cell r="AB267">
            <v>403.73666666666668</v>
          </cell>
          <cell r="AC267">
            <v>403.8</v>
          </cell>
        </row>
        <row r="268">
          <cell r="H268" t="str">
            <v>8715738846142</v>
          </cell>
          <cell r="I268" t="str">
            <v>Sonar MA1500v2 Front Wing</v>
          </cell>
          <cell r="J268" t="str">
            <v>900</v>
          </cell>
          <cell r="K268" t="str">
            <v>Black</v>
          </cell>
          <cell r="L268" t="str">
            <v>1500 cm²</v>
          </cell>
          <cell r="M268" t="str">
            <v xml:space="preserve">Carry Over </v>
          </cell>
          <cell r="N268" t="str">
            <v xml:space="preserve">North Kite &amp; Foils </v>
          </cell>
          <cell r="P268" t="str">
            <v>85004.2400929001500 cm²</v>
          </cell>
          <cell r="Q268">
            <v>253</v>
          </cell>
          <cell r="R268">
            <v>0</v>
          </cell>
          <cell r="S268">
            <v>0</v>
          </cell>
          <cell r="T268">
            <v>725</v>
          </cell>
          <cell r="U268">
            <v>483.40000000000003</v>
          </cell>
          <cell r="V268">
            <v>483.33333333333331</v>
          </cell>
          <cell r="W268">
            <v>725</v>
          </cell>
          <cell r="X268">
            <v>483.40000000000003</v>
          </cell>
          <cell r="Y268">
            <v>1.4997931319817954</v>
          </cell>
          <cell r="Z268">
            <v>338.33333333333331</v>
          </cell>
          <cell r="AA268">
            <v>338.40000000000003</v>
          </cell>
          <cell r="AB268">
            <v>409.38333333333333</v>
          </cell>
          <cell r="AC268">
            <v>409.40000000000003</v>
          </cell>
        </row>
        <row r="269">
          <cell r="H269" t="str">
            <v>8715738825758</v>
          </cell>
          <cell r="I269" t="str">
            <v>Sonar MA1850v2 Front Wing</v>
          </cell>
          <cell r="J269" t="str">
            <v>900</v>
          </cell>
          <cell r="K269" t="str">
            <v>Black</v>
          </cell>
          <cell r="L269" t="str">
            <v>1850 cm²</v>
          </cell>
          <cell r="M269" t="str">
            <v xml:space="preserve">Carry Over </v>
          </cell>
          <cell r="N269" t="str">
            <v xml:space="preserve">North Kite &amp; Foils </v>
          </cell>
          <cell r="P269" t="str">
            <v>85004.2400879001850 cm²</v>
          </cell>
          <cell r="Q269">
            <v>254</v>
          </cell>
          <cell r="R269">
            <v>0</v>
          </cell>
          <cell r="S269">
            <v>0</v>
          </cell>
          <cell r="T269">
            <v>745</v>
          </cell>
          <cell r="U269">
            <v>496.70000000000005</v>
          </cell>
          <cell r="V269">
            <v>496.66666666666669</v>
          </cell>
          <cell r="W269">
            <v>745</v>
          </cell>
          <cell r="X269">
            <v>496.70000000000005</v>
          </cell>
          <cell r="Y269">
            <v>1.4998993356150592</v>
          </cell>
          <cell r="Z269">
            <v>347.66666666666669</v>
          </cell>
          <cell r="AA269">
            <v>347.70000000000005</v>
          </cell>
          <cell r="AB269">
            <v>420.67666666666668</v>
          </cell>
          <cell r="AC269">
            <v>420.70000000000005</v>
          </cell>
        </row>
        <row r="270">
          <cell r="H270" t="str">
            <v>8715738825741</v>
          </cell>
          <cell r="I270" t="str">
            <v>Sonar MA2100v2 Front Wing</v>
          </cell>
          <cell r="J270" t="str">
            <v>900</v>
          </cell>
          <cell r="K270" t="str">
            <v>Black</v>
          </cell>
          <cell r="L270" t="str">
            <v>2100 cm²</v>
          </cell>
          <cell r="M270" t="str">
            <v xml:space="preserve">Carry Over </v>
          </cell>
          <cell r="N270" t="str">
            <v xml:space="preserve">North Kite &amp; Foils </v>
          </cell>
          <cell r="P270" t="str">
            <v>85004.2400889002100 cm²</v>
          </cell>
          <cell r="Q270">
            <v>255</v>
          </cell>
          <cell r="R270">
            <v>0</v>
          </cell>
          <cell r="S270">
            <v>0</v>
          </cell>
          <cell r="T270">
            <v>765</v>
          </cell>
          <cell r="U270">
            <v>510</v>
          </cell>
          <cell r="V270">
            <v>510</v>
          </cell>
          <cell r="W270">
            <v>765</v>
          </cell>
          <cell r="X270">
            <v>510</v>
          </cell>
          <cell r="Y270">
            <v>1.5</v>
          </cell>
          <cell r="Z270">
            <v>357</v>
          </cell>
          <cell r="AA270">
            <v>357</v>
          </cell>
          <cell r="AB270">
            <v>431.96999999999997</v>
          </cell>
          <cell r="AC270">
            <v>432</v>
          </cell>
        </row>
        <row r="271">
          <cell r="H271" t="str">
            <v>8715738889736</v>
          </cell>
          <cell r="I271" t="str">
            <v>Sonar MA1200v2 Prime Front Wing</v>
          </cell>
          <cell r="J271" t="str">
            <v>900</v>
          </cell>
          <cell r="K271" t="str">
            <v>Black</v>
          </cell>
          <cell r="L271" t="str">
            <v>1200 cm²</v>
          </cell>
          <cell r="M271" t="str">
            <v xml:space="preserve">Carry Over </v>
          </cell>
          <cell r="N271" t="str">
            <v xml:space="preserve">North Kite &amp; Foils </v>
          </cell>
          <cell r="P271" t="str">
            <v>85004.2502019001200 cm²</v>
          </cell>
          <cell r="Q271">
            <v>256</v>
          </cell>
          <cell r="R271">
            <v>0</v>
          </cell>
          <cell r="S271">
            <v>0</v>
          </cell>
          <cell r="T271">
            <v>469</v>
          </cell>
          <cell r="U271">
            <v>312.70000000000005</v>
          </cell>
          <cell r="V271">
            <v>312.66666666666669</v>
          </cell>
          <cell r="W271">
            <v>469</v>
          </cell>
          <cell r="X271">
            <v>312.70000000000005</v>
          </cell>
          <cell r="Y271">
            <v>1.4998401023345056</v>
          </cell>
          <cell r="Z271">
            <v>218.86666666666667</v>
          </cell>
          <cell r="AA271">
            <v>218.9</v>
          </cell>
          <cell r="AB271">
            <v>264.82866666666666</v>
          </cell>
          <cell r="AC271">
            <v>264.90000000000003</v>
          </cell>
        </row>
        <row r="272">
          <cell r="H272" t="str">
            <v>8715738889156</v>
          </cell>
          <cell r="I272" t="str">
            <v>Sonar MA1500v2 Prime Front Wing</v>
          </cell>
          <cell r="J272" t="str">
            <v>900</v>
          </cell>
          <cell r="K272" t="str">
            <v>Black</v>
          </cell>
          <cell r="L272" t="str">
            <v>1500 cm²</v>
          </cell>
          <cell r="M272" t="str">
            <v xml:space="preserve">Carry Over </v>
          </cell>
          <cell r="N272" t="str">
            <v xml:space="preserve">North Kite &amp; Foils </v>
          </cell>
          <cell r="P272" t="str">
            <v>85004.2502009001500 cm²</v>
          </cell>
          <cell r="Q272">
            <v>257</v>
          </cell>
          <cell r="R272">
            <v>0</v>
          </cell>
          <cell r="S272">
            <v>0</v>
          </cell>
          <cell r="T272">
            <v>479</v>
          </cell>
          <cell r="U272">
            <v>319.40000000000003</v>
          </cell>
          <cell r="V272">
            <v>319.33333333333331</v>
          </cell>
          <cell r="W272">
            <v>479</v>
          </cell>
          <cell r="X272">
            <v>319.40000000000003</v>
          </cell>
          <cell r="Y272">
            <v>1.4996869129618031</v>
          </cell>
          <cell r="Z272">
            <v>223.5333333333333</v>
          </cell>
          <cell r="AA272">
            <v>223.6</v>
          </cell>
          <cell r="AB272">
            <v>270.47533333333331</v>
          </cell>
          <cell r="AC272">
            <v>270.5</v>
          </cell>
        </row>
        <row r="273">
          <cell r="H273" t="str">
            <v>8715738861732</v>
          </cell>
          <cell r="I273" t="str">
            <v>Sonar MA1850v2 Prime Front Wing</v>
          </cell>
          <cell r="J273" t="str">
            <v>900</v>
          </cell>
          <cell r="K273" t="str">
            <v>Black</v>
          </cell>
          <cell r="L273" t="str">
            <v>1850 cm²</v>
          </cell>
          <cell r="M273" t="str">
            <v xml:space="preserve">Carry Over </v>
          </cell>
          <cell r="N273" t="str">
            <v xml:space="preserve">North Kite &amp; Foils </v>
          </cell>
          <cell r="P273" t="str">
            <v>85004.2401009001850 cm²</v>
          </cell>
          <cell r="Q273">
            <v>258</v>
          </cell>
          <cell r="R273">
            <v>0</v>
          </cell>
          <cell r="S273">
            <v>0</v>
          </cell>
          <cell r="T273">
            <v>489</v>
          </cell>
          <cell r="U273">
            <v>326</v>
          </cell>
          <cell r="V273">
            <v>326</v>
          </cell>
          <cell r="W273">
            <v>489</v>
          </cell>
          <cell r="X273">
            <v>326</v>
          </cell>
          <cell r="Y273">
            <v>1.5</v>
          </cell>
          <cell r="Z273">
            <v>228.2</v>
          </cell>
          <cell r="AA273">
            <v>228.2</v>
          </cell>
          <cell r="AB273">
            <v>276.12199999999996</v>
          </cell>
          <cell r="AC273">
            <v>276.20000000000005</v>
          </cell>
        </row>
        <row r="274">
          <cell r="H274" t="str">
            <v>8715738861749</v>
          </cell>
          <cell r="I274" t="str">
            <v>Sonar MA2100v2 Prime Front Wing</v>
          </cell>
          <cell r="J274" t="str">
            <v>900</v>
          </cell>
          <cell r="K274" t="str">
            <v>Black</v>
          </cell>
          <cell r="L274" t="str">
            <v>2100 cm²</v>
          </cell>
          <cell r="M274" t="str">
            <v xml:space="preserve">Carry Over </v>
          </cell>
          <cell r="N274" t="str">
            <v xml:space="preserve">North Kite &amp; Foils </v>
          </cell>
          <cell r="P274" t="str">
            <v>85004.2401019002100 cm²</v>
          </cell>
          <cell r="Q274">
            <v>259</v>
          </cell>
          <cell r="R274">
            <v>0</v>
          </cell>
          <cell r="S274">
            <v>0</v>
          </cell>
          <cell r="T274">
            <v>499</v>
          </cell>
          <cell r="U274">
            <v>332.70000000000005</v>
          </cell>
          <cell r="V274">
            <v>332.66666666666669</v>
          </cell>
          <cell r="W274">
            <v>499</v>
          </cell>
          <cell r="X274">
            <v>332.70000000000005</v>
          </cell>
          <cell r="Y274">
            <v>1.499849714457469</v>
          </cell>
          <cell r="Z274">
            <v>232.86666666666667</v>
          </cell>
          <cell r="AA274">
            <v>232.9</v>
          </cell>
          <cell r="AB274">
            <v>281.76866666666666</v>
          </cell>
          <cell r="AC274">
            <v>281.8</v>
          </cell>
        </row>
        <row r="275">
          <cell r="H275" t="str">
            <v>8715738846159</v>
          </cell>
          <cell r="I275" t="str">
            <v>Sonar MA2400v2 Prime Front Wing</v>
          </cell>
          <cell r="J275" t="str">
            <v>900</v>
          </cell>
          <cell r="K275" t="str">
            <v>Black</v>
          </cell>
          <cell r="L275" t="str">
            <v>2400 cm²</v>
          </cell>
          <cell r="M275" t="str">
            <v xml:space="preserve">Carry Over </v>
          </cell>
          <cell r="N275" t="str">
            <v xml:space="preserve">North Kite &amp; Foils </v>
          </cell>
          <cell r="P275" t="str">
            <v>85004.2400939002400 cm²</v>
          </cell>
          <cell r="Q275">
            <v>260</v>
          </cell>
          <cell r="R275">
            <v>0</v>
          </cell>
          <cell r="S275">
            <v>0</v>
          </cell>
          <cell r="T275">
            <v>509</v>
          </cell>
          <cell r="U275">
            <v>339.40000000000003</v>
          </cell>
          <cell r="V275">
            <v>339.33333333333331</v>
          </cell>
          <cell r="W275">
            <v>509</v>
          </cell>
          <cell r="X275">
            <v>339.40000000000003</v>
          </cell>
          <cell r="Y275">
            <v>1.4997053624042427</v>
          </cell>
          <cell r="Z275">
            <v>237.5333333333333</v>
          </cell>
          <cell r="AA275">
            <v>237.6</v>
          </cell>
          <cell r="AB275">
            <v>287.41533333333331</v>
          </cell>
          <cell r="AC275">
            <v>287.5</v>
          </cell>
        </row>
        <row r="276">
          <cell r="H276" t="str">
            <v>8715738766600</v>
          </cell>
          <cell r="I276" t="str">
            <v>Sonar S210 Stabilizer</v>
          </cell>
          <cell r="J276" t="str">
            <v>900</v>
          </cell>
          <cell r="K276" t="str">
            <v>Black</v>
          </cell>
          <cell r="L276" t="str">
            <v>210 cm²</v>
          </cell>
          <cell r="M276" t="str">
            <v xml:space="preserve">Carry Over </v>
          </cell>
          <cell r="N276" t="str">
            <v xml:space="preserve">North Kite &amp; Foils </v>
          </cell>
          <cell r="P276" t="str">
            <v>85004.220090900210 cm²</v>
          </cell>
          <cell r="Q276">
            <v>261</v>
          </cell>
          <cell r="R276">
            <v>-14</v>
          </cell>
          <cell r="S276">
            <v>-14</v>
          </cell>
          <cell r="T276">
            <v>214</v>
          </cell>
          <cell r="U276">
            <v>142.69999999999999</v>
          </cell>
          <cell r="V276">
            <v>133.33333333333334</v>
          </cell>
          <cell r="W276">
            <v>200</v>
          </cell>
          <cell r="X276">
            <v>133.4</v>
          </cell>
          <cell r="Y276">
            <v>1.4992503748125936</v>
          </cell>
          <cell r="Z276">
            <v>93.333333333333329</v>
          </cell>
          <cell r="AA276">
            <v>93.399999999999991</v>
          </cell>
          <cell r="AB276">
            <v>112.93333333333332</v>
          </cell>
          <cell r="AC276">
            <v>113</v>
          </cell>
        </row>
        <row r="277">
          <cell r="H277" t="str">
            <v>8715738766402</v>
          </cell>
          <cell r="I277" t="str">
            <v>Sonar S270 Stabilizer</v>
          </cell>
          <cell r="J277" t="str">
            <v>900</v>
          </cell>
          <cell r="K277" t="str">
            <v>Black</v>
          </cell>
          <cell r="L277" t="str">
            <v>270 cm²</v>
          </cell>
          <cell r="M277" t="str">
            <v xml:space="preserve">Carry Over </v>
          </cell>
          <cell r="N277" t="str">
            <v xml:space="preserve">North Kite &amp; Foils </v>
          </cell>
          <cell r="P277" t="str">
            <v>85004.220091900270 cm²</v>
          </cell>
          <cell r="Q277">
            <v>262</v>
          </cell>
          <cell r="R277">
            <v>-17</v>
          </cell>
          <cell r="S277">
            <v>-17</v>
          </cell>
          <cell r="T277">
            <v>217</v>
          </cell>
          <cell r="U277">
            <v>144.69999999999999</v>
          </cell>
          <cell r="V277">
            <v>133.33333333333334</v>
          </cell>
          <cell r="W277">
            <v>200</v>
          </cell>
          <cell r="X277">
            <v>133.4</v>
          </cell>
          <cell r="Y277">
            <v>1.4992503748125936</v>
          </cell>
          <cell r="Z277">
            <v>93.333333333333329</v>
          </cell>
          <cell r="AA277">
            <v>93.399999999999991</v>
          </cell>
          <cell r="AB277">
            <v>112.93333333333332</v>
          </cell>
          <cell r="AC277">
            <v>113</v>
          </cell>
        </row>
        <row r="278">
          <cell r="H278" t="str">
            <v>8715738766419</v>
          </cell>
          <cell r="I278" t="str">
            <v>Sonar S320 Stabilizer</v>
          </cell>
          <cell r="J278" t="str">
            <v>900</v>
          </cell>
          <cell r="K278" t="str">
            <v>Black</v>
          </cell>
          <cell r="L278" t="str">
            <v>320 cm²</v>
          </cell>
          <cell r="M278" t="str">
            <v xml:space="preserve">Carry Over </v>
          </cell>
          <cell r="N278" t="str">
            <v xml:space="preserve">North Kite &amp; Foils </v>
          </cell>
          <cell r="P278" t="str">
            <v>85004.220092900320 cm²</v>
          </cell>
          <cell r="Q278">
            <v>263</v>
          </cell>
          <cell r="R278">
            <v>-20</v>
          </cell>
          <cell r="S278">
            <v>-20</v>
          </cell>
          <cell r="T278">
            <v>220</v>
          </cell>
          <cell r="U278">
            <v>146.69999999999999</v>
          </cell>
          <cell r="V278">
            <v>133.33333333333334</v>
          </cell>
          <cell r="W278">
            <v>200</v>
          </cell>
          <cell r="X278">
            <v>133.4</v>
          </cell>
          <cell r="Y278">
            <v>1.4992503748125936</v>
          </cell>
          <cell r="Z278">
            <v>93.333333333333329</v>
          </cell>
          <cell r="AA278">
            <v>93.399999999999991</v>
          </cell>
          <cell r="AB278">
            <v>112.93333333333332</v>
          </cell>
          <cell r="AC278">
            <v>113</v>
          </cell>
        </row>
        <row r="279">
          <cell r="H279" t="str">
            <v>8715738784734</v>
          </cell>
          <cell r="I279" t="str">
            <v>Sonar HA550 Front Wing</v>
          </cell>
          <cell r="J279" t="str">
            <v>900</v>
          </cell>
          <cell r="K279" t="str">
            <v>Black</v>
          </cell>
          <cell r="L279" t="str">
            <v>550 cm²</v>
          </cell>
          <cell r="M279" t="str">
            <v xml:space="preserve">Carry Over </v>
          </cell>
          <cell r="N279" t="str">
            <v xml:space="preserve">North Kite &amp; Foils </v>
          </cell>
          <cell r="P279" t="str">
            <v>85004.230100900550 cm²</v>
          </cell>
          <cell r="Q279">
            <v>264</v>
          </cell>
          <cell r="R279">
            <v>0</v>
          </cell>
          <cell r="S279">
            <v>0</v>
          </cell>
          <cell r="T279">
            <v>635</v>
          </cell>
          <cell r="U279">
            <v>423.40000000000003</v>
          </cell>
          <cell r="V279">
            <v>423.33333333333331</v>
          </cell>
          <cell r="W279">
            <v>635</v>
          </cell>
          <cell r="X279">
            <v>423.40000000000003</v>
          </cell>
          <cell r="Y279">
            <v>1.4997638167217759</v>
          </cell>
          <cell r="Z279">
            <v>296.33333333333331</v>
          </cell>
          <cell r="AA279">
            <v>296.40000000000003</v>
          </cell>
          <cell r="AB279">
            <v>358.56333333333328</v>
          </cell>
          <cell r="AC279">
            <v>358.6</v>
          </cell>
        </row>
        <row r="280">
          <cell r="H280" t="str">
            <v>8715738784741</v>
          </cell>
          <cell r="I280" t="str">
            <v>Sonar HA650 Front Wing</v>
          </cell>
          <cell r="J280" t="str">
            <v>900</v>
          </cell>
          <cell r="K280" t="str">
            <v>Black</v>
          </cell>
          <cell r="L280" t="str">
            <v>650 cm²</v>
          </cell>
          <cell r="M280" t="str">
            <v xml:space="preserve">Carry Over </v>
          </cell>
          <cell r="N280" t="str">
            <v xml:space="preserve">North Kite &amp; Foils </v>
          </cell>
          <cell r="P280" t="str">
            <v>85004.230101900650 cm²</v>
          </cell>
          <cell r="Q280">
            <v>265</v>
          </cell>
          <cell r="R280">
            <v>0</v>
          </cell>
          <cell r="S280">
            <v>0</v>
          </cell>
          <cell r="T280">
            <v>645</v>
          </cell>
          <cell r="U280">
            <v>430</v>
          </cell>
          <cell r="V280">
            <v>430</v>
          </cell>
          <cell r="W280">
            <v>645</v>
          </cell>
          <cell r="X280">
            <v>430</v>
          </cell>
          <cell r="Y280">
            <v>1.5</v>
          </cell>
          <cell r="Z280">
            <v>301</v>
          </cell>
          <cell r="AA280">
            <v>301</v>
          </cell>
          <cell r="AB280">
            <v>364.21</v>
          </cell>
          <cell r="AC280">
            <v>364.3</v>
          </cell>
        </row>
        <row r="281">
          <cell r="H281" t="str">
            <v>8715738784758</v>
          </cell>
          <cell r="I281" t="str">
            <v>Sonar HA750 Front Wing</v>
          </cell>
          <cell r="J281" t="str">
            <v>900</v>
          </cell>
          <cell r="K281" t="str">
            <v>Black</v>
          </cell>
          <cell r="L281" t="str">
            <v>750 cm²</v>
          </cell>
          <cell r="M281" t="str">
            <v xml:space="preserve">Carry Over </v>
          </cell>
          <cell r="N281" t="str">
            <v xml:space="preserve">North Kite &amp; Foils </v>
          </cell>
          <cell r="P281" t="str">
            <v>85004.230102900750 cm²</v>
          </cell>
          <cell r="Q281">
            <v>266</v>
          </cell>
          <cell r="R281">
            <v>0</v>
          </cell>
          <cell r="S281">
            <v>0</v>
          </cell>
          <cell r="T281">
            <v>655</v>
          </cell>
          <cell r="U281">
            <v>436.70000000000005</v>
          </cell>
          <cell r="V281">
            <v>436.66666666666669</v>
          </cell>
          <cell r="W281">
            <v>655</v>
          </cell>
          <cell r="X281">
            <v>436.70000000000005</v>
          </cell>
          <cell r="Y281">
            <v>1.4998855049232882</v>
          </cell>
          <cell r="Z281">
            <v>305.66666666666669</v>
          </cell>
          <cell r="AA281">
            <v>305.70000000000005</v>
          </cell>
          <cell r="AB281">
            <v>369.85666666666668</v>
          </cell>
          <cell r="AC281">
            <v>369.90000000000003</v>
          </cell>
        </row>
        <row r="282">
          <cell r="H282" t="str">
            <v>8715738783898</v>
          </cell>
          <cell r="I282" t="str">
            <v>Sonar HA850 Front Wing</v>
          </cell>
          <cell r="J282" t="str">
            <v>900</v>
          </cell>
          <cell r="K282" t="str">
            <v>Black</v>
          </cell>
          <cell r="L282" t="str">
            <v>850 cm²</v>
          </cell>
          <cell r="M282" t="str">
            <v xml:space="preserve">Carry Over </v>
          </cell>
          <cell r="N282" t="str">
            <v xml:space="preserve">North Kite &amp; Foils </v>
          </cell>
          <cell r="P282" t="str">
            <v>85004.230103900850 cm²</v>
          </cell>
          <cell r="Q282">
            <v>267</v>
          </cell>
          <cell r="R282">
            <v>0</v>
          </cell>
          <cell r="S282">
            <v>0</v>
          </cell>
          <cell r="T282">
            <v>665</v>
          </cell>
          <cell r="U282">
            <v>443.40000000000003</v>
          </cell>
          <cell r="V282">
            <v>443.33333333333331</v>
          </cell>
          <cell r="W282">
            <v>665</v>
          </cell>
          <cell r="X282">
            <v>443.40000000000003</v>
          </cell>
          <cell r="Y282">
            <v>1.4997744700045106</v>
          </cell>
          <cell r="Z282">
            <v>310.33333333333331</v>
          </cell>
          <cell r="AA282">
            <v>310.40000000000003</v>
          </cell>
          <cell r="AB282">
            <v>375.50333333333327</v>
          </cell>
          <cell r="AC282">
            <v>375.6</v>
          </cell>
        </row>
        <row r="283">
          <cell r="H283" t="str">
            <v>8715738784765</v>
          </cell>
          <cell r="I283" t="str">
            <v>Sonar HA950 Front Wing</v>
          </cell>
          <cell r="J283" t="str">
            <v>900</v>
          </cell>
          <cell r="K283" t="str">
            <v>Black</v>
          </cell>
          <cell r="L283" t="str">
            <v>950 cm²</v>
          </cell>
          <cell r="M283" t="str">
            <v xml:space="preserve">Carry Over </v>
          </cell>
          <cell r="N283" t="str">
            <v xml:space="preserve">North Kite &amp; Foils </v>
          </cell>
          <cell r="P283" t="str">
            <v>85004.230104900950 cm²</v>
          </cell>
          <cell r="Q283">
            <v>268</v>
          </cell>
          <cell r="R283">
            <v>0</v>
          </cell>
          <cell r="S283">
            <v>0</v>
          </cell>
          <cell r="T283">
            <v>675</v>
          </cell>
          <cell r="U283">
            <v>450</v>
          </cell>
          <cell r="V283">
            <v>450</v>
          </cell>
          <cell r="W283">
            <v>675</v>
          </cell>
          <cell r="X283">
            <v>450</v>
          </cell>
          <cell r="Y283">
            <v>1.5</v>
          </cell>
          <cell r="Z283">
            <v>315</v>
          </cell>
          <cell r="AA283">
            <v>315</v>
          </cell>
          <cell r="AB283">
            <v>381.15</v>
          </cell>
          <cell r="AC283">
            <v>381.20000000000005</v>
          </cell>
        </row>
        <row r="284">
          <cell r="H284" t="str">
            <v>8715738783904</v>
          </cell>
          <cell r="I284" t="str">
            <v>Sonar HA1050 Front Wing</v>
          </cell>
          <cell r="J284" t="str">
            <v>900</v>
          </cell>
          <cell r="K284" t="str">
            <v>Black</v>
          </cell>
          <cell r="L284" t="str">
            <v>1050 cm²</v>
          </cell>
          <cell r="M284" t="str">
            <v xml:space="preserve">Carry Over </v>
          </cell>
          <cell r="N284" t="str">
            <v xml:space="preserve">North Kite &amp; Foils </v>
          </cell>
          <cell r="P284" t="str">
            <v>85004.2301059001050 cm²</v>
          </cell>
          <cell r="Q284">
            <v>269</v>
          </cell>
          <cell r="R284">
            <v>0</v>
          </cell>
          <cell r="S284">
            <v>0</v>
          </cell>
          <cell r="T284">
            <v>685</v>
          </cell>
          <cell r="U284">
            <v>456.70000000000005</v>
          </cell>
          <cell r="V284">
            <v>456.66666666666669</v>
          </cell>
          <cell r="W284">
            <v>685</v>
          </cell>
          <cell r="X284">
            <v>456.70000000000005</v>
          </cell>
          <cell r="Y284">
            <v>1.4998905189402232</v>
          </cell>
          <cell r="Z284">
            <v>319.66666666666669</v>
          </cell>
          <cell r="AA284">
            <v>319.70000000000005</v>
          </cell>
          <cell r="AB284">
            <v>386.79666666666668</v>
          </cell>
          <cell r="AC284">
            <v>386.8</v>
          </cell>
        </row>
        <row r="285">
          <cell r="H285" t="str">
            <v>8715738784772</v>
          </cell>
          <cell r="I285" t="str">
            <v>Sonar HA1150 Front Wing</v>
          </cell>
          <cell r="J285" t="str">
            <v>900</v>
          </cell>
          <cell r="K285" t="str">
            <v>Black</v>
          </cell>
          <cell r="L285" t="str">
            <v>1150 cm²</v>
          </cell>
          <cell r="M285" t="str">
            <v xml:space="preserve">Carry Over </v>
          </cell>
          <cell r="N285" t="str">
            <v xml:space="preserve">North Kite &amp; Foils </v>
          </cell>
          <cell r="P285" t="str">
            <v>85004.2301069001150 cm²</v>
          </cell>
          <cell r="Q285">
            <v>270</v>
          </cell>
          <cell r="R285">
            <v>0</v>
          </cell>
          <cell r="S285">
            <v>0</v>
          </cell>
          <cell r="T285">
            <v>695</v>
          </cell>
          <cell r="U285">
            <v>463.40000000000003</v>
          </cell>
          <cell r="V285">
            <v>463.33333333333331</v>
          </cell>
          <cell r="W285">
            <v>695</v>
          </cell>
          <cell r="X285">
            <v>463.40000000000003</v>
          </cell>
          <cell r="Y285">
            <v>1.499784203711696</v>
          </cell>
          <cell r="Z285">
            <v>324.33333333333331</v>
          </cell>
          <cell r="AA285">
            <v>324.40000000000003</v>
          </cell>
          <cell r="AB285">
            <v>392.44333333333327</v>
          </cell>
          <cell r="AC285">
            <v>392.5</v>
          </cell>
        </row>
        <row r="286">
          <cell r="H286" t="str">
            <v>8715738784789</v>
          </cell>
          <cell r="I286" t="str">
            <v>Sonar HA1250 Front Wing</v>
          </cell>
          <cell r="J286" t="str">
            <v>900</v>
          </cell>
          <cell r="K286" t="str">
            <v>Black</v>
          </cell>
          <cell r="L286" t="str">
            <v>1250 cm²</v>
          </cell>
          <cell r="M286" t="str">
            <v xml:space="preserve">Carry Over </v>
          </cell>
          <cell r="N286" t="str">
            <v xml:space="preserve">North Kite &amp; Foils </v>
          </cell>
          <cell r="P286" t="str">
            <v>85004.2301079001250 cm²</v>
          </cell>
          <cell r="Q286">
            <v>271</v>
          </cell>
          <cell r="R286">
            <v>0</v>
          </cell>
          <cell r="S286">
            <v>0</v>
          </cell>
          <cell r="T286">
            <v>705</v>
          </cell>
          <cell r="U286">
            <v>470</v>
          </cell>
          <cell r="V286">
            <v>470</v>
          </cell>
          <cell r="W286">
            <v>705</v>
          </cell>
          <cell r="X286">
            <v>470</v>
          </cell>
          <cell r="Y286">
            <v>1.5</v>
          </cell>
          <cell r="Z286">
            <v>329</v>
          </cell>
          <cell r="AA286">
            <v>329</v>
          </cell>
          <cell r="AB286">
            <v>398.09</v>
          </cell>
          <cell r="AC286">
            <v>398.1</v>
          </cell>
        </row>
        <row r="287">
          <cell r="H287" t="str">
            <v>8715738784796</v>
          </cell>
          <cell r="I287" t="str">
            <v>Sonar HA1450 Front Wing</v>
          </cell>
          <cell r="J287" t="str">
            <v>900</v>
          </cell>
          <cell r="K287" t="str">
            <v>Black</v>
          </cell>
          <cell r="L287" t="str">
            <v>1450 cm²</v>
          </cell>
          <cell r="M287" t="str">
            <v xml:space="preserve">Carry Over </v>
          </cell>
          <cell r="N287" t="str">
            <v xml:space="preserve">North Kite &amp; Foils </v>
          </cell>
          <cell r="P287" t="str">
            <v>85004.2301089001450 cm²</v>
          </cell>
          <cell r="Q287">
            <v>272</v>
          </cell>
          <cell r="R287">
            <v>0</v>
          </cell>
          <cell r="S287">
            <v>0</v>
          </cell>
          <cell r="T287">
            <v>725</v>
          </cell>
          <cell r="U287">
            <v>483.40000000000003</v>
          </cell>
          <cell r="V287">
            <v>483.33333333333331</v>
          </cell>
          <cell r="W287">
            <v>725</v>
          </cell>
          <cell r="X287">
            <v>483.40000000000003</v>
          </cell>
          <cell r="Y287">
            <v>1.4997931319817954</v>
          </cell>
          <cell r="Z287">
            <v>338.33333333333331</v>
          </cell>
          <cell r="AA287">
            <v>338.40000000000003</v>
          </cell>
          <cell r="AB287">
            <v>409.38333333333333</v>
          </cell>
          <cell r="AC287">
            <v>409.40000000000003</v>
          </cell>
        </row>
        <row r="288">
          <cell r="H288" t="str">
            <v>8715738889330</v>
          </cell>
          <cell r="I288" t="str">
            <v>Sonar S158 Stabilizer V2</v>
          </cell>
          <cell r="J288" t="str">
            <v>900</v>
          </cell>
          <cell r="K288" t="str">
            <v>Black</v>
          </cell>
          <cell r="L288" t="str">
            <v>158 cm²</v>
          </cell>
          <cell r="M288" t="str">
            <v xml:space="preserve">Carry Over </v>
          </cell>
          <cell r="N288" t="str">
            <v xml:space="preserve">North Kite &amp; Foils </v>
          </cell>
          <cell r="P288" t="str">
            <v>85004.250138900158 cm²</v>
          </cell>
          <cell r="Q288">
            <v>273</v>
          </cell>
          <cell r="R288">
            <v>10</v>
          </cell>
          <cell r="S288">
            <v>10</v>
          </cell>
          <cell r="T288">
            <v>205</v>
          </cell>
          <cell r="U288">
            <v>136.69999999999999</v>
          </cell>
          <cell r="V288">
            <v>143.33333333333334</v>
          </cell>
          <cell r="W288">
            <v>215</v>
          </cell>
          <cell r="X288">
            <v>143.4</v>
          </cell>
          <cell r="Y288">
            <v>1.4993026499302649</v>
          </cell>
          <cell r="Z288">
            <v>100.33333333333333</v>
          </cell>
          <cell r="AA288">
            <v>100.39999999999999</v>
          </cell>
          <cell r="AB288">
            <v>121.40333333333332</v>
          </cell>
          <cell r="AC288">
            <v>121.5</v>
          </cell>
        </row>
        <row r="289">
          <cell r="H289" t="str">
            <v>8715738898547</v>
          </cell>
          <cell r="I289" t="str">
            <v>Sonar Speed v2 Stabilizer S178</v>
          </cell>
          <cell r="J289" t="str">
            <v>900</v>
          </cell>
          <cell r="K289" t="str">
            <v>Black</v>
          </cell>
          <cell r="L289" t="str">
            <v>S178</v>
          </cell>
          <cell r="M289" t="str">
            <v>New</v>
          </cell>
          <cell r="N289" t="str">
            <v xml:space="preserve">North Kite &amp; Foils </v>
          </cell>
          <cell r="P289" t="str">
            <v>85004.260140900S178</v>
          </cell>
          <cell r="Q289">
            <v>274</v>
          </cell>
          <cell r="R289" t="e">
            <v>#VALUE!</v>
          </cell>
          <cell r="S289" t="e">
            <v>#VALUE!</v>
          </cell>
          <cell r="T289" t="str">
            <v/>
          </cell>
          <cell r="U289" t="str">
            <v/>
          </cell>
          <cell r="V289">
            <v>133.33333333333334</v>
          </cell>
          <cell r="W289">
            <v>200</v>
          </cell>
          <cell r="X289">
            <v>133.4</v>
          </cell>
          <cell r="Y289">
            <v>1.4992503748125936</v>
          </cell>
          <cell r="Z289">
            <v>93.333333333333329</v>
          </cell>
          <cell r="AA289">
            <v>93.399999999999991</v>
          </cell>
          <cell r="AB289">
            <v>112.93333333333332</v>
          </cell>
          <cell r="AC289">
            <v>113</v>
          </cell>
        </row>
        <row r="290">
          <cell r="H290" t="str">
            <v>8715738815209</v>
          </cell>
          <cell r="I290" t="str">
            <v>Sonar S178 Stabilizer</v>
          </cell>
          <cell r="J290" t="str">
            <v>900</v>
          </cell>
          <cell r="K290" t="str">
            <v>Black</v>
          </cell>
          <cell r="L290" t="str">
            <v>178 cm²</v>
          </cell>
          <cell r="M290" t="str">
            <v xml:space="preserve">Carry Over </v>
          </cell>
          <cell r="N290" t="str">
            <v xml:space="preserve">North Kite &amp; Foils </v>
          </cell>
          <cell r="P290" t="str">
            <v>85004.230095900178 cm²</v>
          </cell>
          <cell r="Q290">
            <v>275</v>
          </cell>
          <cell r="R290">
            <v>-5</v>
          </cell>
          <cell r="S290">
            <v>-5</v>
          </cell>
          <cell r="T290">
            <v>205</v>
          </cell>
          <cell r="U290">
            <v>136.69999999999999</v>
          </cell>
          <cell r="V290">
            <v>133.33333333333334</v>
          </cell>
          <cell r="W290">
            <v>200</v>
          </cell>
          <cell r="X290">
            <v>133.4</v>
          </cell>
          <cell r="Y290">
            <v>1.4992503748125936</v>
          </cell>
          <cell r="Z290">
            <v>93.333333333333329</v>
          </cell>
          <cell r="AA290">
            <v>93.399999999999991</v>
          </cell>
          <cell r="AB290">
            <v>112.93333333333332</v>
          </cell>
          <cell r="AC290">
            <v>113</v>
          </cell>
        </row>
        <row r="291">
          <cell r="H291" t="str">
            <v>8715738898554</v>
          </cell>
          <cell r="I291" t="str">
            <v>Sonar Speed v2 Stabilizer S208</v>
          </cell>
          <cell r="J291" t="str">
            <v>900</v>
          </cell>
          <cell r="K291" t="str">
            <v>Black</v>
          </cell>
          <cell r="L291" t="str">
            <v>S208</v>
          </cell>
          <cell r="M291" t="str">
            <v>New</v>
          </cell>
          <cell r="N291" t="str">
            <v xml:space="preserve">North Kite &amp; Foils </v>
          </cell>
          <cell r="P291" t="str">
            <v>85004.260141900S208</v>
          </cell>
          <cell r="Q291">
            <v>276</v>
          </cell>
          <cell r="R291" t="e">
            <v>#VALUE!</v>
          </cell>
          <cell r="S291" t="e">
            <v>#VALUE!</v>
          </cell>
          <cell r="T291" t="str">
            <v/>
          </cell>
          <cell r="U291" t="str">
            <v/>
          </cell>
          <cell r="V291">
            <v>133.33333333333334</v>
          </cell>
          <cell r="W291">
            <v>200</v>
          </cell>
          <cell r="X291">
            <v>133.4</v>
          </cell>
          <cell r="Y291">
            <v>1.4992503748125936</v>
          </cell>
          <cell r="Z291">
            <v>93.333333333333329</v>
          </cell>
          <cell r="AA291">
            <v>93.399999999999991</v>
          </cell>
          <cell r="AB291">
            <v>112.93333333333332</v>
          </cell>
          <cell r="AC291">
            <v>113</v>
          </cell>
        </row>
        <row r="292">
          <cell r="H292" t="str">
            <v>8715738784802</v>
          </cell>
          <cell r="I292" t="str">
            <v>Sonar S208 Stabilizer</v>
          </cell>
          <cell r="J292" t="str">
            <v>900</v>
          </cell>
          <cell r="K292" t="str">
            <v>Black</v>
          </cell>
          <cell r="L292" t="str">
            <v>208 cm²</v>
          </cell>
          <cell r="M292" t="str">
            <v xml:space="preserve">Carry Over </v>
          </cell>
          <cell r="N292" t="str">
            <v xml:space="preserve">North Kite &amp; Foils </v>
          </cell>
          <cell r="P292" t="str">
            <v>85004.230094900208 cm²</v>
          </cell>
          <cell r="Q292">
            <v>277</v>
          </cell>
          <cell r="R292">
            <v>-12</v>
          </cell>
          <cell r="S292">
            <v>-12</v>
          </cell>
          <cell r="T292">
            <v>212</v>
          </cell>
          <cell r="U292">
            <v>141.4</v>
          </cell>
          <cell r="V292">
            <v>133.33333333333334</v>
          </cell>
          <cell r="W292">
            <v>200</v>
          </cell>
          <cell r="X292">
            <v>133.4</v>
          </cell>
          <cell r="Y292">
            <v>1.4992503748125936</v>
          </cell>
          <cell r="Z292">
            <v>93.333333333333329</v>
          </cell>
          <cell r="AA292">
            <v>93.399999999999991</v>
          </cell>
          <cell r="AB292">
            <v>112.93333333333332</v>
          </cell>
          <cell r="AC292">
            <v>113</v>
          </cell>
        </row>
        <row r="293">
          <cell r="H293" t="str">
            <v>8715738846685</v>
          </cell>
          <cell r="I293" t="str">
            <v>Sonar S238 Stabilizer</v>
          </cell>
          <cell r="J293" t="str">
            <v>900</v>
          </cell>
          <cell r="K293" t="str">
            <v>Black</v>
          </cell>
          <cell r="L293" t="str">
            <v>238 cm²</v>
          </cell>
          <cell r="M293" t="str">
            <v xml:space="preserve">Carry Over </v>
          </cell>
          <cell r="N293" t="str">
            <v xml:space="preserve">North Kite &amp; Foils </v>
          </cell>
          <cell r="P293" t="str">
            <v>85004.240098900238 cm²</v>
          </cell>
          <cell r="Q293">
            <v>278</v>
          </cell>
          <cell r="R293">
            <v>-17</v>
          </cell>
          <cell r="S293">
            <v>-17</v>
          </cell>
          <cell r="T293">
            <v>217</v>
          </cell>
          <cell r="U293">
            <v>144.69999999999999</v>
          </cell>
          <cell r="V293">
            <v>133.33333333333334</v>
          </cell>
          <cell r="W293">
            <v>200</v>
          </cell>
          <cell r="X293">
            <v>133.4</v>
          </cell>
          <cell r="Y293">
            <v>1.4992503748125936</v>
          </cell>
          <cell r="Z293">
            <v>93.333333333333329</v>
          </cell>
          <cell r="AA293">
            <v>93.399999999999991</v>
          </cell>
          <cell r="AB293">
            <v>112.93333333333332</v>
          </cell>
          <cell r="AC293">
            <v>113</v>
          </cell>
        </row>
        <row r="294">
          <cell r="H294" t="str">
            <v>8715738889293</v>
          </cell>
          <cell r="I294" t="str">
            <v>Sonar DW690 Front Wing</v>
          </cell>
          <cell r="J294" t="str">
            <v>900</v>
          </cell>
          <cell r="K294" t="str">
            <v>Black</v>
          </cell>
          <cell r="L294" t="str">
            <v>690 cm²</v>
          </cell>
          <cell r="M294" t="str">
            <v xml:space="preserve">Carry Over </v>
          </cell>
          <cell r="N294" t="str">
            <v xml:space="preserve">North Kite &amp; Foils </v>
          </cell>
          <cell r="P294" t="str">
            <v>85004.250135900690 cm²</v>
          </cell>
          <cell r="Q294">
            <v>279</v>
          </cell>
          <cell r="R294">
            <v>0</v>
          </cell>
          <cell r="S294">
            <v>0</v>
          </cell>
          <cell r="T294">
            <v>755</v>
          </cell>
          <cell r="U294">
            <v>503.40000000000003</v>
          </cell>
          <cell r="V294">
            <v>503.33333333333331</v>
          </cell>
          <cell r="W294">
            <v>755</v>
          </cell>
          <cell r="X294">
            <v>503.40000000000003</v>
          </cell>
          <cell r="Y294">
            <v>1.4998013508144616</v>
          </cell>
          <cell r="Z294">
            <v>352.33333333333331</v>
          </cell>
          <cell r="AA294">
            <v>352.40000000000003</v>
          </cell>
          <cell r="AB294">
            <v>426.32333333333332</v>
          </cell>
          <cell r="AC294">
            <v>426.40000000000003</v>
          </cell>
        </row>
        <row r="295">
          <cell r="H295" t="str">
            <v>8715738863347</v>
          </cell>
          <cell r="I295" t="str">
            <v>Sonar DW750 Front Wing</v>
          </cell>
          <cell r="J295" t="str">
            <v>900</v>
          </cell>
          <cell r="K295" t="str">
            <v>Black</v>
          </cell>
          <cell r="L295" t="str">
            <v>750 cm²</v>
          </cell>
          <cell r="M295" t="str">
            <v xml:space="preserve">Carry Over </v>
          </cell>
          <cell r="N295" t="str">
            <v xml:space="preserve">North Kite &amp; Foils </v>
          </cell>
          <cell r="P295" t="str">
            <v>85004.240069900750 cm²</v>
          </cell>
          <cell r="Q295">
            <v>280</v>
          </cell>
          <cell r="R295">
            <v>0</v>
          </cell>
          <cell r="S295">
            <v>0</v>
          </cell>
          <cell r="T295">
            <v>780</v>
          </cell>
          <cell r="U295">
            <v>520</v>
          </cell>
          <cell r="V295">
            <v>520</v>
          </cell>
          <cell r="W295">
            <v>780</v>
          </cell>
          <cell r="X295">
            <v>520</v>
          </cell>
          <cell r="Y295">
            <v>1.5</v>
          </cell>
          <cell r="Z295">
            <v>364</v>
          </cell>
          <cell r="AA295">
            <v>364</v>
          </cell>
          <cell r="AB295">
            <v>440.44</v>
          </cell>
          <cell r="AC295">
            <v>440.5</v>
          </cell>
        </row>
        <row r="296">
          <cell r="H296" t="str">
            <v>8715738889323</v>
          </cell>
          <cell r="I296" t="str">
            <v>Sonar DW820 Front Wing</v>
          </cell>
          <cell r="J296" t="str">
            <v>900</v>
          </cell>
          <cell r="K296" t="str">
            <v>Black</v>
          </cell>
          <cell r="L296" t="str">
            <v>820 cm²</v>
          </cell>
          <cell r="M296" t="str">
            <v xml:space="preserve">Carry Over </v>
          </cell>
          <cell r="N296" t="str">
            <v xml:space="preserve">North Kite &amp; Foils </v>
          </cell>
          <cell r="P296" t="str">
            <v>85004.250136900820 cm²</v>
          </cell>
          <cell r="Q296">
            <v>281</v>
          </cell>
          <cell r="R296">
            <v>0</v>
          </cell>
          <cell r="S296">
            <v>0</v>
          </cell>
          <cell r="T296">
            <v>799</v>
          </cell>
          <cell r="U296">
            <v>532.70000000000005</v>
          </cell>
          <cell r="V296">
            <v>532.66666666666663</v>
          </cell>
          <cell r="W296">
            <v>799</v>
          </cell>
          <cell r="X296">
            <v>532.70000000000005</v>
          </cell>
          <cell r="Y296">
            <v>1.4999061385395156</v>
          </cell>
          <cell r="Z296">
            <v>372.86666666666662</v>
          </cell>
          <cell r="AA296">
            <v>372.90000000000003</v>
          </cell>
          <cell r="AB296">
            <v>451.16866666666658</v>
          </cell>
          <cell r="AC296">
            <v>451.20000000000005</v>
          </cell>
        </row>
        <row r="297">
          <cell r="H297" t="str">
            <v>8715738863330</v>
          </cell>
          <cell r="I297" t="str">
            <v>Sonar DW900 Front wing</v>
          </cell>
          <cell r="J297" t="str">
            <v>900</v>
          </cell>
          <cell r="K297" t="str">
            <v>Black</v>
          </cell>
          <cell r="L297" t="str">
            <v>900 cm²</v>
          </cell>
          <cell r="M297" t="str">
            <v xml:space="preserve">Carry Over </v>
          </cell>
          <cell r="N297" t="str">
            <v xml:space="preserve">North Kite &amp; Foils </v>
          </cell>
          <cell r="P297" t="str">
            <v>85004.240074900900 cm²</v>
          </cell>
          <cell r="Q297">
            <v>282</v>
          </cell>
          <cell r="R297">
            <v>0</v>
          </cell>
          <cell r="S297">
            <v>0</v>
          </cell>
          <cell r="T297">
            <v>819</v>
          </cell>
          <cell r="U297">
            <v>546</v>
          </cell>
          <cell r="V297">
            <v>546</v>
          </cell>
          <cell r="W297">
            <v>819</v>
          </cell>
          <cell r="X297">
            <v>546</v>
          </cell>
          <cell r="Y297">
            <v>1.5</v>
          </cell>
          <cell r="Z297">
            <v>382.2</v>
          </cell>
          <cell r="AA297">
            <v>382.2</v>
          </cell>
          <cell r="AB297">
            <v>462.46199999999999</v>
          </cell>
          <cell r="AC297">
            <v>462.5</v>
          </cell>
        </row>
        <row r="298">
          <cell r="H298" t="str">
            <v>8715738852891</v>
          </cell>
          <cell r="I298" t="str">
            <v>Sonar DW1100 Front wing</v>
          </cell>
          <cell r="J298" t="str">
            <v>900</v>
          </cell>
          <cell r="K298" t="str">
            <v>Black</v>
          </cell>
          <cell r="L298" t="str">
            <v>1100 cm²</v>
          </cell>
          <cell r="M298" t="str">
            <v xml:space="preserve">Carry Over </v>
          </cell>
          <cell r="N298" t="str">
            <v xml:space="preserve">North Kite &amp; Foils </v>
          </cell>
          <cell r="P298" t="str">
            <v>85004.2400759001100 cm²</v>
          </cell>
          <cell r="Q298">
            <v>283</v>
          </cell>
          <cell r="R298">
            <v>0</v>
          </cell>
          <cell r="S298">
            <v>0</v>
          </cell>
          <cell r="T298">
            <v>839</v>
          </cell>
          <cell r="U298">
            <v>559.4</v>
          </cell>
          <cell r="V298">
            <v>559.33333333333337</v>
          </cell>
          <cell r="W298">
            <v>839</v>
          </cell>
          <cell r="X298">
            <v>559.4</v>
          </cell>
          <cell r="Y298">
            <v>1.4998212370396855</v>
          </cell>
          <cell r="Z298">
            <v>391.53333333333336</v>
          </cell>
          <cell r="AA298">
            <v>391.6</v>
          </cell>
          <cell r="AB298">
            <v>473.75533333333334</v>
          </cell>
          <cell r="AC298">
            <v>473.8</v>
          </cell>
        </row>
        <row r="299">
          <cell r="H299" t="str">
            <v>8715738852907</v>
          </cell>
          <cell r="I299" t="str">
            <v>Sonar DW1400 Front wing</v>
          </cell>
          <cell r="J299" t="str">
            <v>900</v>
          </cell>
          <cell r="K299" t="str">
            <v>Black</v>
          </cell>
          <cell r="L299" t="str">
            <v>1400 cm²</v>
          </cell>
          <cell r="M299" t="str">
            <v xml:space="preserve">Carry Over </v>
          </cell>
          <cell r="N299" t="str">
            <v xml:space="preserve">North Kite &amp; Foils </v>
          </cell>
          <cell r="P299" t="str">
            <v>85004.2400769001400 cm²</v>
          </cell>
          <cell r="Q299">
            <v>284</v>
          </cell>
          <cell r="R299">
            <v>0</v>
          </cell>
          <cell r="S299">
            <v>0</v>
          </cell>
          <cell r="T299">
            <v>859</v>
          </cell>
          <cell r="U299">
            <v>572.70000000000005</v>
          </cell>
          <cell r="V299">
            <v>572.66666666666663</v>
          </cell>
          <cell r="W299">
            <v>859</v>
          </cell>
          <cell r="X299">
            <v>572.70000000000005</v>
          </cell>
          <cell r="Y299">
            <v>1.4999126942552818</v>
          </cell>
          <cell r="Z299">
            <v>400.86666666666662</v>
          </cell>
          <cell r="AA299">
            <v>400.90000000000003</v>
          </cell>
          <cell r="AB299">
            <v>485.04866666666658</v>
          </cell>
          <cell r="AC299">
            <v>485.1</v>
          </cell>
        </row>
        <row r="300">
          <cell r="H300" t="str">
            <v>8715738852853</v>
          </cell>
          <cell r="I300" t="str">
            <v>Sonar P1800 Front wing</v>
          </cell>
          <cell r="J300" t="str">
            <v>900</v>
          </cell>
          <cell r="K300" t="str">
            <v>Black</v>
          </cell>
          <cell r="L300" t="str">
            <v>1800 cm²</v>
          </cell>
          <cell r="M300" t="str">
            <v xml:space="preserve">Carry Over </v>
          </cell>
          <cell r="N300" t="str">
            <v xml:space="preserve">North Kite &amp; Foils </v>
          </cell>
          <cell r="P300" t="str">
            <v>85004.2400729001800 cm²</v>
          </cell>
          <cell r="Q300">
            <v>285</v>
          </cell>
          <cell r="R300">
            <v>0</v>
          </cell>
          <cell r="S300">
            <v>0</v>
          </cell>
          <cell r="T300">
            <v>715</v>
          </cell>
          <cell r="U300">
            <v>476.70000000000005</v>
          </cell>
          <cell r="V300">
            <v>476.66666666666669</v>
          </cell>
          <cell r="W300">
            <v>715</v>
          </cell>
          <cell r="X300">
            <v>476.70000000000005</v>
          </cell>
          <cell r="Y300">
            <v>1.4998951122299138</v>
          </cell>
          <cell r="Z300">
            <v>333.66666666666669</v>
          </cell>
          <cell r="AA300">
            <v>333.70000000000005</v>
          </cell>
          <cell r="AB300">
            <v>403.73666666666668</v>
          </cell>
          <cell r="AC300">
            <v>403.8</v>
          </cell>
        </row>
        <row r="301">
          <cell r="H301" t="str">
            <v>8715738852860</v>
          </cell>
          <cell r="I301" t="str">
            <v>Sonar P2050 Front Wing</v>
          </cell>
          <cell r="J301" t="str">
            <v>900</v>
          </cell>
          <cell r="K301" t="str">
            <v>Black</v>
          </cell>
          <cell r="L301" t="str">
            <v>2050 cm²</v>
          </cell>
          <cell r="M301" t="str">
            <v xml:space="preserve">Carry Over </v>
          </cell>
          <cell r="N301" t="str">
            <v xml:space="preserve">North Kite &amp; Foils </v>
          </cell>
          <cell r="P301" t="str">
            <v>85004.2400739002050 cm²</v>
          </cell>
          <cell r="Q301">
            <v>286</v>
          </cell>
          <cell r="R301">
            <v>0</v>
          </cell>
          <cell r="S301">
            <v>0</v>
          </cell>
          <cell r="T301">
            <v>735</v>
          </cell>
          <cell r="U301">
            <v>490</v>
          </cell>
          <cell r="V301">
            <v>490</v>
          </cell>
          <cell r="W301">
            <v>735</v>
          </cell>
          <cell r="X301">
            <v>490</v>
          </cell>
          <cell r="Y301">
            <v>1.5</v>
          </cell>
          <cell r="Z301">
            <v>343</v>
          </cell>
          <cell r="AA301">
            <v>343</v>
          </cell>
          <cell r="AB301">
            <v>415.03</v>
          </cell>
          <cell r="AC301">
            <v>415.1</v>
          </cell>
        </row>
        <row r="302">
          <cell r="H302" t="str">
            <v>8715738889316</v>
          </cell>
          <cell r="I302" t="str">
            <v>Sonar S122 Stabilizer</v>
          </cell>
          <cell r="J302" t="str">
            <v>900</v>
          </cell>
          <cell r="K302" t="str">
            <v>Black</v>
          </cell>
          <cell r="L302" t="str">
            <v>122 cm²</v>
          </cell>
          <cell r="M302" t="str">
            <v xml:space="preserve">Carry Over </v>
          </cell>
          <cell r="N302" t="str">
            <v xml:space="preserve">North Kite &amp; Foils </v>
          </cell>
          <cell r="P302" t="str">
            <v>85004.250137900122 cm²</v>
          </cell>
          <cell r="Q302">
            <v>287</v>
          </cell>
          <cell r="R302">
            <v>20</v>
          </cell>
          <cell r="S302">
            <v>20</v>
          </cell>
          <cell r="T302">
            <v>195</v>
          </cell>
          <cell r="U302">
            <v>130</v>
          </cell>
          <cell r="V302">
            <v>143.33333333333334</v>
          </cell>
          <cell r="W302">
            <v>215</v>
          </cell>
          <cell r="X302">
            <v>143.4</v>
          </cell>
          <cell r="Y302">
            <v>1.4993026499302649</v>
          </cell>
          <cell r="Z302">
            <v>100.33333333333333</v>
          </cell>
          <cell r="AA302">
            <v>100.39999999999999</v>
          </cell>
          <cell r="AB302">
            <v>121.40333333333332</v>
          </cell>
          <cell r="AC302">
            <v>121.5</v>
          </cell>
        </row>
        <row r="303">
          <cell r="H303" t="str">
            <v>8715738863323</v>
          </cell>
          <cell r="I303" t="str">
            <v>Sonar S142 Stabilizer</v>
          </cell>
          <cell r="J303" t="str">
            <v>900</v>
          </cell>
          <cell r="K303" t="str">
            <v>Black</v>
          </cell>
          <cell r="L303" t="str">
            <v>142 cm²</v>
          </cell>
          <cell r="M303" t="str">
            <v xml:space="preserve">Carry Over </v>
          </cell>
          <cell r="N303" t="str">
            <v xml:space="preserve">North Kite &amp; Foils </v>
          </cell>
          <cell r="P303" t="str">
            <v>85004.240099900142 cm²</v>
          </cell>
          <cell r="Q303">
            <v>288</v>
          </cell>
          <cell r="R303">
            <v>20</v>
          </cell>
          <cell r="S303">
            <v>20</v>
          </cell>
          <cell r="T303">
            <v>195</v>
          </cell>
          <cell r="U303">
            <v>130</v>
          </cell>
          <cell r="V303">
            <v>143.33333333333334</v>
          </cell>
          <cell r="W303">
            <v>215</v>
          </cell>
          <cell r="X303">
            <v>143.4</v>
          </cell>
          <cell r="Y303">
            <v>1.4993026499302649</v>
          </cell>
          <cell r="Z303">
            <v>100.33333333333333</v>
          </cell>
          <cell r="AA303">
            <v>100.39999999999999</v>
          </cell>
          <cell r="AB303">
            <v>121.40333333333332</v>
          </cell>
          <cell r="AC303">
            <v>121.5</v>
          </cell>
        </row>
        <row r="304">
          <cell r="H304" t="str">
            <v>8715738863101</v>
          </cell>
          <cell r="I304" t="str">
            <v>Sonar S192 Stabilizer</v>
          </cell>
          <cell r="J304" t="str">
            <v>900</v>
          </cell>
          <cell r="K304" t="str">
            <v>Black</v>
          </cell>
          <cell r="L304" t="str">
            <v>192 cm²</v>
          </cell>
          <cell r="M304" t="str">
            <v xml:space="preserve">Carry Over </v>
          </cell>
          <cell r="N304" t="str">
            <v xml:space="preserve">North Kite &amp; Foils </v>
          </cell>
          <cell r="P304" t="str">
            <v>85004.240102900192 cm²</v>
          </cell>
          <cell r="Q304">
            <v>289</v>
          </cell>
          <cell r="R304">
            <v>-10</v>
          </cell>
          <cell r="S304">
            <v>-10</v>
          </cell>
          <cell r="T304">
            <v>210</v>
          </cell>
          <cell r="U304">
            <v>140</v>
          </cell>
          <cell r="V304">
            <v>133.33333333333334</v>
          </cell>
          <cell r="W304">
            <v>200</v>
          </cell>
          <cell r="X304">
            <v>133.4</v>
          </cell>
          <cell r="Y304">
            <v>1.4992503748125936</v>
          </cell>
          <cell r="Z304">
            <v>93.333333333333329</v>
          </cell>
          <cell r="AA304">
            <v>93.399999999999991</v>
          </cell>
          <cell r="AB304">
            <v>112.93333333333332</v>
          </cell>
          <cell r="AC304">
            <v>113</v>
          </cell>
        </row>
        <row r="305">
          <cell r="H305" t="str">
            <v>8715738849815</v>
          </cell>
          <cell r="I305" t="str">
            <v>Sonar Carbon Foil Edition</v>
          </cell>
          <cell r="J305" t="str">
            <v>900</v>
          </cell>
          <cell r="K305" t="str">
            <v>Black</v>
          </cell>
          <cell r="L305" t="str">
            <v>CF72</v>
          </cell>
          <cell r="M305" t="str">
            <v xml:space="preserve">Carry Over </v>
          </cell>
          <cell r="N305" t="str">
            <v xml:space="preserve">North Kite &amp; Foils </v>
          </cell>
          <cell r="P305" t="str">
            <v>85004.240070900CF72</v>
          </cell>
          <cell r="Q305">
            <v>290</v>
          </cell>
          <cell r="R305">
            <v>0</v>
          </cell>
          <cell r="S305">
            <v>0</v>
          </cell>
          <cell r="T305">
            <v>1535</v>
          </cell>
          <cell r="U305">
            <v>1023.4</v>
          </cell>
          <cell r="V305">
            <v>1023.3333333333334</v>
          </cell>
          <cell r="W305">
            <v>1535</v>
          </cell>
          <cell r="X305">
            <v>1023.4</v>
          </cell>
          <cell r="Y305">
            <v>1.4999022864959939</v>
          </cell>
          <cell r="Z305">
            <v>716.33333333333337</v>
          </cell>
          <cell r="AA305">
            <v>716.4</v>
          </cell>
          <cell r="AB305">
            <v>866.76333333333332</v>
          </cell>
          <cell r="AC305">
            <v>866.80000000000007</v>
          </cell>
        </row>
        <row r="306">
          <cell r="H306" t="str">
            <v>8715738849822</v>
          </cell>
          <cell r="I306" t="str">
            <v>Sonar Carbon Foil Edition</v>
          </cell>
          <cell r="J306" t="str">
            <v>900</v>
          </cell>
          <cell r="K306" t="str">
            <v>Black</v>
          </cell>
          <cell r="L306" t="str">
            <v>CF85</v>
          </cell>
          <cell r="M306" t="str">
            <v xml:space="preserve">Carry Over </v>
          </cell>
          <cell r="N306" t="str">
            <v xml:space="preserve">North Kite &amp; Foils </v>
          </cell>
          <cell r="P306" t="str">
            <v>85004.240070900CF85</v>
          </cell>
          <cell r="Q306">
            <v>291</v>
          </cell>
          <cell r="R306">
            <v>0</v>
          </cell>
          <cell r="S306">
            <v>0</v>
          </cell>
          <cell r="T306">
            <v>1639</v>
          </cell>
          <cell r="U306">
            <v>1092.6999999999998</v>
          </cell>
          <cell r="V306">
            <v>1092.6666666666667</v>
          </cell>
          <cell r="W306">
            <v>1639</v>
          </cell>
          <cell r="X306">
            <v>1092.6999999999998</v>
          </cell>
          <cell r="Y306">
            <v>1.4999542417864009</v>
          </cell>
          <cell r="Z306">
            <v>764.86666666666667</v>
          </cell>
          <cell r="AA306">
            <v>764.9</v>
          </cell>
          <cell r="AB306">
            <v>925.48866666666663</v>
          </cell>
          <cell r="AC306">
            <v>925.5</v>
          </cell>
        </row>
        <row r="307">
          <cell r="H307" t="str">
            <v>8715738849792</v>
          </cell>
          <cell r="I307" t="str">
            <v>Sonar Foil Edition</v>
          </cell>
          <cell r="J307" t="str">
            <v>900</v>
          </cell>
          <cell r="K307" t="str">
            <v>Black</v>
          </cell>
          <cell r="L307" t="str">
            <v>AF72</v>
          </cell>
          <cell r="M307" t="str">
            <v xml:space="preserve">Carry Over </v>
          </cell>
          <cell r="N307" t="str">
            <v xml:space="preserve">North Kite &amp; Foils </v>
          </cell>
          <cell r="P307" t="str">
            <v>85004.240066900AF72</v>
          </cell>
          <cell r="Q307">
            <v>292</v>
          </cell>
          <cell r="R307">
            <v>0</v>
          </cell>
          <cell r="S307">
            <v>0</v>
          </cell>
          <cell r="T307">
            <v>849</v>
          </cell>
          <cell r="U307">
            <v>566</v>
          </cell>
          <cell r="V307">
            <v>566</v>
          </cell>
          <cell r="W307">
            <v>849</v>
          </cell>
          <cell r="X307">
            <v>566</v>
          </cell>
          <cell r="Y307">
            <v>1.5</v>
          </cell>
          <cell r="Z307">
            <v>396.2</v>
          </cell>
          <cell r="AA307">
            <v>396.2</v>
          </cell>
          <cell r="AB307">
            <v>479.40199999999999</v>
          </cell>
          <cell r="AC307">
            <v>479.5</v>
          </cell>
        </row>
        <row r="308">
          <cell r="H308" t="str">
            <v>8715738849808</v>
          </cell>
          <cell r="I308" t="str">
            <v>Sonar Foil Edition</v>
          </cell>
          <cell r="J308" t="str">
            <v>900</v>
          </cell>
          <cell r="K308" t="str">
            <v>Black</v>
          </cell>
          <cell r="L308" t="str">
            <v>AF85</v>
          </cell>
          <cell r="M308" t="str">
            <v xml:space="preserve">Carry Over </v>
          </cell>
          <cell r="N308" t="str">
            <v xml:space="preserve">North Kite &amp; Foils </v>
          </cell>
          <cell r="P308" t="str">
            <v>85004.240066900AF85</v>
          </cell>
          <cell r="Q308">
            <v>293</v>
          </cell>
          <cell r="R308">
            <v>0</v>
          </cell>
          <cell r="S308">
            <v>0</v>
          </cell>
          <cell r="T308">
            <v>899</v>
          </cell>
          <cell r="U308">
            <v>599.4</v>
          </cell>
          <cell r="V308">
            <v>599.33333333333337</v>
          </cell>
          <cell r="W308">
            <v>899</v>
          </cell>
          <cell r="X308">
            <v>599.4</v>
          </cell>
          <cell r="Y308">
            <v>1.4998331664998332</v>
          </cell>
          <cell r="Z308">
            <v>419.53333333333336</v>
          </cell>
          <cell r="AA308">
            <v>419.6</v>
          </cell>
          <cell r="AB308">
            <v>507.63533333333334</v>
          </cell>
          <cell r="AC308">
            <v>507.70000000000005</v>
          </cell>
        </row>
        <row r="309">
          <cell r="H309" t="str">
            <v>8715738889767</v>
          </cell>
          <cell r="I309" t="str">
            <v>Sonar Prime Edition</v>
          </cell>
          <cell r="J309" t="str">
            <v>900</v>
          </cell>
          <cell r="K309" t="str">
            <v>Black</v>
          </cell>
          <cell r="L309" t="str">
            <v>PE 1200</v>
          </cell>
          <cell r="M309" t="str">
            <v xml:space="preserve">Carry Over </v>
          </cell>
          <cell r="N309" t="str">
            <v xml:space="preserve">North Kite &amp; Foils </v>
          </cell>
          <cell r="P309" t="str">
            <v>85004.250202900PE 1200</v>
          </cell>
          <cell r="Q309">
            <v>294</v>
          </cell>
          <cell r="R309">
            <v>0</v>
          </cell>
          <cell r="S309">
            <v>0</v>
          </cell>
          <cell r="T309">
            <v>1329</v>
          </cell>
          <cell r="U309">
            <v>886</v>
          </cell>
          <cell r="V309">
            <v>886</v>
          </cell>
          <cell r="W309">
            <v>1329</v>
          </cell>
          <cell r="X309">
            <v>886</v>
          </cell>
          <cell r="Y309">
            <v>1.5</v>
          </cell>
          <cell r="Z309">
            <v>620.19999999999993</v>
          </cell>
          <cell r="AA309">
            <v>620.20000000000005</v>
          </cell>
          <cell r="AB309">
            <v>750.44199999999989</v>
          </cell>
          <cell r="AC309">
            <v>750.5</v>
          </cell>
        </row>
        <row r="310">
          <cell r="H310" t="str">
            <v>8715738889774</v>
          </cell>
          <cell r="I310" t="str">
            <v>Sonar Prime Edition</v>
          </cell>
          <cell r="J310" t="str">
            <v>900</v>
          </cell>
          <cell r="K310" t="str">
            <v>Black</v>
          </cell>
          <cell r="L310" t="str">
            <v>PE 1500</v>
          </cell>
          <cell r="M310" t="str">
            <v xml:space="preserve">Carry Over </v>
          </cell>
          <cell r="N310" t="str">
            <v xml:space="preserve">North Kite &amp; Foils </v>
          </cell>
          <cell r="P310" t="str">
            <v>85004.250202900PE 1500</v>
          </cell>
          <cell r="Q310">
            <v>295</v>
          </cell>
          <cell r="R310">
            <v>0</v>
          </cell>
          <cell r="S310">
            <v>0</v>
          </cell>
          <cell r="T310">
            <v>1329</v>
          </cell>
          <cell r="U310">
            <v>886</v>
          </cell>
          <cell r="V310">
            <v>886</v>
          </cell>
          <cell r="W310">
            <v>1329</v>
          </cell>
          <cell r="X310">
            <v>886</v>
          </cell>
          <cell r="Y310">
            <v>1.5</v>
          </cell>
          <cell r="Z310">
            <v>620.19999999999993</v>
          </cell>
          <cell r="AA310">
            <v>620.20000000000005</v>
          </cell>
          <cell r="AB310">
            <v>750.44199999999989</v>
          </cell>
          <cell r="AC310">
            <v>750.5</v>
          </cell>
        </row>
        <row r="311">
          <cell r="H311" t="str">
            <v>8715738889781</v>
          </cell>
          <cell r="I311" t="str">
            <v>Sonar Prime Edition</v>
          </cell>
          <cell r="J311" t="str">
            <v>900</v>
          </cell>
          <cell r="K311" t="str">
            <v>Black</v>
          </cell>
          <cell r="L311" t="str">
            <v>PE 1850</v>
          </cell>
          <cell r="M311" t="str">
            <v xml:space="preserve">Carry Over </v>
          </cell>
          <cell r="N311" t="str">
            <v xml:space="preserve">North Kite &amp; Foils </v>
          </cell>
          <cell r="P311" t="str">
            <v>85004.250202900PE 1850</v>
          </cell>
          <cell r="Q311">
            <v>296</v>
          </cell>
          <cell r="R311">
            <v>0</v>
          </cell>
          <cell r="S311">
            <v>0</v>
          </cell>
          <cell r="T311">
            <v>1329</v>
          </cell>
          <cell r="U311">
            <v>886</v>
          </cell>
          <cell r="V311">
            <v>886</v>
          </cell>
          <cell r="W311">
            <v>1329</v>
          </cell>
          <cell r="X311">
            <v>886</v>
          </cell>
          <cell r="Y311">
            <v>1.5</v>
          </cell>
          <cell r="Z311">
            <v>620.19999999999993</v>
          </cell>
          <cell r="AA311">
            <v>620.20000000000005</v>
          </cell>
          <cell r="AB311">
            <v>750.44199999999989</v>
          </cell>
          <cell r="AC311">
            <v>750.5</v>
          </cell>
        </row>
        <row r="312">
          <cell r="H312" t="str">
            <v>8715738889798</v>
          </cell>
          <cell r="I312" t="str">
            <v>Sonar Prime Edition</v>
          </cell>
          <cell r="J312" t="str">
            <v>900</v>
          </cell>
          <cell r="K312" t="str">
            <v>Black</v>
          </cell>
          <cell r="L312" t="str">
            <v>PE 2100</v>
          </cell>
          <cell r="M312" t="str">
            <v xml:space="preserve">Carry Over </v>
          </cell>
          <cell r="N312" t="str">
            <v xml:space="preserve">North Kite &amp; Foils </v>
          </cell>
          <cell r="P312" t="str">
            <v>85004.250202900PE 2100</v>
          </cell>
          <cell r="Q312">
            <v>297</v>
          </cell>
          <cell r="R312">
            <v>0</v>
          </cell>
          <cell r="S312">
            <v>0</v>
          </cell>
          <cell r="T312">
            <v>1329</v>
          </cell>
          <cell r="U312">
            <v>886</v>
          </cell>
          <cell r="V312">
            <v>886</v>
          </cell>
          <cell r="W312">
            <v>1329</v>
          </cell>
          <cell r="X312">
            <v>886</v>
          </cell>
          <cell r="Y312">
            <v>1.5</v>
          </cell>
          <cell r="Z312">
            <v>620.19999999999993</v>
          </cell>
          <cell r="AA312">
            <v>620.20000000000005</v>
          </cell>
          <cell r="AB312">
            <v>750.44199999999989</v>
          </cell>
          <cell r="AC312">
            <v>750.5</v>
          </cell>
        </row>
        <row r="313">
          <cell r="H313" t="str">
            <v>8715738889804</v>
          </cell>
          <cell r="I313" t="str">
            <v>Sonar Prime Edition</v>
          </cell>
          <cell r="J313" t="str">
            <v>900</v>
          </cell>
          <cell r="K313" t="str">
            <v>Black</v>
          </cell>
          <cell r="L313" t="str">
            <v>PE 2400</v>
          </cell>
          <cell r="M313" t="str">
            <v xml:space="preserve">Carry Over </v>
          </cell>
          <cell r="N313" t="str">
            <v xml:space="preserve">North Kite &amp; Foils </v>
          </cell>
          <cell r="P313" t="str">
            <v>85004.250202900PE 2400</v>
          </cell>
          <cell r="Q313">
            <v>298</v>
          </cell>
          <cell r="R313">
            <v>0</v>
          </cell>
          <cell r="S313">
            <v>0</v>
          </cell>
          <cell r="T313">
            <v>1329</v>
          </cell>
          <cell r="U313">
            <v>886</v>
          </cell>
          <cell r="V313">
            <v>886</v>
          </cell>
          <cell r="W313">
            <v>1329</v>
          </cell>
          <cell r="X313">
            <v>886</v>
          </cell>
          <cell r="Y313">
            <v>1.5</v>
          </cell>
          <cell r="Z313">
            <v>620.19999999999993</v>
          </cell>
          <cell r="AA313">
            <v>620.20000000000005</v>
          </cell>
          <cell r="AB313">
            <v>750.44199999999989</v>
          </cell>
          <cell r="AC313">
            <v>750.5</v>
          </cell>
        </row>
        <row r="314">
          <cell r="H314" t="str">
            <v>8715738911741</v>
          </cell>
          <cell r="I314" t="str">
            <v>Sonar HM Carbon Mast</v>
          </cell>
          <cell r="J314" t="str">
            <v>900</v>
          </cell>
          <cell r="K314" t="str">
            <v>Black</v>
          </cell>
          <cell r="L314" t="str">
            <v>73cm</v>
          </cell>
          <cell r="M314" t="str">
            <v>New sizes</v>
          </cell>
          <cell r="N314" t="str">
            <v xml:space="preserve">North Kite &amp; Foils </v>
          </cell>
          <cell r="P314" t="str">
            <v>85004.24007190073cm</v>
          </cell>
          <cell r="Q314">
            <v>299</v>
          </cell>
          <cell r="R314" t="e">
            <v>#VALUE!</v>
          </cell>
          <cell r="S314" t="e">
            <v>#VALUE!</v>
          </cell>
          <cell r="T314" t="str">
            <v/>
          </cell>
          <cell r="U314" t="str">
            <v/>
          </cell>
          <cell r="V314">
            <v>886</v>
          </cell>
          <cell r="W314">
            <v>1329</v>
          </cell>
          <cell r="X314">
            <v>886</v>
          </cell>
          <cell r="Y314">
            <v>1.5</v>
          </cell>
          <cell r="Z314">
            <v>620.19999999999993</v>
          </cell>
          <cell r="AA314">
            <v>620.20000000000005</v>
          </cell>
          <cell r="AB314">
            <v>750.44199999999989</v>
          </cell>
          <cell r="AC314">
            <v>750.5</v>
          </cell>
        </row>
        <row r="315">
          <cell r="H315" t="str">
            <v>8715738848580</v>
          </cell>
          <cell r="I315" t="str">
            <v>Sonar HM Carbon Mast</v>
          </cell>
          <cell r="J315" t="str">
            <v>900</v>
          </cell>
          <cell r="K315" t="str">
            <v>Black</v>
          </cell>
          <cell r="L315" t="str">
            <v>80cm</v>
          </cell>
          <cell r="M315" t="str">
            <v xml:space="preserve">Carry Over </v>
          </cell>
          <cell r="N315" t="str">
            <v xml:space="preserve">North Kite &amp; Foils </v>
          </cell>
          <cell r="P315" t="str">
            <v>85004.24007190080cm</v>
          </cell>
          <cell r="Q315">
            <v>300</v>
          </cell>
          <cell r="R315">
            <v>0</v>
          </cell>
          <cell r="S315">
            <v>0</v>
          </cell>
          <cell r="T315">
            <v>1379</v>
          </cell>
          <cell r="U315">
            <v>919.4</v>
          </cell>
          <cell r="V315">
            <v>919.33333333333337</v>
          </cell>
          <cell r="W315">
            <v>1379</v>
          </cell>
          <cell r="X315">
            <v>919.4</v>
          </cell>
          <cell r="Y315">
            <v>1.4998912334130956</v>
          </cell>
          <cell r="Z315">
            <v>643.5333333333333</v>
          </cell>
          <cell r="AA315">
            <v>643.6</v>
          </cell>
          <cell r="AB315">
            <v>778.67533333333324</v>
          </cell>
          <cell r="AC315">
            <v>778.7</v>
          </cell>
        </row>
        <row r="316">
          <cell r="H316" t="str">
            <v>8715738848597</v>
          </cell>
          <cell r="I316" t="str">
            <v>Sonar HM Carbon Mast</v>
          </cell>
          <cell r="J316" t="str">
            <v>900</v>
          </cell>
          <cell r="K316" t="str">
            <v>Black</v>
          </cell>
          <cell r="L316" t="str">
            <v>85cm</v>
          </cell>
          <cell r="M316" t="str">
            <v xml:space="preserve">Carry Over </v>
          </cell>
          <cell r="N316" t="str">
            <v xml:space="preserve">North Kite &amp; Foils </v>
          </cell>
          <cell r="P316" t="str">
            <v>85004.24007190085cm</v>
          </cell>
          <cell r="Q316">
            <v>301</v>
          </cell>
          <cell r="R316">
            <v>0</v>
          </cell>
          <cell r="S316">
            <v>0</v>
          </cell>
          <cell r="T316">
            <v>1429</v>
          </cell>
          <cell r="U316">
            <v>952.7</v>
          </cell>
          <cell r="V316">
            <v>952.66666666666663</v>
          </cell>
          <cell r="W316">
            <v>1429</v>
          </cell>
          <cell r="X316">
            <v>952.7</v>
          </cell>
          <cell r="Y316">
            <v>1.4999475175816102</v>
          </cell>
          <cell r="Z316">
            <v>666.86666666666656</v>
          </cell>
          <cell r="AA316">
            <v>666.9</v>
          </cell>
          <cell r="AB316">
            <v>806.90866666666648</v>
          </cell>
          <cell r="AC316">
            <v>807</v>
          </cell>
        </row>
        <row r="317">
          <cell r="H317" t="str">
            <v>8715738875746</v>
          </cell>
          <cell r="I317" t="str">
            <v>Sonar HM Carbon Mast</v>
          </cell>
          <cell r="J317" t="str">
            <v>900</v>
          </cell>
          <cell r="K317" t="str">
            <v>Black</v>
          </cell>
          <cell r="L317" t="str">
            <v>95cm</v>
          </cell>
          <cell r="M317" t="str">
            <v xml:space="preserve">Carry Over </v>
          </cell>
          <cell r="N317" t="str">
            <v xml:space="preserve">North Kite &amp; Foils </v>
          </cell>
          <cell r="P317" t="str">
            <v>85004.24007190095cm</v>
          </cell>
          <cell r="Q317">
            <v>302</v>
          </cell>
          <cell r="R317">
            <v>0</v>
          </cell>
          <cell r="S317">
            <v>0</v>
          </cell>
          <cell r="T317">
            <v>1479</v>
          </cell>
          <cell r="U317">
            <v>986</v>
          </cell>
          <cell r="V317">
            <v>986</v>
          </cell>
          <cell r="W317">
            <v>1479</v>
          </cell>
          <cell r="X317">
            <v>986</v>
          </cell>
          <cell r="Y317">
            <v>1.5</v>
          </cell>
          <cell r="Z317">
            <v>690.19999999999993</v>
          </cell>
          <cell r="AA317">
            <v>690.2</v>
          </cell>
          <cell r="AB317">
            <v>835.14199999999994</v>
          </cell>
          <cell r="AC317">
            <v>835.2</v>
          </cell>
        </row>
        <row r="318">
          <cell r="H318" t="str">
            <v>8715738848603</v>
          </cell>
          <cell r="I318" t="str">
            <v>Sonar HM Carbon Mast</v>
          </cell>
          <cell r="J318" t="str">
            <v>900</v>
          </cell>
          <cell r="K318" t="str">
            <v>Black</v>
          </cell>
          <cell r="L318" t="str">
            <v>105cm</v>
          </cell>
          <cell r="M318" t="str">
            <v xml:space="preserve">Carry Over </v>
          </cell>
          <cell r="N318" t="str">
            <v xml:space="preserve">North Kite &amp; Foils </v>
          </cell>
          <cell r="P318" t="str">
            <v>85004.240071900105cm</v>
          </cell>
          <cell r="Q318">
            <v>303</v>
          </cell>
          <cell r="R318">
            <v>0</v>
          </cell>
          <cell r="S318">
            <v>0</v>
          </cell>
          <cell r="T318">
            <v>1539</v>
          </cell>
          <cell r="U318">
            <v>1026</v>
          </cell>
          <cell r="V318">
            <v>1026</v>
          </cell>
          <cell r="W318">
            <v>1539</v>
          </cell>
          <cell r="X318">
            <v>1026</v>
          </cell>
          <cell r="Y318">
            <v>1.5</v>
          </cell>
          <cell r="Z318">
            <v>718.19999999999993</v>
          </cell>
          <cell r="AA318">
            <v>718.2</v>
          </cell>
          <cell r="AB318">
            <v>869.02199999999993</v>
          </cell>
          <cell r="AC318">
            <v>869.1</v>
          </cell>
        </row>
        <row r="319">
          <cell r="H319" t="str">
            <v>8715738732261</v>
          </cell>
          <cell r="I319" t="str">
            <v>Sonar Carbon Foil Mast</v>
          </cell>
          <cell r="J319" t="str">
            <v>900</v>
          </cell>
          <cell r="K319" t="str">
            <v>Black</v>
          </cell>
          <cell r="L319" t="str">
            <v>CF72</v>
          </cell>
          <cell r="M319" t="str">
            <v xml:space="preserve">Carry Over </v>
          </cell>
          <cell r="N319" t="str">
            <v xml:space="preserve">North Kite &amp; Foils </v>
          </cell>
          <cell r="P319" t="str">
            <v>85010.210124900CF72</v>
          </cell>
          <cell r="Q319">
            <v>304</v>
          </cell>
          <cell r="R319">
            <v>0</v>
          </cell>
          <cell r="S319">
            <v>0</v>
          </cell>
          <cell r="T319">
            <v>972.5</v>
          </cell>
          <cell r="U319">
            <v>648.4</v>
          </cell>
          <cell r="V319">
            <v>648.33333333333337</v>
          </cell>
          <cell r="W319">
            <v>972.5</v>
          </cell>
          <cell r="X319">
            <v>648.4</v>
          </cell>
          <cell r="Y319">
            <v>1.4998457742134486</v>
          </cell>
          <cell r="Z319">
            <v>453.83333333333331</v>
          </cell>
          <cell r="AA319">
            <v>453.90000000000003</v>
          </cell>
          <cell r="AB319">
            <v>549.13833333333332</v>
          </cell>
          <cell r="AC319">
            <v>549.20000000000005</v>
          </cell>
        </row>
        <row r="320">
          <cell r="H320" t="str">
            <v>8715738732278</v>
          </cell>
          <cell r="I320" t="str">
            <v>Sonar Carbon Foil Mast</v>
          </cell>
          <cell r="J320" t="str">
            <v>900</v>
          </cell>
          <cell r="K320" t="str">
            <v>Black</v>
          </cell>
          <cell r="L320" t="str">
            <v>CF85</v>
          </cell>
          <cell r="M320" t="str">
            <v xml:space="preserve">Carry Over </v>
          </cell>
          <cell r="N320" t="str">
            <v xml:space="preserve">North Kite &amp; Foils </v>
          </cell>
          <cell r="P320" t="str">
            <v>85010.210124900CF85</v>
          </cell>
          <cell r="Q320">
            <v>305</v>
          </cell>
          <cell r="R320">
            <v>0</v>
          </cell>
          <cell r="S320">
            <v>0</v>
          </cell>
          <cell r="T320">
            <v>1025</v>
          </cell>
          <cell r="U320">
            <v>683.4</v>
          </cell>
          <cell r="V320">
            <v>683.33333333333337</v>
          </cell>
          <cell r="W320">
            <v>1025</v>
          </cell>
          <cell r="X320">
            <v>683.4</v>
          </cell>
          <cell r="Y320">
            <v>1.4998536728124086</v>
          </cell>
          <cell r="Z320">
            <v>478.33333333333331</v>
          </cell>
          <cell r="AA320">
            <v>478.40000000000003</v>
          </cell>
          <cell r="AB320">
            <v>578.7833333333333</v>
          </cell>
          <cell r="AC320">
            <v>578.80000000000007</v>
          </cell>
        </row>
        <row r="321">
          <cell r="H321" t="str">
            <v>8715738766617</v>
          </cell>
          <cell r="I321" t="str">
            <v>Sonar Foil Mast</v>
          </cell>
          <cell r="J321" t="str">
            <v>900</v>
          </cell>
          <cell r="K321" t="str">
            <v>Black</v>
          </cell>
          <cell r="L321" t="str">
            <v>AF55</v>
          </cell>
          <cell r="M321" t="str">
            <v xml:space="preserve">Carry Over </v>
          </cell>
          <cell r="N321" t="str">
            <v xml:space="preserve">North Kite &amp; Foils </v>
          </cell>
          <cell r="P321" t="str">
            <v>85010.210123900AF55</v>
          </cell>
          <cell r="Q321">
            <v>306</v>
          </cell>
          <cell r="R321">
            <v>0</v>
          </cell>
          <cell r="S321">
            <v>0</v>
          </cell>
          <cell r="T321">
            <v>175</v>
          </cell>
          <cell r="U321">
            <v>116.69999999999999</v>
          </cell>
          <cell r="V321">
            <v>116.66666666666667</v>
          </cell>
          <cell r="W321">
            <v>175</v>
          </cell>
          <cell r="X321">
            <v>116.69999999999999</v>
          </cell>
          <cell r="Y321">
            <v>1.4995715509854328</v>
          </cell>
          <cell r="Z321">
            <v>81.666666666666671</v>
          </cell>
          <cell r="AA321">
            <v>81.699999999999989</v>
          </cell>
          <cell r="AB321">
            <v>98.816666666666663</v>
          </cell>
          <cell r="AC321">
            <v>98.899999999999991</v>
          </cell>
        </row>
        <row r="322">
          <cell r="H322" t="str">
            <v>8715738732292</v>
          </cell>
          <cell r="I322" t="str">
            <v>Sonar Foil Mast</v>
          </cell>
          <cell r="J322" t="str">
            <v>900</v>
          </cell>
          <cell r="K322" t="str">
            <v>Black</v>
          </cell>
          <cell r="L322" t="str">
            <v>AF72</v>
          </cell>
          <cell r="M322" t="str">
            <v xml:space="preserve">Carry Over </v>
          </cell>
          <cell r="N322" t="str">
            <v xml:space="preserve">North Kite &amp; Foils </v>
          </cell>
          <cell r="P322" t="str">
            <v>85010.210123900AF72</v>
          </cell>
          <cell r="Q322">
            <v>307</v>
          </cell>
          <cell r="R322">
            <v>0</v>
          </cell>
          <cell r="S322">
            <v>0</v>
          </cell>
          <cell r="T322">
            <v>195</v>
          </cell>
          <cell r="U322">
            <v>130</v>
          </cell>
          <cell r="V322">
            <v>130</v>
          </cell>
          <cell r="W322">
            <v>195</v>
          </cell>
          <cell r="X322">
            <v>130</v>
          </cell>
          <cell r="Y322">
            <v>1.5</v>
          </cell>
          <cell r="Z322">
            <v>91</v>
          </cell>
          <cell r="AA322">
            <v>91</v>
          </cell>
          <cell r="AB322">
            <v>110.11</v>
          </cell>
          <cell r="AC322">
            <v>110.19999999999999</v>
          </cell>
        </row>
        <row r="323">
          <cell r="H323" t="str">
            <v>8715738890428</v>
          </cell>
          <cell r="I323" t="str">
            <v>Sonar Foil Mast</v>
          </cell>
          <cell r="J323" t="str">
            <v>900</v>
          </cell>
          <cell r="K323" t="str">
            <v>Black</v>
          </cell>
          <cell r="L323" t="str">
            <v>AF80</v>
          </cell>
          <cell r="M323" t="str">
            <v xml:space="preserve">Carry Over </v>
          </cell>
          <cell r="N323" t="str">
            <v xml:space="preserve">North Kite &amp; Foils </v>
          </cell>
          <cell r="P323" t="str">
            <v>85010.210123900AF80</v>
          </cell>
          <cell r="Q323">
            <v>308</v>
          </cell>
          <cell r="R323">
            <v>0</v>
          </cell>
          <cell r="S323">
            <v>0</v>
          </cell>
          <cell r="T323">
            <v>195</v>
          </cell>
          <cell r="U323">
            <v>130</v>
          </cell>
          <cell r="V323">
            <v>130</v>
          </cell>
          <cell r="W323">
            <v>195</v>
          </cell>
          <cell r="X323">
            <v>130</v>
          </cell>
          <cell r="Y323">
            <v>1.5</v>
          </cell>
          <cell r="Z323">
            <v>91</v>
          </cell>
          <cell r="AA323">
            <v>91</v>
          </cell>
          <cell r="AB323">
            <v>110.11</v>
          </cell>
          <cell r="AC323">
            <v>110.19999999999999</v>
          </cell>
        </row>
        <row r="324">
          <cell r="H324" t="str">
            <v>8715738732308</v>
          </cell>
          <cell r="I324" t="str">
            <v>Sonar Foil Mast</v>
          </cell>
          <cell r="J324" t="str">
            <v>900</v>
          </cell>
          <cell r="K324" t="str">
            <v>Black</v>
          </cell>
          <cell r="L324" t="str">
            <v>AF85</v>
          </cell>
          <cell r="M324" t="str">
            <v xml:space="preserve">Carry Over </v>
          </cell>
          <cell r="N324" t="str">
            <v xml:space="preserve">North Kite &amp; Foils </v>
          </cell>
          <cell r="P324" t="str">
            <v>85010.210123900AF85</v>
          </cell>
          <cell r="Q324">
            <v>309</v>
          </cell>
          <cell r="R324">
            <v>0</v>
          </cell>
          <cell r="S324">
            <v>0</v>
          </cell>
          <cell r="T324">
            <v>215</v>
          </cell>
          <cell r="U324">
            <v>143.4</v>
          </cell>
          <cell r="V324">
            <v>143.33333333333334</v>
          </cell>
          <cell r="W324">
            <v>215</v>
          </cell>
          <cell r="X324">
            <v>143.4</v>
          </cell>
          <cell r="Y324">
            <v>1.4993026499302649</v>
          </cell>
          <cell r="Z324">
            <v>100.33333333333333</v>
          </cell>
          <cell r="AA324">
            <v>100.39999999999999</v>
          </cell>
          <cell r="AB324">
            <v>121.40333333333332</v>
          </cell>
          <cell r="AC324">
            <v>121.5</v>
          </cell>
        </row>
        <row r="325">
          <cell r="H325" t="str">
            <v>8715738732247</v>
          </cell>
          <cell r="I325" t="str">
            <v>Sonar Carbon Fuselage</v>
          </cell>
          <cell r="J325" t="str">
            <v>900</v>
          </cell>
          <cell r="K325" t="str">
            <v>Black</v>
          </cell>
          <cell r="L325" t="str">
            <v>C600</v>
          </cell>
          <cell r="M325" t="str">
            <v xml:space="preserve">Carry Over </v>
          </cell>
          <cell r="N325" t="str">
            <v xml:space="preserve">North Kite &amp; Foils </v>
          </cell>
          <cell r="P325" t="str">
            <v>85010.210086900C600</v>
          </cell>
          <cell r="Q325">
            <v>310</v>
          </cell>
          <cell r="R325">
            <v>0</v>
          </cell>
          <cell r="S325">
            <v>0</v>
          </cell>
          <cell r="T325">
            <v>305</v>
          </cell>
          <cell r="U325">
            <v>203.4</v>
          </cell>
          <cell r="V325">
            <v>203.33333333333334</v>
          </cell>
          <cell r="W325">
            <v>305</v>
          </cell>
          <cell r="X325">
            <v>203.4</v>
          </cell>
          <cell r="Y325">
            <v>1.4995083579154376</v>
          </cell>
          <cell r="Z325">
            <v>142.33333333333334</v>
          </cell>
          <cell r="AA325">
            <v>142.4</v>
          </cell>
          <cell r="AB325">
            <v>172.22333333333333</v>
          </cell>
          <cell r="AC325">
            <v>172.29999999999998</v>
          </cell>
        </row>
        <row r="326">
          <cell r="H326" t="str">
            <v>8715738876798</v>
          </cell>
          <cell r="I326" t="str">
            <v>Sonar Carbon Fuselage</v>
          </cell>
          <cell r="J326" t="str">
            <v>900</v>
          </cell>
          <cell r="K326" t="str">
            <v>Black</v>
          </cell>
          <cell r="L326" t="str">
            <v>C650</v>
          </cell>
          <cell r="M326" t="str">
            <v xml:space="preserve">Carry Over </v>
          </cell>
          <cell r="N326" t="str">
            <v xml:space="preserve">North Kite &amp; Foils </v>
          </cell>
          <cell r="P326" t="str">
            <v>85010.210086900C650</v>
          </cell>
          <cell r="Q326">
            <v>311</v>
          </cell>
          <cell r="R326">
            <v>0</v>
          </cell>
          <cell r="S326">
            <v>0</v>
          </cell>
          <cell r="T326">
            <v>315</v>
          </cell>
          <cell r="U326">
            <v>210</v>
          </cell>
          <cell r="V326">
            <v>210</v>
          </cell>
          <cell r="W326">
            <v>315</v>
          </cell>
          <cell r="X326">
            <v>210</v>
          </cell>
          <cell r="Y326">
            <v>1.5</v>
          </cell>
          <cell r="Z326">
            <v>147</v>
          </cell>
          <cell r="AA326">
            <v>147</v>
          </cell>
          <cell r="AB326">
            <v>177.87</v>
          </cell>
          <cell r="AC326">
            <v>177.9</v>
          </cell>
        </row>
        <row r="327">
          <cell r="H327" t="str">
            <v>8715738732254</v>
          </cell>
          <cell r="I327" t="str">
            <v>Sonar Carbon Fuselage</v>
          </cell>
          <cell r="J327" t="str">
            <v>900</v>
          </cell>
          <cell r="K327" t="str">
            <v>Black</v>
          </cell>
          <cell r="L327" t="str">
            <v>C700</v>
          </cell>
          <cell r="M327" t="str">
            <v xml:space="preserve">Carry Over </v>
          </cell>
          <cell r="N327" t="str">
            <v xml:space="preserve">North Kite &amp; Foils </v>
          </cell>
          <cell r="P327" t="str">
            <v>85010.210086900C700</v>
          </cell>
          <cell r="Q327">
            <v>312</v>
          </cell>
          <cell r="R327">
            <v>0</v>
          </cell>
          <cell r="S327">
            <v>0</v>
          </cell>
          <cell r="T327">
            <v>325</v>
          </cell>
          <cell r="U327">
            <v>216.7</v>
          </cell>
          <cell r="V327">
            <v>216.66666666666666</v>
          </cell>
          <cell r="W327">
            <v>325</v>
          </cell>
          <cell r="X327">
            <v>216.7</v>
          </cell>
          <cell r="Y327">
            <v>1.4997692662667284</v>
          </cell>
          <cell r="Z327">
            <v>151.66666666666666</v>
          </cell>
          <cell r="AA327">
            <v>151.69999999999999</v>
          </cell>
          <cell r="AB327">
            <v>183.51666666666665</v>
          </cell>
          <cell r="AC327">
            <v>183.6</v>
          </cell>
        </row>
        <row r="328">
          <cell r="H328" t="str">
            <v>8715738729452</v>
          </cell>
          <cell r="I328" t="str">
            <v>Sonar Fuselage</v>
          </cell>
          <cell r="J328" t="str">
            <v>900</v>
          </cell>
          <cell r="K328" t="str">
            <v>Black</v>
          </cell>
          <cell r="L328" t="str">
            <v>A600</v>
          </cell>
          <cell r="M328" t="str">
            <v xml:space="preserve">Carry Over </v>
          </cell>
          <cell r="N328" t="str">
            <v xml:space="preserve">North Kite &amp; Foils </v>
          </cell>
          <cell r="P328" t="str">
            <v>85010.210085900A600</v>
          </cell>
          <cell r="Q328">
            <v>313</v>
          </cell>
          <cell r="R328">
            <v>0</v>
          </cell>
          <cell r="S328">
            <v>0</v>
          </cell>
          <cell r="T328">
            <v>245</v>
          </cell>
          <cell r="U328">
            <v>163.4</v>
          </cell>
          <cell r="V328">
            <v>163.33333333333334</v>
          </cell>
          <cell r="W328">
            <v>245</v>
          </cell>
          <cell r="X328">
            <v>163.4</v>
          </cell>
          <cell r="Y328">
            <v>1.4993880048959607</v>
          </cell>
          <cell r="Z328">
            <v>114.33333333333333</v>
          </cell>
          <cell r="AA328">
            <v>114.39999999999999</v>
          </cell>
          <cell r="AB328">
            <v>138.34333333333333</v>
          </cell>
          <cell r="AC328">
            <v>138.4</v>
          </cell>
        </row>
        <row r="329">
          <cell r="H329" t="str">
            <v>8715738732230</v>
          </cell>
          <cell r="I329" t="str">
            <v>Sonar Fuselage</v>
          </cell>
          <cell r="J329" t="str">
            <v>900</v>
          </cell>
          <cell r="K329" t="str">
            <v>Black</v>
          </cell>
          <cell r="L329" t="str">
            <v>A700</v>
          </cell>
          <cell r="M329" t="str">
            <v xml:space="preserve">Carry Over </v>
          </cell>
          <cell r="N329" t="str">
            <v xml:space="preserve">North Kite &amp; Foils </v>
          </cell>
          <cell r="P329" t="str">
            <v>85010.210085900A700</v>
          </cell>
          <cell r="Q329">
            <v>314</v>
          </cell>
          <cell r="R329">
            <v>0</v>
          </cell>
          <cell r="S329">
            <v>0</v>
          </cell>
          <cell r="T329">
            <v>265</v>
          </cell>
          <cell r="U329">
            <v>176.7</v>
          </cell>
          <cell r="V329">
            <v>176.66666666666666</v>
          </cell>
          <cell r="W329">
            <v>265</v>
          </cell>
          <cell r="X329">
            <v>176.7</v>
          </cell>
          <cell r="Y329">
            <v>1.4997170345217885</v>
          </cell>
          <cell r="Z329">
            <v>123.66666666666666</v>
          </cell>
          <cell r="AA329">
            <v>123.69999999999999</v>
          </cell>
          <cell r="AB329">
            <v>149.63666666666666</v>
          </cell>
          <cell r="AC329">
            <v>149.69999999999999</v>
          </cell>
        </row>
        <row r="330">
          <cell r="H330" t="str">
            <v>8715738732223</v>
          </cell>
          <cell r="I330" t="str">
            <v>Sonar AF Board Adaptor</v>
          </cell>
          <cell r="J330" t="str">
            <v>900</v>
          </cell>
          <cell r="K330" t="str">
            <v>Black</v>
          </cell>
          <cell r="L330" t="str">
            <v>O/S</v>
          </cell>
          <cell r="M330" t="str">
            <v xml:space="preserve">Carry Over </v>
          </cell>
          <cell r="N330" t="str">
            <v xml:space="preserve">North Kite &amp; Foils </v>
          </cell>
          <cell r="P330" t="str">
            <v>85010.210090900O/S</v>
          </cell>
          <cell r="Q330">
            <v>315</v>
          </cell>
          <cell r="R330">
            <v>0</v>
          </cell>
          <cell r="S330">
            <v>0</v>
          </cell>
          <cell r="T330">
            <v>205</v>
          </cell>
          <cell r="U330">
            <v>136.69999999999999</v>
          </cell>
          <cell r="V330">
            <v>136.66666666666666</v>
          </cell>
          <cell r="W330">
            <v>205</v>
          </cell>
          <cell r="X330">
            <v>136.69999999999999</v>
          </cell>
          <cell r="Y330">
            <v>1.4996342355523045</v>
          </cell>
          <cell r="Z330">
            <v>95.666666666666657</v>
          </cell>
          <cell r="AA330">
            <v>95.699999999999989</v>
          </cell>
          <cell r="AB330">
            <v>115.75666666666665</v>
          </cell>
          <cell r="AC330">
            <v>115.8</v>
          </cell>
        </row>
        <row r="331">
          <cell r="H331" t="str">
            <v>8715738826038</v>
          </cell>
          <cell r="I331" t="str">
            <v>Dune Mountain Board</v>
          </cell>
          <cell r="J331" t="str">
            <v>900</v>
          </cell>
          <cell r="K331" t="str">
            <v>Black</v>
          </cell>
          <cell r="L331" t="str">
            <v>O/S</v>
          </cell>
          <cell r="M331" t="str">
            <v xml:space="preserve">Carry Over </v>
          </cell>
          <cell r="N331" t="str">
            <v xml:space="preserve">North Kite &amp; Foils </v>
          </cell>
          <cell r="P331" t="str">
            <v>85011.242000900O/S</v>
          </cell>
          <cell r="Q331">
            <v>316</v>
          </cell>
          <cell r="R331">
            <v>0</v>
          </cell>
          <cell r="S331">
            <v>0</v>
          </cell>
          <cell r="T331">
            <v>499</v>
          </cell>
          <cell r="U331">
            <v>322</v>
          </cell>
          <cell r="V331">
            <v>321.93548387096774</v>
          </cell>
          <cell r="W331">
            <v>499</v>
          </cell>
          <cell r="X331">
            <v>322</v>
          </cell>
          <cell r="Y331">
            <v>1.5496894409937889</v>
          </cell>
          <cell r="Z331">
            <v>241.45161290322579</v>
          </cell>
          <cell r="AA331">
            <v>241.5</v>
          </cell>
          <cell r="AB331">
            <v>292.1564516129032</v>
          </cell>
          <cell r="AC331">
            <v>292.20000000000005</v>
          </cell>
        </row>
        <row r="332">
          <cell r="H332" t="str">
            <v>8715738826045</v>
          </cell>
          <cell r="I332" t="str">
            <v>Track Skate Board</v>
          </cell>
          <cell r="J332" t="str">
            <v>900</v>
          </cell>
          <cell r="K332" t="str">
            <v>Black</v>
          </cell>
          <cell r="L332" t="str">
            <v>O/S</v>
          </cell>
          <cell r="M332" t="str">
            <v xml:space="preserve">Carry Over </v>
          </cell>
          <cell r="N332" t="str">
            <v xml:space="preserve">North Kite &amp; Foils </v>
          </cell>
          <cell r="P332" t="str">
            <v>85011.242001900O/S</v>
          </cell>
          <cell r="Q332">
            <v>317</v>
          </cell>
          <cell r="R332">
            <v>0</v>
          </cell>
          <cell r="S332">
            <v>0</v>
          </cell>
          <cell r="T332">
            <v>229</v>
          </cell>
          <cell r="U332">
            <v>147.79999999999998</v>
          </cell>
          <cell r="V332">
            <v>147.74193548387098</v>
          </cell>
          <cell r="W332">
            <v>229</v>
          </cell>
          <cell r="X332">
            <v>147.79999999999998</v>
          </cell>
          <cell r="Y332">
            <v>1.5493910690121788</v>
          </cell>
          <cell r="Z332">
            <v>110.80645161290323</v>
          </cell>
          <cell r="AA332">
            <v>110.89999999999999</v>
          </cell>
          <cell r="AB332">
            <v>134.07580645161292</v>
          </cell>
          <cell r="AC332">
            <v>134.1</v>
          </cell>
        </row>
        <row r="333">
          <cell r="H333" t="str">
            <v>8715738848757</v>
          </cell>
          <cell r="I333" t="str">
            <v>Balance Board</v>
          </cell>
          <cell r="J333" t="str">
            <v>999</v>
          </cell>
          <cell r="K333" t="str">
            <v>Multiple Color</v>
          </cell>
          <cell r="L333" t="str">
            <v>O/S</v>
          </cell>
          <cell r="M333" t="str">
            <v xml:space="preserve">Carry Over </v>
          </cell>
          <cell r="N333" t="str">
            <v xml:space="preserve">North Kite &amp; Foils </v>
          </cell>
          <cell r="P333" t="str">
            <v>85011.242003999O/S</v>
          </cell>
          <cell r="Q333">
            <v>318</v>
          </cell>
          <cell r="R333">
            <v>0</v>
          </cell>
          <cell r="S333">
            <v>0</v>
          </cell>
          <cell r="T333">
            <v>119</v>
          </cell>
          <cell r="U333">
            <v>76.8</v>
          </cell>
          <cell r="V333">
            <v>76.774193548387089</v>
          </cell>
          <cell r="W333">
            <v>119</v>
          </cell>
          <cell r="X333">
            <v>76.8</v>
          </cell>
          <cell r="Y333">
            <v>1.5494791666666667</v>
          </cell>
          <cell r="Z333">
            <v>53.741935483870961</v>
          </cell>
          <cell r="AA333">
            <v>53.800000000000004</v>
          </cell>
          <cell r="AB333">
            <v>65.02774193548386</v>
          </cell>
          <cell r="AC333">
            <v>65.099999999999994</v>
          </cell>
        </row>
        <row r="334">
          <cell r="H334" t="str">
            <v>8715738849655</v>
          </cell>
          <cell r="I334" t="str">
            <v>Dockstart Launch Pad</v>
          </cell>
          <cell r="J334" t="str">
            <v>196</v>
          </cell>
          <cell r="K334" t="str">
            <v>Titanium</v>
          </cell>
          <cell r="L334" t="str">
            <v>O/S</v>
          </cell>
          <cell r="M334" t="str">
            <v xml:space="preserve">Carry Over </v>
          </cell>
          <cell r="N334" t="str">
            <v xml:space="preserve">Essential accessories </v>
          </cell>
          <cell r="P334" t="str">
            <v>85005.240080196O/S</v>
          </cell>
          <cell r="Q334">
            <v>319</v>
          </cell>
          <cell r="R334">
            <v>0</v>
          </cell>
          <cell r="S334">
            <v>0</v>
          </cell>
          <cell r="T334">
            <v>409</v>
          </cell>
          <cell r="U334">
            <v>272.70000000000005</v>
          </cell>
          <cell r="V334">
            <v>272.66666666666669</v>
          </cell>
          <cell r="W334">
            <v>409</v>
          </cell>
          <cell r="X334">
            <v>272.70000000000005</v>
          </cell>
          <cell r="Y334">
            <v>1.4998166483314996</v>
          </cell>
          <cell r="Z334">
            <v>190.86666666666667</v>
          </cell>
          <cell r="AA334">
            <v>190.9</v>
          </cell>
          <cell r="AB334">
            <v>230.94866666666667</v>
          </cell>
          <cell r="AC334">
            <v>231</v>
          </cell>
        </row>
        <row r="335">
          <cell r="H335" t="str">
            <v>8715738732391</v>
          </cell>
          <cell r="I335" t="str">
            <v>Quick Release Board Leash</v>
          </cell>
          <cell r="J335" t="str">
            <v>900</v>
          </cell>
          <cell r="K335" t="str">
            <v>Black</v>
          </cell>
          <cell r="L335" t="str">
            <v>O/S</v>
          </cell>
          <cell r="M335" t="str">
            <v xml:space="preserve">Carry Over </v>
          </cell>
          <cell r="N335" t="str">
            <v xml:space="preserve">Essential accessories </v>
          </cell>
          <cell r="P335" t="str">
            <v>85010.210033900O/S</v>
          </cell>
          <cell r="Q335">
            <v>320</v>
          </cell>
          <cell r="R335">
            <v>0</v>
          </cell>
          <cell r="S335">
            <v>0</v>
          </cell>
          <cell r="T335">
            <v>75.5</v>
          </cell>
          <cell r="U335">
            <v>50.4</v>
          </cell>
          <cell r="V335">
            <v>50.333333333333336</v>
          </cell>
          <cell r="W335">
            <v>75.5</v>
          </cell>
          <cell r="X335">
            <v>50.4</v>
          </cell>
          <cell r="Y335">
            <v>1.498015873015873</v>
          </cell>
          <cell r="Z335">
            <v>35.233333333333334</v>
          </cell>
          <cell r="AA335">
            <v>35.300000000000004</v>
          </cell>
          <cell r="AB335">
            <v>42.632333333333335</v>
          </cell>
          <cell r="AC335">
            <v>42.7</v>
          </cell>
        </row>
        <row r="336">
          <cell r="H336" t="str">
            <v>8715738849006</v>
          </cell>
          <cell r="I336" t="str">
            <v>Tow Rope</v>
          </cell>
          <cell r="J336" t="str">
            <v>999</v>
          </cell>
          <cell r="K336" t="str">
            <v>Multiple Color</v>
          </cell>
          <cell r="L336" t="str">
            <v>O/S</v>
          </cell>
          <cell r="M336" t="str">
            <v xml:space="preserve">Carry Over </v>
          </cell>
          <cell r="N336" t="str">
            <v xml:space="preserve">Essential accessories </v>
          </cell>
          <cell r="P336" t="str">
            <v>85010.240099999O/S</v>
          </cell>
          <cell r="Q336">
            <v>321</v>
          </cell>
          <cell r="R336">
            <v>0</v>
          </cell>
          <cell r="S336">
            <v>0</v>
          </cell>
          <cell r="T336">
            <v>184.5</v>
          </cell>
          <cell r="U336">
            <v>123</v>
          </cell>
          <cell r="V336">
            <v>123</v>
          </cell>
          <cell r="W336">
            <v>184.5</v>
          </cell>
          <cell r="X336">
            <v>123</v>
          </cell>
          <cell r="Y336">
            <v>1.5</v>
          </cell>
          <cell r="Z336">
            <v>86.1</v>
          </cell>
          <cell r="AA336">
            <v>86.1</v>
          </cell>
          <cell r="AB336">
            <v>104.18099999999998</v>
          </cell>
          <cell r="AC336">
            <v>104.19999999999999</v>
          </cell>
        </row>
        <row r="337">
          <cell r="H337" t="str">
            <v>8715738896062</v>
          </cell>
          <cell r="I337" t="str">
            <v>Stash Belt</v>
          </cell>
          <cell r="J337" t="str">
            <v>900</v>
          </cell>
          <cell r="K337" t="str">
            <v>Black</v>
          </cell>
          <cell r="L337" t="str">
            <v>O/S</v>
          </cell>
          <cell r="M337" t="str">
            <v xml:space="preserve">Carry Over </v>
          </cell>
          <cell r="N337" t="str">
            <v xml:space="preserve">Essential accessories </v>
          </cell>
          <cell r="P337" t="str">
            <v>85010.260250900O/S</v>
          </cell>
          <cell r="Q337">
            <v>322</v>
          </cell>
          <cell r="R337">
            <v>0</v>
          </cell>
          <cell r="S337">
            <v>0</v>
          </cell>
          <cell r="T337">
            <v>109</v>
          </cell>
          <cell r="U337">
            <v>72.699999999999989</v>
          </cell>
          <cell r="V337">
            <v>72.666666666666671</v>
          </cell>
          <cell r="W337">
            <v>109</v>
          </cell>
          <cell r="X337">
            <v>72.699999999999989</v>
          </cell>
          <cell r="Y337">
            <v>1.4993122420907843</v>
          </cell>
          <cell r="Z337">
            <v>50.866666666666667</v>
          </cell>
          <cell r="AA337">
            <v>50.9</v>
          </cell>
          <cell r="AB337">
            <v>61.548666666666662</v>
          </cell>
          <cell r="AC337">
            <v>61.6</v>
          </cell>
        </row>
        <row r="338">
          <cell r="H338" t="str">
            <v>8715738683242</v>
          </cell>
          <cell r="I338" t="str">
            <v>Line Connectors set of 4</v>
          </cell>
          <cell r="J338" t="str">
            <v>999</v>
          </cell>
          <cell r="K338" t="str">
            <v>Multiple color</v>
          </cell>
          <cell r="L338" t="str">
            <v>O/S</v>
          </cell>
          <cell r="M338" t="str">
            <v xml:space="preserve">Carry Over </v>
          </cell>
          <cell r="N338" t="str">
            <v xml:space="preserve">Essential accessories </v>
          </cell>
          <cell r="P338" t="str">
            <v>85006.200057999O/S</v>
          </cell>
          <cell r="Q338">
            <v>323</v>
          </cell>
          <cell r="R338">
            <v>0</v>
          </cell>
          <cell r="S338">
            <v>0</v>
          </cell>
          <cell r="T338">
            <v>11.5</v>
          </cell>
          <cell r="U338">
            <v>7.6999999999999993</v>
          </cell>
          <cell r="V338">
            <v>7.666666666666667</v>
          </cell>
          <cell r="W338">
            <v>11.5</v>
          </cell>
          <cell r="X338">
            <v>7.6999999999999993</v>
          </cell>
          <cell r="Y338">
            <v>1.4935064935064937</v>
          </cell>
          <cell r="Z338">
            <v>5.3666666666666663</v>
          </cell>
          <cell r="AA338">
            <v>5.3999999999999995</v>
          </cell>
          <cell r="AB338">
            <v>6.493666666666666</v>
          </cell>
          <cell r="AC338">
            <v>6.5</v>
          </cell>
        </row>
        <row r="339">
          <cell r="H339" t="str">
            <v>8715738899476</v>
          </cell>
          <cell r="I339" t="str">
            <v>2026 Parawing Canopy Repair Material</v>
          </cell>
          <cell r="J339" t="str">
            <v>999</v>
          </cell>
          <cell r="K339" t="str">
            <v>Multiple Color</v>
          </cell>
          <cell r="L339" t="str">
            <v>1.9mx 2m</v>
          </cell>
          <cell r="M339" t="str">
            <v xml:space="preserve">Carry Over </v>
          </cell>
          <cell r="N339" t="str">
            <v xml:space="preserve">Essential accessories </v>
          </cell>
          <cell r="P339" t="str">
            <v>85006.2602759991.9mx 2m</v>
          </cell>
          <cell r="Q339">
            <v>324</v>
          </cell>
          <cell r="R339">
            <v>0</v>
          </cell>
          <cell r="S339">
            <v>0</v>
          </cell>
          <cell r="T339">
            <v>40</v>
          </cell>
          <cell r="U339">
            <v>26.7</v>
          </cell>
          <cell r="V339">
            <v>26.666666666666668</v>
          </cell>
          <cell r="W339">
            <v>40</v>
          </cell>
          <cell r="X339">
            <v>26.700000000000003</v>
          </cell>
          <cell r="Y339">
            <v>1.4981273408239699</v>
          </cell>
          <cell r="Z339">
            <v>18.666666666666668</v>
          </cell>
          <cell r="AA339">
            <v>18.700000000000003</v>
          </cell>
          <cell r="AB339">
            <v>22.586666666666666</v>
          </cell>
          <cell r="AC339">
            <v>22.6</v>
          </cell>
        </row>
        <row r="340">
          <cell r="H340" t="str">
            <v>8715738899421</v>
          </cell>
          <cell r="I340" t="str">
            <v>2026 Kite Dacron Repair Material</v>
          </cell>
          <cell r="J340" t="str">
            <v>900</v>
          </cell>
          <cell r="K340" t="str">
            <v>Black</v>
          </cell>
          <cell r="L340" t="str">
            <v>2mx1.42m</v>
          </cell>
          <cell r="M340" t="str">
            <v>New</v>
          </cell>
          <cell r="N340" t="str">
            <v xml:space="preserve">Essential accessories </v>
          </cell>
          <cell r="P340" t="str">
            <v>85006.2602809002mx1.42m</v>
          </cell>
          <cell r="Q340">
            <v>325</v>
          </cell>
          <cell r="R340" t="e">
            <v>#VALUE!</v>
          </cell>
          <cell r="S340" t="e">
            <v>#VALUE!</v>
          </cell>
          <cell r="T340" t="str">
            <v/>
          </cell>
          <cell r="U340" t="str">
            <v/>
          </cell>
          <cell r="V340">
            <v>43.333333333333336</v>
          </cell>
          <cell r="W340">
            <v>65</v>
          </cell>
          <cell r="X340">
            <v>43.4</v>
          </cell>
          <cell r="Y340">
            <v>1.4976958525345623</v>
          </cell>
          <cell r="Z340">
            <v>30.333333333333332</v>
          </cell>
          <cell r="AA340">
            <v>30.400000000000002</v>
          </cell>
          <cell r="AB340">
            <v>36.703333333333333</v>
          </cell>
          <cell r="AC340">
            <v>36.800000000000004</v>
          </cell>
        </row>
        <row r="341">
          <cell r="H341" t="str">
            <v>8715738911215</v>
          </cell>
          <cell r="I341" t="str">
            <v>2026 Canopy Repair Material</v>
          </cell>
          <cell r="J341" t="str">
            <v>100</v>
          </cell>
          <cell r="K341" t="str">
            <v>White</v>
          </cell>
          <cell r="L341" t="str">
            <v>3m x1.5m</v>
          </cell>
          <cell r="M341" t="str">
            <v>New</v>
          </cell>
          <cell r="N341" t="str">
            <v xml:space="preserve">Essential accessories </v>
          </cell>
          <cell r="P341" t="str">
            <v>85006.2602851003m x1.5m</v>
          </cell>
          <cell r="Q341">
            <v>326</v>
          </cell>
          <cell r="R341" t="e">
            <v>#VALUE!</v>
          </cell>
          <cell r="S341" t="e">
            <v>#VALUE!</v>
          </cell>
          <cell r="T341" t="str">
            <v/>
          </cell>
          <cell r="U341" t="str">
            <v/>
          </cell>
          <cell r="V341">
            <v>70</v>
          </cell>
          <cell r="W341">
            <v>105</v>
          </cell>
          <cell r="X341">
            <v>70</v>
          </cell>
          <cell r="Y341">
            <v>1.5</v>
          </cell>
          <cell r="Z341">
            <v>49</v>
          </cell>
          <cell r="AA341">
            <v>49</v>
          </cell>
          <cell r="AB341">
            <v>59.29</v>
          </cell>
          <cell r="AC341">
            <v>59.300000000000004</v>
          </cell>
        </row>
        <row r="342">
          <cell r="H342" t="str">
            <v>8715738899438</v>
          </cell>
          <cell r="I342" t="str">
            <v>2026 Canopy Repair Material</v>
          </cell>
          <cell r="J342" t="str">
            <v>200</v>
          </cell>
          <cell r="K342" t="str">
            <v>Orange</v>
          </cell>
          <cell r="L342" t="str">
            <v>3m x1.5m</v>
          </cell>
          <cell r="M342" t="str">
            <v>New</v>
          </cell>
          <cell r="N342" t="str">
            <v xml:space="preserve">Essential accessories </v>
          </cell>
          <cell r="P342" t="str">
            <v>85006.2602852003m x1.5m</v>
          </cell>
          <cell r="Q342">
            <v>327</v>
          </cell>
          <cell r="R342" t="e">
            <v>#VALUE!</v>
          </cell>
          <cell r="S342" t="e">
            <v>#VALUE!</v>
          </cell>
          <cell r="T342" t="str">
            <v/>
          </cell>
          <cell r="U342" t="str">
            <v/>
          </cell>
          <cell r="V342">
            <v>70</v>
          </cell>
          <cell r="W342">
            <v>105</v>
          </cell>
          <cell r="X342">
            <v>70</v>
          </cell>
          <cell r="Y342">
            <v>1.5</v>
          </cell>
          <cell r="Z342">
            <v>49</v>
          </cell>
          <cell r="AA342">
            <v>49</v>
          </cell>
          <cell r="AB342">
            <v>59.29</v>
          </cell>
          <cell r="AC342">
            <v>59.300000000000004</v>
          </cell>
        </row>
        <row r="343">
          <cell r="H343" t="str">
            <v>8715738899445</v>
          </cell>
          <cell r="I343" t="str">
            <v>2026 Canopy Repair Material</v>
          </cell>
          <cell r="J343" t="str">
            <v>415</v>
          </cell>
          <cell r="K343" t="str">
            <v>Turquoise</v>
          </cell>
          <cell r="L343" t="str">
            <v>3m x1.5m</v>
          </cell>
          <cell r="M343" t="str">
            <v>New</v>
          </cell>
          <cell r="N343" t="str">
            <v xml:space="preserve">Essential accessories </v>
          </cell>
          <cell r="P343" t="str">
            <v>85006.2602854153m x1.5m</v>
          </cell>
          <cell r="Q343">
            <v>328</v>
          </cell>
          <cell r="R343" t="e">
            <v>#VALUE!</v>
          </cell>
          <cell r="S343" t="e">
            <v>#VALUE!</v>
          </cell>
          <cell r="T343" t="str">
            <v/>
          </cell>
          <cell r="U343" t="str">
            <v/>
          </cell>
          <cell r="V343">
            <v>70</v>
          </cell>
          <cell r="W343">
            <v>105</v>
          </cell>
          <cell r="X343">
            <v>70</v>
          </cell>
          <cell r="Y343">
            <v>1.5</v>
          </cell>
          <cell r="Z343">
            <v>49</v>
          </cell>
          <cell r="AA343">
            <v>49</v>
          </cell>
          <cell r="AB343">
            <v>59.29</v>
          </cell>
          <cell r="AC343">
            <v>59.300000000000004</v>
          </cell>
        </row>
        <row r="344">
          <cell r="H344" t="str">
            <v>8715738899452</v>
          </cell>
          <cell r="I344" t="str">
            <v>2026 Canopy Repair Material</v>
          </cell>
          <cell r="J344" t="str">
            <v>512</v>
          </cell>
          <cell r="K344" t="str">
            <v>Deep Purple</v>
          </cell>
          <cell r="L344" t="str">
            <v>3m x1.5m</v>
          </cell>
          <cell r="M344" t="str">
            <v>New</v>
          </cell>
          <cell r="N344" t="str">
            <v xml:space="preserve">Essential accessories </v>
          </cell>
          <cell r="P344" t="str">
            <v>85006.2602855123m x1.5m</v>
          </cell>
          <cell r="Q344">
            <v>329</v>
          </cell>
          <cell r="R344" t="e">
            <v>#VALUE!</v>
          </cell>
          <cell r="S344" t="e">
            <v>#VALUE!</v>
          </cell>
          <cell r="T344" t="str">
            <v/>
          </cell>
          <cell r="U344" t="str">
            <v/>
          </cell>
          <cell r="V344">
            <v>70</v>
          </cell>
          <cell r="W344">
            <v>105</v>
          </cell>
          <cell r="X344">
            <v>70</v>
          </cell>
          <cell r="Y344">
            <v>1.5</v>
          </cell>
          <cell r="Z344">
            <v>49</v>
          </cell>
          <cell r="AA344">
            <v>49</v>
          </cell>
          <cell r="AB344">
            <v>59.29</v>
          </cell>
          <cell r="AC344">
            <v>59.300000000000004</v>
          </cell>
        </row>
        <row r="345">
          <cell r="H345" t="str">
            <v>8715738911864</v>
          </cell>
          <cell r="I345" t="str">
            <v>2026 Canopy Repair Material</v>
          </cell>
          <cell r="J345" t="str">
            <v>900</v>
          </cell>
          <cell r="K345" t="str">
            <v>Black</v>
          </cell>
          <cell r="L345" t="str">
            <v>3m x1.5m</v>
          </cell>
          <cell r="M345" t="str">
            <v>New</v>
          </cell>
          <cell r="N345" t="str">
            <v xml:space="preserve">Essential accessories </v>
          </cell>
          <cell r="P345" t="str">
            <v>85006.2602859003m x1.5m</v>
          </cell>
          <cell r="Q345">
            <v>330</v>
          </cell>
          <cell r="R345" t="e">
            <v>#VALUE!</v>
          </cell>
          <cell r="S345" t="e">
            <v>#VALUE!</v>
          </cell>
          <cell r="T345" t="str">
            <v/>
          </cell>
          <cell r="U345" t="str">
            <v/>
          </cell>
          <cell r="V345">
            <v>70</v>
          </cell>
          <cell r="W345">
            <v>105</v>
          </cell>
          <cell r="X345">
            <v>70</v>
          </cell>
          <cell r="Y345">
            <v>1.5</v>
          </cell>
          <cell r="Z345">
            <v>49</v>
          </cell>
          <cell r="AA345">
            <v>49</v>
          </cell>
          <cell r="AB345">
            <v>59.29</v>
          </cell>
          <cell r="AC345">
            <v>59.300000000000004</v>
          </cell>
        </row>
        <row r="346">
          <cell r="H346" t="str">
            <v>8715738848764</v>
          </cell>
          <cell r="I346" t="str">
            <v>2024 Canopy Repair Material - Matrix N-HTRS</v>
          </cell>
          <cell r="J346" t="str">
            <v>100</v>
          </cell>
          <cell r="K346" t="str">
            <v>White</v>
          </cell>
          <cell r="L346" t="str">
            <v>3m x1.5m</v>
          </cell>
          <cell r="M346" t="str">
            <v xml:space="preserve">Carry Over </v>
          </cell>
          <cell r="N346" t="str">
            <v xml:space="preserve">Essential accessories </v>
          </cell>
          <cell r="P346" t="str">
            <v>85015.2401231003m x1.5m</v>
          </cell>
          <cell r="Q346">
            <v>331</v>
          </cell>
          <cell r="R346">
            <v>0</v>
          </cell>
          <cell r="S346">
            <v>0</v>
          </cell>
          <cell r="T346">
            <v>184.5</v>
          </cell>
          <cell r="U346">
            <v>123</v>
          </cell>
          <cell r="V346">
            <v>123</v>
          </cell>
          <cell r="W346">
            <v>184.5</v>
          </cell>
          <cell r="X346">
            <v>123</v>
          </cell>
          <cell r="Y346">
            <v>1.5</v>
          </cell>
          <cell r="Z346">
            <v>86.1</v>
          </cell>
          <cell r="AA346">
            <v>86.1</v>
          </cell>
          <cell r="AB346">
            <v>104.18099999999998</v>
          </cell>
          <cell r="AC346">
            <v>104.19999999999999</v>
          </cell>
        </row>
        <row r="347">
          <cell r="H347" t="str">
            <v>8715738875739</v>
          </cell>
          <cell r="I347" t="str">
            <v>2024 N-Max Repair Material</v>
          </cell>
          <cell r="J347" t="str">
            <v>900</v>
          </cell>
          <cell r="K347" t="str">
            <v>Black</v>
          </cell>
          <cell r="L347" t="str">
            <v>2mx1.42m</v>
          </cell>
          <cell r="M347" t="str">
            <v xml:space="preserve">Carry Over </v>
          </cell>
          <cell r="N347" t="str">
            <v xml:space="preserve">Essential accessories </v>
          </cell>
          <cell r="P347" t="str">
            <v>85015.2401269002mx1.42m</v>
          </cell>
          <cell r="Q347">
            <v>332</v>
          </cell>
          <cell r="R347">
            <v>0</v>
          </cell>
          <cell r="S347">
            <v>0</v>
          </cell>
          <cell r="T347">
            <v>138.5</v>
          </cell>
          <cell r="U347">
            <v>92.399999999999991</v>
          </cell>
          <cell r="V347">
            <v>92.333333333333329</v>
          </cell>
          <cell r="W347">
            <v>138.5</v>
          </cell>
          <cell r="X347">
            <v>92.399999999999991</v>
          </cell>
          <cell r="Y347">
            <v>1.498917748917749</v>
          </cell>
          <cell r="Z347">
            <v>64.633333333333326</v>
          </cell>
          <cell r="AA347">
            <v>64.699999999999989</v>
          </cell>
          <cell r="AB347">
            <v>78.206333333333319</v>
          </cell>
          <cell r="AC347">
            <v>78.3</v>
          </cell>
        </row>
        <row r="348">
          <cell r="H348" t="str">
            <v>8715738883291</v>
          </cell>
          <cell r="I348" t="str">
            <v>Canopy Repair Material N-Xi</v>
          </cell>
          <cell r="J348" t="str">
            <v>999</v>
          </cell>
          <cell r="K348" t="str">
            <v>Multiple Color</v>
          </cell>
          <cell r="L348" t="str">
            <v>3m x1.5m</v>
          </cell>
          <cell r="M348" t="str">
            <v xml:space="preserve">Carry Over </v>
          </cell>
          <cell r="N348" t="str">
            <v xml:space="preserve">Essential accessories </v>
          </cell>
          <cell r="P348" t="str">
            <v>85015.2501309993m x1.5m</v>
          </cell>
          <cell r="Q348">
            <v>333</v>
          </cell>
          <cell r="R348">
            <v>0</v>
          </cell>
          <cell r="S348">
            <v>0</v>
          </cell>
          <cell r="T348">
            <v>132.5</v>
          </cell>
          <cell r="U348">
            <v>88.399999999999991</v>
          </cell>
          <cell r="V348">
            <v>88.333333333333329</v>
          </cell>
          <cell r="W348">
            <v>132.5</v>
          </cell>
          <cell r="X348">
            <v>88.399999999999991</v>
          </cell>
          <cell r="Y348">
            <v>1.4988687782805432</v>
          </cell>
          <cell r="Z348">
            <v>61.833333333333329</v>
          </cell>
          <cell r="AA348">
            <v>61.9</v>
          </cell>
          <cell r="AB348">
            <v>74.818333333333328</v>
          </cell>
          <cell r="AC348">
            <v>74.899999999999991</v>
          </cell>
        </row>
        <row r="349">
          <cell r="H349" t="str">
            <v>8715738876859</v>
          </cell>
          <cell r="I349" t="str">
            <v>N-Max2 Repair Material</v>
          </cell>
          <cell r="J349" t="str">
            <v>900</v>
          </cell>
          <cell r="K349" t="str">
            <v>Black</v>
          </cell>
          <cell r="L349" t="str">
            <v>2mx1.42m</v>
          </cell>
          <cell r="M349" t="str">
            <v xml:space="preserve">Carry Over </v>
          </cell>
          <cell r="N349" t="str">
            <v xml:space="preserve">Essential accessories </v>
          </cell>
          <cell r="P349" t="str">
            <v>85015.2501409002mx1.42m</v>
          </cell>
          <cell r="Q349">
            <v>334</v>
          </cell>
          <cell r="R349">
            <v>0</v>
          </cell>
          <cell r="S349">
            <v>0</v>
          </cell>
          <cell r="T349">
            <v>71.5</v>
          </cell>
          <cell r="U349">
            <v>47.7</v>
          </cell>
          <cell r="V349">
            <v>47.666666666666664</v>
          </cell>
          <cell r="W349">
            <v>71.5</v>
          </cell>
          <cell r="X349">
            <v>47.7</v>
          </cell>
          <cell r="Y349">
            <v>1.4989517819706497</v>
          </cell>
          <cell r="Z349">
            <v>33.36666666666666</v>
          </cell>
          <cell r="AA349">
            <v>33.4</v>
          </cell>
          <cell r="AB349">
            <v>40.373666666666658</v>
          </cell>
          <cell r="AC349">
            <v>40.4</v>
          </cell>
        </row>
        <row r="350">
          <cell r="H350" t="str">
            <v>8715738911871</v>
          </cell>
          <cell r="I350" t="str">
            <v>N-U80 Kite repair material - Kite</v>
          </cell>
          <cell r="J350" t="str">
            <v>100</v>
          </cell>
          <cell r="K350" t="str">
            <v>White</v>
          </cell>
          <cell r="L350" t="str">
            <v>2mx1.42m</v>
          </cell>
          <cell r="M350" t="str">
            <v>New</v>
          </cell>
          <cell r="N350" t="str">
            <v xml:space="preserve">Essential accessories </v>
          </cell>
          <cell r="P350" t="str">
            <v>85015.2601741002mx1.42m</v>
          </cell>
          <cell r="Q350">
            <v>335</v>
          </cell>
          <cell r="R350" t="e">
            <v>#VALUE!</v>
          </cell>
          <cell r="S350" t="e">
            <v>#VALUE!</v>
          </cell>
          <cell r="T350" t="str">
            <v/>
          </cell>
          <cell r="U350" t="str">
            <v/>
          </cell>
          <cell r="V350">
            <v>146.66666666666666</v>
          </cell>
          <cell r="W350">
            <v>220</v>
          </cell>
          <cell r="X350">
            <v>146.69999999999999</v>
          </cell>
          <cell r="Y350">
            <v>1.4996591683708249</v>
          </cell>
          <cell r="Z350">
            <v>102.66666666666666</v>
          </cell>
          <cell r="AA350">
            <v>102.69999999999999</v>
          </cell>
          <cell r="AB350">
            <v>124.22666666666665</v>
          </cell>
          <cell r="AC350">
            <v>124.3</v>
          </cell>
        </row>
        <row r="351">
          <cell r="H351" t="str">
            <v>8715738917422</v>
          </cell>
          <cell r="I351" t="str">
            <v>Parawing Replacement Battens</v>
          </cell>
          <cell r="J351" t="str">
            <v>999</v>
          </cell>
          <cell r="K351" t="str">
            <v>Multiple Color</v>
          </cell>
          <cell r="L351" t="str">
            <v>O/S</v>
          </cell>
          <cell r="M351" t="str">
            <v>New</v>
          </cell>
          <cell r="N351" t="str">
            <v xml:space="preserve">Essential accessories </v>
          </cell>
          <cell r="Q351">
            <v>336</v>
          </cell>
          <cell r="R351" t="e">
            <v>#VALUE!</v>
          </cell>
          <cell r="S351" t="e">
            <v>#VALUE!</v>
          </cell>
          <cell r="T351" t="str">
            <v/>
          </cell>
          <cell r="U351" t="str">
            <v/>
          </cell>
          <cell r="V351">
            <v>33.333333333333336</v>
          </cell>
          <cell r="W351">
            <v>50</v>
          </cell>
          <cell r="X351">
            <v>33.4</v>
          </cell>
          <cell r="Y351">
            <v>1.4970059880239521</v>
          </cell>
          <cell r="Z351">
            <v>23.333333333333332</v>
          </cell>
          <cell r="AA351">
            <v>23.400000000000002</v>
          </cell>
          <cell r="AB351">
            <v>28.233333333333331</v>
          </cell>
          <cell r="AC351">
            <v>28.3</v>
          </cell>
        </row>
        <row r="352">
          <cell r="H352" t="str">
            <v>8715738917460</v>
          </cell>
          <cell r="I352" t="str">
            <v>Rover Parawing Canopy Repair Material</v>
          </cell>
          <cell r="J352" t="str">
            <v>999</v>
          </cell>
          <cell r="K352" t="str">
            <v>Multiple Color</v>
          </cell>
          <cell r="L352" t="str">
            <v>1.9mx 2m</v>
          </cell>
          <cell r="M352" t="str">
            <v>New</v>
          </cell>
          <cell r="N352" t="str">
            <v xml:space="preserve">Essential accessories </v>
          </cell>
          <cell r="Q352">
            <v>337</v>
          </cell>
          <cell r="R352" t="e">
            <v>#VALUE!</v>
          </cell>
          <cell r="S352" t="e">
            <v>#VALUE!</v>
          </cell>
          <cell r="T352" t="str">
            <v/>
          </cell>
          <cell r="U352" t="str">
            <v/>
          </cell>
          <cell r="V352">
            <v>40</v>
          </cell>
          <cell r="W352">
            <v>60</v>
          </cell>
          <cell r="X352">
            <v>40</v>
          </cell>
          <cell r="Y352">
            <v>1.5</v>
          </cell>
          <cell r="Z352">
            <v>28</v>
          </cell>
          <cell r="AA352">
            <v>28</v>
          </cell>
          <cell r="AB352">
            <v>33.879999999999995</v>
          </cell>
          <cell r="AC352">
            <v>33.9</v>
          </cell>
        </row>
        <row r="353">
          <cell r="H353" t="str">
            <v>8715738766426</v>
          </cell>
          <cell r="I353" t="str">
            <v>Sonar Stabilizer Shim Kit</v>
          </cell>
          <cell r="J353" t="str">
            <v>999</v>
          </cell>
          <cell r="K353" t="str">
            <v>Multiple Color</v>
          </cell>
          <cell r="L353" t="str">
            <v>O/S</v>
          </cell>
          <cell r="M353" t="str">
            <v xml:space="preserve">Carry Over </v>
          </cell>
          <cell r="N353" t="str">
            <v xml:space="preserve">Essential accessories </v>
          </cell>
          <cell r="P353" t="str">
            <v>85004.220093999O/S</v>
          </cell>
          <cell r="Q353">
            <v>338</v>
          </cell>
          <cell r="R353">
            <v>0</v>
          </cell>
          <cell r="S353">
            <v>0</v>
          </cell>
          <cell r="T353">
            <v>30</v>
          </cell>
          <cell r="U353">
            <v>20</v>
          </cell>
          <cell r="V353">
            <v>20</v>
          </cell>
          <cell r="W353">
            <v>30</v>
          </cell>
          <cell r="X353">
            <v>20</v>
          </cell>
          <cell r="Y353">
            <v>1.5</v>
          </cell>
          <cell r="Z353">
            <v>14</v>
          </cell>
          <cell r="AA353">
            <v>14</v>
          </cell>
          <cell r="AB353">
            <v>16.939999999999998</v>
          </cell>
          <cell r="AC353">
            <v>17</v>
          </cell>
        </row>
        <row r="354">
          <cell r="H354" t="str">
            <v>8715738763388</v>
          </cell>
          <cell r="I354" t="str">
            <v>Kite Pump Hose</v>
          </cell>
          <cell r="J354" t="str">
            <v>999</v>
          </cell>
          <cell r="K354" t="str">
            <v>Multiple Color</v>
          </cell>
          <cell r="L354" t="str">
            <v>O/S</v>
          </cell>
          <cell r="M354" t="str">
            <v xml:space="preserve">Carry Over </v>
          </cell>
          <cell r="N354" t="str">
            <v xml:space="preserve">Essential accessories </v>
          </cell>
          <cell r="P354" t="str">
            <v>85005.210080999O/S</v>
          </cell>
          <cell r="Q354">
            <v>339</v>
          </cell>
          <cell r="R354">
            <v>0</v>
          </cell>
          <cell r="S354">
            <v>0</v>
          </cell>
          <cell r="T354">
            <v>10</v>
          </cell>
          <cell r="U354">
            <v>6.6999999999999993</v>
          </cell>
          <cell r="V354">
            <v>6.666666666666667</v>
          </cell>
          <cell r="W354">
            <v>10</v>
          </cell>
          <cell r="X354">
            <v>6.6999999999999993</v>
          </cell>
          <cell r="Y354">
            <v>1.4925373134328359</v>
          </cell>
          <cell r="Z354">
            <v>4.666666666666667</v>
          </cell>
          <cell r="AA354">
            <v>4.6999999999999993</v>
          </cell>
          <cell r="AB354">
            <v>5.6466666666666665</v>
          </cell>
          <cell r="AC354">
            <v>5.6999999999999993</v>
          </cell>
        </row>
        <row r="355">
          <cell r="H355" t="str">
            <v>8715738706927</v>
          </cell>
          <cell r="I355" t="str">
            <v>Grab-It TT Grab Rail</v>
          </cell>
          <cell r="J355" t="str">
            <v>900</v>
          </cell>
          <cell r="K355" t="str">
            <v>Black</v>
          </cell>
          <cell r="L355" t="str">
            <v>O/S</v>
          </cell>
          <cell r="M355" t="str">
            <v xml:space="preserve">Carry Over </v>
          </cell>
          <cell r="N355" t="str">
            <v xml:space="preserve">Essential accessories </v>
          </cell>
          <cell r="P355" t="str">
            <v>85005.210091900O/S</v>
          </cell>
          <cell r="Q355">
            <v>340</v>
          </cell>
          <cell r="R355">
            <v>0</v>
          </cell>
          <cell r="S355">
            <v>0</v>
          </cell>
          <cell r="T355">
            <v>19.5</v>
          </cell>
          <cell r="U355">
            <v>13</v>
          </cell>
          <cell r="V355">
            <v>13</v>
          </cell>
          <cell r="W355">
            <v>19.5</v>
          </cell>
          <cell r="X355">
            <v>13</v>
          </cell>
          <cell r="Y355">
            <v>1.5</v>
          </cell>
          <cell r="Z355">
            <v>9.1</v>
          </cell>
          <cell r="AA355">
            <v>9.1</v>
          </cell>
          <cell r="AB355">
            <v>11.010999999999999</v>
          </cell>
          <cell r="AC355">
            <v>11.1</v>
          </cell>
        </row>
        <row r="356">
          <cell r="H356" t="str">
            <v>8715738824348</v>
          </cell>
          <cell r="I356" t="str">
            <v>Handle Pass Leash</v>
          </cell>
          <cell r="J356" t="str">
            <v>965</v>
          </cell>
          <cell r="K356" t="str">
            <v>Black / Red</v>
          </cell>
          <cell r="L356" t="str">
            <v>O/S</v>
          </cell>
          <cell r="M356" t="str">
            <v xml:space="preserve">Carry Over </v>
          </cell>
          <cell r="N356" t="str">
            <v xml:space="preserve">Essential accessories </v>
          </cell>
          <cell r="P356" t="str">
            <v>85005.240026965O/S</v>
          </cell>
          <cell r="Q356">
            <v>341</v>
          </cell>
          <cell r="R356">
            <v>0</v>
          </cell>
          <cell r="S356">
            <v>0</v>
          </cell>
          <cell r="T356">
            <v>75.5</v>
          </cell>
          <cell r="U356">
            <v>50.4</v>
          </cell>
          <cell r="V356">
            <v>50.333333333333336</v>
          </cell>
          <cell r="W356">
            <v>75.5</v>
          </cell>
          <cell r="X356">
            <v>50.4</v>
          </cell>
          <cell r="Y356">
            <v>1.498015873015873</v>
          </cell>
          <cell r="Z356">
            <v>35.233333333333334</v>
          </cell>
          <cell r="AA356">
            <v>35.300000000000004</v>
          </cell>
          <cell r="AB356">
            <v>42.632333333333335</v>
          </cell>
          <cell r="AC356">
            <v>42.7</v>
          </cell>
        </row>
        <row r="357">
          <cell r="H357" t="str">
            <v>8715738824355</v>
          </cell>
          <cell r="I357" t="str">
            <v>Standard Leash</v>
          </cell>
          <cell r="J357" t="str">
            <v>965</v>
          </cell>
          <cell r="K357" t="str">
            <v>Black/Red</v>
          </cell>
          <cell r="L357" t="str">
            <v>O/S</v>
          </cell>
          <cell r="M357" t="str">
            <v xml:space="preserve">Carry Over </v>
          </cell>
          <cell r="N357" t="str">
            <v xml:space="preserve">Essential accessories </v>
          </cell>
          <cell r="P357" t="str">
            <v>85005.240027965O/S</v>
          </cell>
          <cell r="Q357">
            <v>342</v>
          </cell>
          <cell r="R357">
            <v>0</v>
          </cell>
          <cell r="S357">
            <v>0</v>
          </cell>
          <cell r="T357">
            <v>50</v>
          </cell>
          <cell r="U357">
            <v>33.4</v>
          </cell>
          <cell r="V357">
            <v>33.333333333333336</v>
          </cell>
          <cell r="W357">
            <v>50</v>
          </cell>
          <cell r="X357">
            <v>33.4</v>
          </cell>
          <cell r="Y357">
            <v>1.4970059880239521</v>
          </cell>
          <cell r="Z357">
            <v>23.333333333333332</v>
          </cell>
          <cell r="AA357">
            <v>23.400000000000002</v>
          </cell>
          <cell r="AB357">
            <v>28.233333333333331</v>
          </cell>
          <cell r="AC357">
            <v>28.3</v>
          </cell>
        </row>
        <row r="358">
          <cell r="H358" t="str">
            <v>8715738824324</v>
          </cell>
          <cell r="I358" t="str">
            <v>Calf Leash</v>
          </cell>
          <cell r="J358" t="str">
            <v>900</v>
          </cell>
          <cell r="K358" t="str">
            <v>Black</v>
          </cell>
          <cell r="L358" t="str">
            <v>O/S</v>
          </cell>
          <cell r="M358" t="str">
            <v xml:space="preserve">Carry Over </v>
          </cell>
          <cell r="N358" t="str">
            <v xml:space="preserve">Essential accessories </v>
          </cell>
          <cell r="P358" t="str">
            <v>85005.240030900O/S</v>
          </cell>
          <cell r="Q358">
            <v>343</v>
          </cell>
          <cell r="R358">
            <v>0</v>
          </cell>
          <cell r="S358">
            <v>0</v>
          </cell>
          <cell r="T358">
            <v>60.5</v>
          </cell>
          <cell r="U358">
            <v>40.4</v>
          </cell>
          <cell r="V358">
            <v>40.333333333333336</v>
          </cell>
          <cell r="W358">
            <v>60.5</v>
          </cell>
          <cell r="X358">
            <v>40.4</v>
          </cell>
          <cell r="Y358">
            <v>1.4975247524752475</v>
          </cell>
          <cell r="Z358">
            <v>28.233333333333334</v>
          </cell>
          <cell r="AA358">
            <v>28.3</v>
          </cell>
          <cell r="AB358">
            <v>34.162333333333336</v>
          </cell>
          <cell r="AC358">
            <v>34.200000000000003</v>
          </cell>
        </row>
        <row r="359">
          <cell r="H359" t="str">
            <v>8715738824331</v>
          </cell>
          <cell r="I359" t="str">
            <v>Ankle Leash</v>
          </cell>
          <cell r="J359" t="str">
            <v>900</v>
          </cell>
          <cell r="K359" t="str">
            <v>Black</v>
          </cell>
          <cell r="L359" t="str">
            <v>O/S</v>
          </cell>
          <cell r="M359" t="str">
            <v xml:space="preserve">Carry Over </v>
          </cell>
          <cell r="N359" t="str">
            <v xml:space="preserve">Essential accessories </v>
          </cell>
          <cell r="P359" t="str">
            <v>85005.240031900O/S</v>
          </cell>
          <cell r="Q359">
            <v>344</v>
          </cell>
          <cell r="R359">
            <v>0</v>
          </cell>
          <cell r="S359">
            <v>0</v>
          </cell>
          <cell r="T359">
            <v>50</v>
          </cell>
          <cell r="U359">
            <v>33.4</v>
          </cell>
          <cell r="V359">
            <v>33.333333333333336</v>
          </cell>
          <cell r="W359">
            <v>50</v>
          </cell>
          <cell r="X359">
            <v>33.4</v>
          </cell>
          <cell r="Y359">
            <v>1.4970059880239521</v>
          </cell>
          <cell r="Z359">
            <v>23.333333333333332</v>
          </cell>
          <cell r="AA359">
            <v>23.400000000000002</v>
          </cell>
          <cell r="AB359">
            <v>28.233333333333331</v>
          </cell>
          <cell r="AC359">
            <v>28.3</v>
          </cell>
        </row>
        <row r="360">
          <cell r="H360" t="str">
            <v>8715738849846</v>
          </cell>
          <cell r="I360" t="str">
            <v>Coiled Ankle Leash</v>
          </cell>
          <cell r="J360" t="str">
            <v>900</v>
          </cell>
          <cell r="K360" t="str">
            <v>Black</v>
          </cell>
          <cell r="L360" t="str">
            <v>O/S</v>
          </cell>
          <cell r="M360" t="str">
            <v xml:space="preserve">Carry Over </v>
          </cell>
          <cell r="N360" t="str">
            <v xml:space="preserve">Essential accessories </v>
          </cell>
          <cell r="P360" t="str">
            <v>85005.240032900O/S</v>
          </cell>
          <cell r="Q360">
            <v>345</v>
          </cell>
          <cell r="R360">
            <v>0</v>
          </cell>
          <cell r="S360">
            <v>0</v>
          </cell>
          <cell r="T360">
            <v>55</v>
          </cell>
          <cell r="U360">
            <v>36.700000000000003</v>
          </cell>
          <cell r="V360">
            <v>36.666666666666664</v>
          </cell>
          <cell r="W360">
            <v>55</v>
          </cell>
          <cell r="X360">
            <v>36.700000000000003</v>
          </cell>
          <cell r="Y360">
            <v>1.4986376021798364</v>
          </cell>
          <cell r="Z360">
            <v>25.666666666666664</v>
          </cell>
          <cell r="AA360">
            <v>25.700000000000003</v>
          </cell>
          <cell r="AB360">
            <v>31.056666666666661</v>
          </cell>
          <cell r="AC360">
            <v>31.1</v>
          </cell>
        </row>
        <row r="361">
          <cell r="H361" t="str">
            <v>8715738824287</v>
          </cell>
          <cell r="I361" t="str">
            <v>Inflatable Board Pump</v>
          </cell>
          <cell r="J361" t="str">
            <v>900</v>
          </cell>
          <cell r="K361" t="str">
            <v>Black</v>
          </cell>
          <cell r="L361" t="str">
            <v>O/S</v>
          </cell>
          <cell r="M361" t="str">
            <v xml:space="preserve">Carry Over </v>
          </cell>
          <cell r="N361" t="str">
            <v xml:space="preserve">Essential accessories </v>
          </cell>
          <cell r="P361" t="str">
            <v>85005.240060900O/S</v>
          </cell>
          <cell r="Q361">
            <v>346</v>
          </cell>
          <cell r="R361">
            <v>0</v>
          </cell>
          <cell r="S361">
            <v>0</v>
          </cell>
          <cell r="T361">
            <v>55</v>
          </cell>
          <cell r="U361">
            <v>36.700000000000003</v>
          </cell>
          <cell r="V361">
            <v>36.666666666666664</v>
          </cell>
          <cell r="W361">
            <v>55</v>
          </cell>
          <cell r="X361">
            <v>36.700000000000003</v>
          </cell>
          <cell r="Y361">
            <v>1.4986376021798364</v>
          </cell>
          <cell r="Z361">
            <v>25.666666666666664</v>
          </cell>
          <cell r="AA361">
            <v>25.700000000000003</v>
          </cell>
          <cell r="AB361">
            <v>31.056666666666661</v>
          </cell>
          <cell r="AC361">
            <v>31.1</v>
          </cell>
        </row>
        <row r="362">
          <cell r="H362" t="str">
            <v>8715738824362</v>
          </cell>
          <cell r="I362" t="str">
            <v>North Hexcel Coremat Finset</v>
          </cell>
          <cell r="J362" t="str">
            <v>900</v>
          </cell>
          <cell r="K362" t="str">
            <v>Black</v>
          </cell>
          <cell r="L362" t="str">
            <v>M</v>
          </cell>
          <cell r="M362" t="str">
            <v xml:space="preserve">Carry Over </v>
          </cell>
          <cell r="N362" t="str">
            <v xml:space="preserve">Essential accessories </v>
          </cell>
          <cell r="P362" t="str">
            <v>85005.240070900M</v>
          </cell>
          <cell r="Q362">
            <v>347</v>
          </cell>
          <cell r="R362">
            <v>0</v>
          </cell>
          <cell r="S362">
            <v>0</v>
          </cell>
          <cell r="T362">
            <v>100</v>
          </cell>
          <cell r="U362">
            <v>66.699999999999989</v>
          </cell>
          <cell r="V362">
            <v>66.666666666666671</v>
          </cell>
          <cell r="W362">
            <v>100</v>
          </cell>
          <cell r="X362">
            <v>66.699999999999989</v>
          </cell>
          <cell r="Y362">
            <v>1.499250374812594</v>
          </cell>
          <cell r="Z362">
            <v>46.666666666666664</v>
          </cell>
          <cell r="AA362">
            <v>46.7</v>
          </cell>
          <cell r="AB362">
            <v>56.466666666666661</v>
          </cell>
          <cell r="AC362">
            <v>56.5</v>
          </cell>
        </row>
        <row r="363">
          <cell r="H363" t="str">
            <v>8715738824379</v>
          </cell>
          <cell r="I363" t="str">
            <v>North Hexcel Coremat Finset</v>
          </cell>
          <cell r="J363" t="str">
            <v>900</v>
          </cell>
          <cell r="K363" t="str">
            <v>Black</v>
          </cell>
          <cell r="L363" t="str">
            <v>L</v>
          </cell>
          <cell r="M363" t="str">
            <v xml:space="preserve">Carry Over </v>
          </cell>
          <cell r="N363" t="str">
            <v xml:space="preserve">Essential accessories </v>
          </cell>
          <cell r="P363" t="str">
            <v>85005.240070900L</v>
          </cell>
          <cell r="Q363">
            <v>348</v>
          </cell>
          <cell r="R363">
            <v>0</v>
          </cell>
          <cell r="S363">
            <v>0</v>
          </cell>
          <cell r="T363">
            <v>100</v>
          </cell>
          <cell r="U363">
            <v>66.699999999999989</v>
          </cell>
          <cell r="V363">
            <v>66.666666666666671</v>
          </cell>
          <cell r="W363">
            <v>100</v>
          </cell>
          <cell r="X363">
            <v>66.699999999999989</v>
          </cell>
          <cell r="Y363">
            <v>1.499250374812594</v>
          </cell>
          <cell r="Z363">
            <v>46.666666666666664</v>
          </cell>
          <cell r="AA363">
            <v>46.7</v>
          </cell>
          <cell r="AB363">
            <v>56.466666666666661</v>
          </cell>
          <cell r="AC363">
            <v>56.5</v>
          </cell>
        </row>
        <row r="364">
          <cell r="H364" t="str">
            <v>8715738821835</v>
          </cell>
          <cell r="I364" t="str">
            <v>Kite &amp; Wing Pump</v>
          </cell>
          <cell r="J364" t="str">
            <v>900</v>
          </cell>
          <cell r="K364" t="str">
            <v>Black</v>
          </cell>
          <cell r="L364" t="str">
            <v>M</v>
          </cell>
          <cell r="M364" t="str">
            <v xml:space="preserve">Carry Over </v>
          </cell>
          <cell r="N364" t="str">
            <v xml:space="preserve">Essential accessories </v>
          </cell>
          <cell r="P364" t="str">
            <v>85005.240079900M</v>
          </cell>
          <cell r="Q364">
            <v>349</v>
          </cell>
          <cell r="R364">
            <v>0</v>
          </cell>
          <cell r="S364">
            <v>0</v>
          </cell>
          <cell r="T364">
            <v>59</v>
          </cell>
          <cell r="U364">
            <v>39.4</v>
          </cell>
          <cell r="V364">
            <v>39.333333333333336</v>
          </cell>
          <cell r="W364">
            <v>59</v>
          </cell>
          <cell r="X364">
            <v>39.4</v>
          </cell>
          <cell r="Y364">
            <v>1.4974619289340103</v>
          </cell>
          <cell r="Z364">
            <v>27.533333333333335</v>
          </cell>
          <cell r="AA364">
            <v>27.6</v>
          </cell>
          <cell r="AB364">
            <v>33.315333333333335</v>
          </cell>
          <cell r="AC364">
            <v>33.4</v>
          </cell>
        </row>
        <row r="365">
          <cell r="H365" t="str">
            <v>8715738821842</v>
          </cell>
          <cell r="I365" t="str">
            <v>Kite &amp; Wing Pump</v>
          </cell>
          <cell r="J365" t="str">
            <v>900</v>
          </cell>
          <cell r="K365" t="str">
            <v>Black</v>
          </cell>
          <cell r="L365" t="str">
            <v>L</v>
          </cell>
          <cell r="M365" t="str">
            <v xml:space="preserve">Carry Over </v>
          </cell>
          <cell r="N365" t="str">
            <v xml:space="preserve">Essential accessories </v>
          </cell>
          <cell r="P365" t="str">
            <v>85005.240079900L</v>
          </cell>
          <cell r="Q365">
            <v>350</v>
          </cell>
          <cell r="R365">
            <v>0</v>
          </cell>
          <cell r="S365">
            <v>0</v>
          </cell>
          <cell r="T365">
            <v>69</v>
          </cell>
          <cell r="U365">
            <v>46</v>
          </cell>
          <cell r="V365">
            <v>46</v>
          </cell>
          <cell r="W365">
            <v>69</v>
          </cell>
          <cell r="X365">
            <v>46</v>
          </cell>
          <cell r="Y365">
            <v>1.5</v>
          </cell>
          <cell r="Z365">
            <v>32.199999999999996</v>
          </cell>
          <cell r="AA365">
            <v>32.200000000000003</v>
          </cell>
          <cell r="AB365">
            <v>38.961999999999996</v>
          </cell>
          <cell r="AC365">
            <v>39</v>
          </cell>
        </row>
        <row r="366">
          <cell r="H366" t="str">
            <v>8715738849631</v>
          </cell>
          <cell r="I366" t="str">
            <v>Waist Wing Leash</v>
          </cell>
          <cell r="J366" t="str">
            <v>900</v>
          </cell>
          <cell r="K366" t="str">
            <v>Black</v>
          </cell>
          <cell r="L366" t="str">
            <v>O/S</v>
          </cell>
          <cell r="M366" t="str">
            <v xml:space="preserve">Carry Over </v>
          </cell>
          <cell r="N366" t="str">
            <v xml:space="preserve">Essential accessories </v>
          </cell>
          <cell r="P366" t="str">
            <v>85005.240081900O/S</v>
          </cell>
          <cell r="Q366">
            <v>351</v>
          </cell>
          <cell r="R366">
            <v>0</v>
          </cell>
          <cell r="S366">
            <v>0</v>
          </cell>
          <cell r="T366">
            <v>76</v>
          </cell>
          <cell r="U366">
            <v>50.7</v>
          </cell>
          <cell r="V366">
            <v>50.666666666666664</v>
          </cell>
          <cell r="W366">
            <v>76</v>
          </cell>
          <cell r="X366">
            <v>50.7</v>
          </cell>
          <cell r="Y366">
            <v>1.4990138067061143</v>
          </cell>
          <cell r="Z366">
            <v>35.466666666666661</v>
          </cell>
          <cell r="AA366">
            <v>35.5</v>
          </cell>
          <cell r="AB366">
            <v>42.914666666666662</v>
          </cell>
          <cell r="AC366">
            <v>43</v>
          </cell>
        </row>
        <row r="367">
          <cell r="H367" t="str">
            <v>8715738849648</v>
          </cell>
          <cell r="I367" t="str">
            <v>Waist Board Leash</v>
          </cell>
          <cell r="J367" t="str">
            <v>900</v>
          </cell>
          <cell r="K367" t="str">
            <v>Black</v>
          </cell>
          <cell r="L367" t="str">
            <v>O/S</v>
          </cell>
          <cell r="M367" t="str">
            <v xml:space="preserve">Carry Over </v>
          </cell>
          <cell r="N367" t="str">
            <v xml:space="preserve">Essential accessories </v>
          </cell>
          <cell r="P367" t="str">
            <v>85005.240082900O/S</v>
          </cell>
          <cell r="Q367">
            <v>352</v>
          </cell>
          <cell r="R367">
            <v>0</v>
          </cell>
          <cell r="S367">
            <v>0</v>
          </cell>
          <cell r="T367">
            <v>76</v>
          </cell>
          <cell r="U367">
            <v>50.7</v>
          </cell>
          <cell r="V367">
            <v>50.666666666666664</v>
          </cell>
          <cell r="W367">
            <v>76</v>
          </cell>
          <cell r="X367">
            <v>50.7</v>
          </cell>
          <cell r="Y367">
            <v>1.4990138067061143</v>
          </cell>
          <cell r="Z367">
            <v>35.466666666666661</v>
          </cell>
          <cell r="AA367">
            <v>35.5</v>
          </cell>
          <cell r="AB367">
            <v>42.914666666666662</v>
          </cell>
          <cell r="AC367">
            <v>43</v>
          </cell>
        </row>
        <row r="368">
          <cell r="H368" t="str">
            <v>8715738898561</v>
          </cell>
          <cell r="I368" t="str">
            <v>North Duffle Bag Small</v>
          </cell>
          <cell r="J368" t="str">
            <v>100</v>
          </cell>
          <cell r="K368" t="str">
            <v>White</v>
          </cell>
          <cell r="L368" t="str">
            <v>S</v>
          </cell>
          <cell r="M368" t="str">
            <v xml:space="preserve">Carry Over </v>
          </cell>
          <cell r="N368" t="str">
            <v xml:space="preserve">Essential accessories </v>
          </cell>
          <cell r="P368" t="str">
            <v>85005.260100100S</v>
          </cell>
          <cell r="Q368">
            <v>353</v>
          </cell>
          <cell r="R368">
            <v>0</v>
          </cell>
          <cell r="S368">
            <v>0</v>
          </cell>
          <cell r="T368">
            <v>79</v>
          </cell>
          <cell r="U368">
            <v>52.7</v>
          </cell>
          <cell r="V368">
            <v>52.666666666666664</v>
          </cell>
          <cell r="W368">
            <v>79</v>
          </cell>
          <cell r="X368">
            <v>52.7</v>
          </cell>
          <cell r="Y368">
            <v>1.4990512333965844</v>
          </cell>
          <cell r="Z368">
            <v>36.86666666666666</v>
          </cell>
          <cell r="AA368">
            <v>36.9</v>
          </cell>
          <cell r="AB368">
            <v>44.608666666666657</v>
          </cell>
          <cell r="AC368">
            <v>44.7</v>
          </cell>
        </row>
        <row r="369">
          <cell r="H369" t="str">
            <v>8715738898578</v>
          </cell>
          <cell r="I369" t="str">
            <v>North Duffle Bag Large</v>
          </cell>
          <cell r="J369" t="str">
            <v>100</v>
          </cell>
          <cell r="K369" t="str">
            <v>White</v>
          </cell>
          <cell r="L369" t="str">
            <v>L</v>
          </cell>
          <cell r="M369" t="str">
            <v xml:space="preserve">Carry Over </v>
          </cell>
          <cell r="N369" t="str">
            <v xml:space="preserve">Essential accessories </v>
          </cell>
          <cell r="P369" t="str">
            <v>85005.260101100L</v>
          </cell>
          <cell r="Q369">
            <v>354</v>
          </cell>
          <cell r="R369">
            <v>0</v>
          </cell>
          <cell r="S369">
            <v>0</v>
          </cell>
          <cell r="T369">
            <v>99</v>
          </cell>
          <cell r="U369">
            <v>66</v>
          </cell>
          <cell r="V369">
            <v>66</v>
          </cell>
          <cell r="W369">
            <v>99</v>
          </cell>
          <cell r="X369">
            <v>66</v>
          </cell>
          <cell r="Y369">
            <v>1.5</v>
          </cell>
          <cell r="Z369">
            <v>46.199999999999996</v>
          </cell>
          <cell r="AA369">
            <v>46.2</v>
          </cell>
          <cell r="AB369">
            <v>55.901999999999994</v>
          </cell>
          <cell r="AC369">
            <v>56</v>
          </cell>
        </row>
        <row r="370">
          <cell r="H370" t="str">
            <v>8715738724730</v>
          </cell>
          <cell r="I370" t="str">
            <v>Freestyle Leash Ring</v>
          </cell>
          <cell r="J370" t="str">
            <v>909</v>
          </cell>
          <cell r="K370" t="str">
            <v>Steel Grey</v>
          </cell>
          <cell r="L370" t="str">
            <v>O/S</v>
          </cell>
          <cell r="M370" t="str">
            <v xml:space="preserve">Carry Over </v>
          </cell>
          <cell r="N370" t="str">
            <v xml:space="preserve">Essential accessories </v>
          </cell>
          <cell r="P370" t="str">
            <v>85007.210028909O/S</v>
          </cell>
          <cell r="Q370">
            <v>355</v>
          </cell>
          <cell r="R370">
            <v>0</v>
          </cell>
          <cell r="S370">
            <v>0</v>
          </cell>
          <cell r="T370">
            <v>15.5</v>
          </cell>
          <cell r="U370">
            <v>10.4</v>
          </cell>
          <cell r="V370">
            <v>10.333333333333334</v>
          </cell>
          <cell r="W370">
            <v>15.5</v>
          </cell>
          <cell r="X370">
            <v>10.4</v>
          </cell>
          <cell r="Y370">
            <v>1.4903846153846154</v>
          </cell>
          <cell r="Z370">
            <v>7.2333333333333334</v>
          </cell>
          <cell r="AA370">
            <v>7.3</v>
          </cell>
          <cell r="AB370">
            <v>8.7523333333333326</v>
          </cell>
          <cell r="AC370">
            <v>8.7999999999999989</v>
          </cell>
        </row>
        <row r="371">
          <cell r="H371" t="str">
            <v>8715738848825</v>
          </cell>
          <cell r="I371" t="str">
            <v>Slide Surf Loop</v>
          </cell>
          <cell r="J371" t="str">
            <v>900</v>
          </cell>
          <cell r="K371" t="str">
            <v>Black</v>
          </cell>
          <cell r="L371" t="str">
            <v>O/S</v>
          </cell>
          <cell r="M371" t="str">
            <v xml:space="preserve">Carry Over </v>
          </cell>
          <cell r="N371" t="str">
            <v xml:space="preserve">Essential accessories </v>
          </cell>
          <cell r="P371" t="str">
            <v>85007.240025900O/S</v>
          </cell>
          <cell r="Q371">
            <v>356</v>
          </cell>
          <cell r="R371">
            <v>0</v>
          </cell>
          <cell r="S371">
            <v>0</v>
          </cell>
          <cell r="T371">
            <v>41.5</v>
          </cell>
          <cell r="U371">
            <v>27.700000000000003</v>
          </cell>
          <cell r="V371">
            <v>27.666666666666668</v>
          </cell>
          <cell r="W371">
            <v>41.5</v>
          </cell>
          <cell r="X371">
            <v>27.700000000000003</v>
          </cell>
          <cell r="Y371">
            <v>1.4981949458483752</v>
          </cell>
          <cell r="Z371">
            <v>19.366666666666667</v>
          </cell>
          <cell r="AA371">
            <v>19.400000000000002</v>
          </cell>
          <cell r="AB371">
            <v>23.433666666666667</v>
          </cell>
          <cell r="AC371">
            <v>23.5</v>
          </cell>
        </row>
        <row r="372">
          <cell r="H372" t="str">
            <v>8715738848856</v>
          </cell>
          <cell r="I372" t="str">
            <v>Freestyle Leash Ring - PRO</v>
          </cell>
          <cell r="J372" t="str">
            <v>909</v>
          </cell>
          <cell r="K372" t="str">
            <v>Steel Grey</v>
          </cell>
          <cell r="L372" t="str">
            <v>O/S</v>
          </cell>
          <cell r="M372" t="str">
            <v xml:space="preserve">Carry Over </v>
          </cell>
          <cell r="N372" t="str">
            <v xml:space="preserve">Essential accessories </v>
          </cell>
          <cell r="P372" t="str">
            <v>85007.240028909O/S</v>
          </cell>
          <cell r="Q372">
            <v>357</v>
          </cell>
          <cell r="R372">
            <v>0</v>
          </cell>
          <cell r="S372">
            <v>0</v>
          </cell>
          <cell r="T372">
            <v>15.5</v>
          </cell>
          <cell r="U372">
            <v>10.4</v>
          </cell>
          <cell r="V372">
            <v>10.333333333333334</v>
          </cell>
          <cell r="W372">
            <v>15.5</v>
          </cell>
          <cell r="X372">
            <v>10.4</v>
          </cell>
          <cell r="Y372">
            <v>1.4903846153846154</v>
          </cell>
          <cell r="Z372">
            <v>7.2333333333333334</v>
          </cell>
          <cell r="AA372">
            <v>7.3</v>
          </cell>
          <cell r="AB372">
            <v>8.7523333333333326</v>
          </cell>
          <cell r="AC372">
            <v>8.7999999999999989</v>
          </cell>
        </row>
        <row r="373">
          <cell r="H373" t="str">
            <v>8715738848993</v>
          </cell>
          <cell r="I373" t="str">
            <v>2m Line Extensions</v>
          </cell>
          <cell r="J373" t="str">
            <v>631</v>
          </cell>
          <cell r="K373" t="str">
            <v>Green/Grey</v>
          </cell>
          <cell r="L373" t="str">
            <v>2m</v>
          </cell>
          <cell r="M373" t="str">
            <v xml:space="preserve">Carry Over </v>
          </cell>
          <cell r="N373" t="str">
            <v xml:space="preserve">Essential accessories </v>
          </cell>
          <cell r="P373" t="str">
            <v>85007.2400616312m</v>
          </cell>
          <cell r="Q373">
            <v>358</v>
          </cell>
          <cell r="R373">
            <v>0</v>
          </cell>
          <cell r="S373">
            <v>0</v>
          </cell>
          <cell r="T373">
            <v>30</v>
          </cell>
          <cell r="U373">
            <v>20</v>
          </cell>
          <cell r="V373">
            <v>20</v>
          </cell>
          <cell r="W373">
            <v>30</v>
          </cell>
          <cell r="X373">
            <v>20</v>
          </cell>
          <cell r="Y373">
            <v>1.5</v>
          </cell>
          <cell r="Z373">
            <v>14</v>
          </cell>
          <cell r="AA373">
            <v>14</v>
          </cell>
          <cell r="AB373">
            <v>16.939999999999998</v>
          </cell>
          <cell r="AC373">
            <v>17</v>
          </cell>
        </row>
        <row r="374">
          <cell r="H374" t="str">
            <v>8715738863293</v>
          </cell>
          <cell r="I374" t="str">
            <v>Self Adhesive Stick-On Fin</v>
          </cell>
          <cell r="J374" t="str">
            <v>999</v>
          </cell>
          <cell r="K374" t="str">
            <v>Multiple Color</v>
          </cell>
          <cell r="L374" t="str">
            <v>O/S</v>
          </cell>
          <cell r="M374" t="str">
            <v xml:space="preserve">Carry Over </v>
          </cell>
          <cell r="N374" t="str">
            <v xml:space="preserve">Essential accessories </v>
          </cell>
          <cell r="P374" t="str">
            <v>85007.240065999O/S</v>
          </cell>
          <cell r="Q374">
            <v>359</v>
          </cell>
          <cell r="R374">
            <v>0</v>
          </cell>
          <cell r="S374">
            <v>0</v>
          </cell>
          <cell r="T374">
            <v>56.5</v>
          </cell>
          <cell r="U374">
            <v>37.700000000000003</v>
          </cell>
          <cell r="V374">
            <v>37.666666666666664</v>
          </cell>
          <cell r="W374">
            <v>56.5</v>
          </cell>
          <cell r="X374">
            <v>37.700000000000003</v>
          </cell>
          <cell r="Y374">
            <v>1.4986737400530503</v>
          </cell>
          <cell r="Z374">
            <v>26.366666666666664</v>
          </cell>
          <cell r="AA374">
            <v>26.400000000000002</v>
          </cell>
          <cell r="AB374">
            <v>31.903666666666663</v>
          </cell>
          <cell r="AC374">
            <v>32</v>
          </cell>
        </row>
        <row r="375">
          <cell r="H375" t="str">
            <v>8715738859487</v>
          </cell>
          <cell r="I375" t="str">
            <v>High V Split Kit</v>
          </cell>
          <cell r="J375" t="str">
            <v>999</v>
          </cell>
          <cell r="K375" t="str">
            <v>Multiple Color</v>
          </cell>
          <cell r="L375" t="str">
            <v>O/S</v>
          </cell>
          <cell r="M375" t="str">
            <v xml:space="preserve">Carry Over </v>
          </cell>
          <cell r="N375" t="str">
            <v xml:space="preserve">Essential accessories </v>
          </cell>
          <cell r="P375" t="str">
            <v>85007.240111999O/S</v>
          </cell>
          <cell r="Q375">
            <v>360</v>
          </cell>
          <cell r="R375">
            <v>0</v>
          </cell>
          <cell r="S375">
            <v>0</v>
          </cell>
          <cell r="T375">
            <v>13</v>
          </cell>
          <cell r="U375">
            <v>8.6999999999999993</v>
          </cell>
          <cell r="V375">
            <v>8.6666666666666661</v>
          </cell>
          <cell r="W375">
            <v>13</v>
          </cell>
          <cell r="X375">
            <v>8.6999999999999993</v>
          </cell>
          <cell r="Y375">
            <v>1.4942528735632186</v>
          </cell>
          <cell r="Z375">
            <v>6.0666666666666655</v>
          </cell>
          <cell r="AA375">
            <v>6.1</v>
          </cell>
          <cell r="AB375">
            <v>7.3406666666666647</v>
          </cell>
          <cell r="AC375">
            <v>7.3999999999999995</v>
          </cell>
        </row>
        <row r="376">
          <cell r="H376" t="str">
            <v>8715738784598</v>
          </cell>
          <cell r="I376" t="str">
            <v>Seek Air Fin</v>
          </cell>
          <cell r="J376" t="str">
            <v>900</v>
          </cell>
          <cell r="K376" t="str">
            <v>Black</v>
          </cell>
          <cell r="L376" t="str">
            <v>O/S</v>
          </cell>
          <cell r="M376" t="str">
            <v xml:space="preserve">Carry Over </v>
          </cell>
          <cell r="N376" t="str">
            <v xml:space="preserve">Essential accessories </v>
          </cell>
          <cell r="P376" t="str">
            <v>85008.230050900O/S</v>
          </cell>
          <cell r="Q376">
            <v>361</v>
          </cell>
          <cell r="R376">
            <v>0</v>
          </cell>
          <cell r="S376">
            <v>0</v>
          </cell>
          <cell r="T376">
            <v>19.5</v>
          </cell>
          <cell r="U376">
            <v>13</v>
          </cell>
          <cell r="V376">
            <v>13</v>
          </cell>
          <cell r="W376">
            <v>19.5</v>
          </cell>
          <cell r="X376">
            <v>13</v>
          </cell>
          <cell r="Y376">
            <v>1.5</v>
          </cell>
          <cell r="Z376">
            <v>9.1</v>
          </cell>
          <cell r="AA376">
            <v>9.1</v>
          </cell>
          <cell r="AB376">
            <v>11.010999999999999</v>
          </cell>
          <cell r="AC376">
            <v>11.1</v>
          </cell>
        </row>
        <row r="377">
          <cell r="H377" t="str">
            <v>8715738814110</v>
          </cell>
          <cell r="I377" t="str">
            <v>Foilboard Rail Tape</v>
          </cell>
          <cell r="J377" t="str">
            <v>999</v>
          </cell>
          <cell r="K377" t="str">
            <v>Multiple Color</v>
          </cell>
          <cell r="L377" t="str">
            <v>O/S</v>
          </cell>
          <cell r="M377" t="str">
            <v xml:space="preserve">Carry Over </v>
          </cell>
          <cell r="N377" t="str">
            <v xml:space="preserve">Essential accessories </v>
          </cell>
          <cell r="P377" t="str">
            <v>85008.230074999O/S</v>
          </cell>
          <cell r="Q377">
            <v>362</v>
          </cell>
          <cell r="R377">
            <v>0</v>
          </cell>
          <cell r="S377">
            <v>0</v>
          </cell>
          <cell r="T377">
            <v>20</v>
          </cell>
          <cell r="U377">
            <v>13.4</v>
          </cell>
          <cell r="V377">
            <v>13.333333333333334</v>
          </cell>
          <cell r="W377">
            <v>20</v>
          </cell>
          <cell r="X377">
            <v>13.4</v>
          </cell>
          <cell r="Y377">
            <v>1.4925373134328357</v>
          </cell>
          <cell r="Z377">
            <v>9.3333333333333339</v>
          </cell>
          <cell r="AA377">
            <v>9.4</v>
          </cell>
          <cell r="AB377">
            <v>11.293333333333333</v>
          </cell>
          <cell r="AC377">
            <v>11.299999999999999</v>
          </cell>
        </row>
        <row r="378">
          <cell r="H378" t="str">
            <v>8715738814127</v>
          </cell>
          <cell r="I378" t="str">
            <v>Foil &amp; Bindings Tool Kit</v>
          </cell>
          <cell r="J378" t="str">
            <v>999</v>
          </cell>
          <cell r="K378" t="str">
            <v>Multiple Color</v>
          </cell>
          <cell r="L378" t="str">
            <v>O/S</v>
          </cell>
          <cell r="M378" t="str">
            <v xml:space="preserve">Carry Over </v>
          </cell>
          <cell r="N378" t="str">
            <v xml:space="preserve">Essential accessories </v>
          </cell>
          <cell r="P378" t="str">
            <v>85008.230075999O/S</v>
          </cell>
          <cell r="Q378">
            <v>363</v>
          </cell>
          <cell r="R378">
            <v>0</v>
          </cell>
          <cell r="S378">
            <v>0</v>
          </cell>
          <cell r="T378">
            <v>335</v>
          </cell>
          <cell r="U378">
            <v>223.4</v>
          </cell>
          <cell r="V378">
            <v>223.33333333333334</v>
          </cell>
          <cell r="W378">
            <v>335</v>
          </cell>
          <cell r="X378">
            <v>223.4</v>
          </cell>
          <cell r="Y378">
            <v>1.4995523724261415</v>
          </cell>
          <cell r="Z378">
            <v>156.33333333333334</v>
          </cell>
          <cell r="AA378">
            <v>156.4</v>
          </cell>
          <cell r="AB378">
            <v>189.16333333333333</v>
          </cell>
          <cell r="AC378">
            <v>189.2</v>
          </cell>
        </row>
        <row r="379">
          <cell r="H379" t="str">
            <v>8715738825215</v>
          </cell>
          <cell r="I379" t="str">
            <v>Twintip Accessory Kit</v>
          </cell>
          <cell r="J379" t="str">
            <v>900</v>
          </cell>
          <cell r="K379" t="str">
            <v>Black</v>
          </cell>
          <cell r="L379" t="str">
            <v>40mm</v>
          </cell>
          <cell r="M379" t="str">
            <v xml:space="preserve">Carry Over </v>
          </cell>
          <cell r="N379" t="str">
            <v xml:space="preserve">Essential accessories </v>
          </cell>
          <cell r="P379" t="str">
            <v>85008.24007190040mm</v>
          </cell>
          <cell r="Q379">
            <v>364</v>
          </cell>
          <cell r="R379">
            <v>0</v>
          </cell>
          <cell r="S379">
            <v>0</v>
          </cell>
          <cell r="T379">
            <v>55</v>
          </cell>
          <cell r="U379">
            <v>36.700000000000003</v>
          </cell>
          <cell r="V379">
            <v>36.666666666666664</v>
          </cell>
          <cell r="W379">
            <v>55</v>
          </cell>
          <cell r="X379">
            <v>36.700000000000003</v>
          </cell>
          <cell r="Y379">
            <v>1.4986376021798364</v>
          </cell>
          <cell r="Z379">
            <v>25.666666666666664</v>
          </cell>
          <cell r="AA379">
            <v>25.700000000000003</v>
          </cell>
          <cell r="AB379">
            <v>31.056666666666661</v>
          </cell>
          <cell r="AC379">
            <v>31.1</v>
          </cell>
        </row>
        <row r="380">
          <cell r="H380" t="str">
            <v>8715738825222</v>
          </cell>
          <cell r="I380" t="str">
            <v>Twintip Accessory Kit</v>
          </cell>
          <cell r="J380" t="str">
            <v>900</v>
          </cell>
          <cell r="K380" t="str">
            <v>Black</v>
          </cell>
          <cell r="L380" t="str">
            <v>50mm</v>
          </cell>
          <cell r="M380" t="str">
            <v xml:space="preserve">Carry Over </v>
          </cell>
          <cell r="N380" t="str">
            <v xml:space="preserve">Essential accessories </v>
          </cell>
          <cell r="P380" t="str">
            <v>85008.24007190050mm</v>
          </cell>
          <cell r="Q380">
            <v>365</v>
          </cell>
          <cell r="R380">
            <v>0</v>
          </cell>
          <cell r="S380">
            <v>0</v>
          </cell>
          <cell r="T380">
            <v>60</v>
          </cell>
          <cell r="U380">
            <v>40</v>
          </cell>
          <cell r="V380">
            <v>40</v>
          </cell>
          <cell r="W380">
            <v>60</v>
          </cell>
          <cell r="X380">
            <v>40</v>
          </cell>
          <cell r="Y380">
            <v>1.5</v>
          </cell>
          <cell r="Z380">
            <v>28</v>
          </cell>
          <cell r="AA380">
            <v>28</v>
          </cell>
          <cell r="AB380">
            <v>33.879999999999995</v>
          </cell>
          <cell r="AC380">
            <v>33.9</v>
          </cell>
        </row>
        <row r="381">
          <cell r="H381" t="str">
            <v>8715738732384</v>
          </cell>
          <cell r="I381" t="str">
            <v>Sonar Wing Screw Pack G (M8x35)</v>
          </cell>
          <cell r="J381" t="str">
            <v>900</v>
          </cell>
          <cell r="K381" t="str">
            <v>Black</v>
          </cell>
          <cell r="L381" t="str">
            <v>O/S</v>
          </cell>
          <cell r="M381" t="str">
            <v xml:space="preserve">Carry Over </v>
          </cell>
          <cell r="N381" t="str">
            <v xml:space="preserve">Essential accessories </v>
          </cell>
          <cell r="P381" t="str">
            <v>85009.210142900O/S</v>
          </cell>
          <cell r="Q381">
            <v>366</v>
          </cell>
          <cell r="R381">
            <v>0</v>
          </cell>
          <cell r="S381">
            <v>0</v>
          </cell>
          <cell r="T381">
            <v>14.5</v>
          </cell>
          <cell r="U381">
            <v>9.6999999999999993</v>
          </cell>
          <cell r="V381">
            <v>9.6666666666666661</v>
          </cell>
          <cell r="W381">
            <v>14.5</v>
          </cell>
          <cell r="X381">
            <v>9.6999999999999993</v>
          </cell>
          <cell r="Y381">
            <v>1.4948453608247423</v>
          </cell>
          <cell r="Z381">
            <v>6.7666666666666657</v>
          </cell>
          <cell r="AA381">
            <v>6.8</v>
          </cell>
          <cell r="AB381">
            <v>8.1876666666666651</v>
          </cell>
          <cell r="AC381">
            <v>8.1999999999999993</v>
          </cell>
        </row>
        <row r="382">
          <cell r="H382" t="str">
            <v>8715738766471</v>
          </cell>
          <cell r="I382" t="str">
            <v>Dropbox Screw Pack - 25mm</v>
          </cell>
          <cell r="J382" t="str">
            <v>900</v>
          </cell>
          <cell r="K382" t="str">
            <v>Black</v>
          </cell>
          <cell r="L382" t="str">
            <v>O/S</v>
          </cell>
          <cell r="M382" t="str">
            <v xml:space="preserve">Carry Over </v>
          </cell>
          <cell r="N382" t="str">
            <v xml:space="preserve">Essential accessories </v>
          </cell>
          <cell r="P382" t="str">
            <v>85009.220134900O/S</v>
          </cell>
          <cell r="Q382">
            <v>367</v>
          </cell>
          <cell r="R382">
            <v>0</v>
          </cell>
          <cell r="S382">
            <v>0</v>
          </cell>
          <cell r="T382">
            <v>36</v>
          </cell>
          <cell r="U382">
            <v>24</v>
          </cell>
          <cell r="V382">
            <v>24</v>
          </cell>
          <cell r="W382">
            <v>36</v>
          </cell>
          <cell r="X382">
            <v>24</v>
          </cell>
          <cell r="Y382">
            <v>1.5</v>
          </cell>
          <cell r="Z382">
            <v>16.799999999999997</v>
          </cell>
          <cell r="AA382">
            <v>16.8</v>
          </cell>
          <cell r="AB382">
            <v>20.327999999999996</v>
          </cell>
          <cell r="AC382">
            <v>20.400000000000002</v>
          </cell>
        </row>
        <row r="383">
          <cell r="H383" t="str">
            <v>8715738813991</v>
          </cell>
          <cell r="I383" t="str">
            <v>Dropbox Fin Adaptor</v>
          </cell>
          <cell r="J383" t="str">
            <v>900</v>
          </cell>
          <cell r="K383" t="str">
            <v>Black</v>
          </cell>
          <cell r="L383" t="str">
            <v>O/S</v>
          </cell>
          <cell r="M383" t="str">
            <v xml:space="preserve">Carry Over </v>
          </cell>
          <cell r="N383" t="str">
            <v xml:space="preserve">Essential accessories </v>
          </cell>
          <cell r="P383" t="str">
            <v>85009.230136900O/S</v>
          </cell>
          <cell r="Q383">
            <v>368</v>
          </cell>
          <cell r="R383">
            <v>0</v>
          </cell>
          <cell r="S383">
            <v>0</v>
          </cell>
          <cell r="T383">
            <v>92.5</v>
          </cell>
          <cell r="U383">
            <v>61.7</v>
          </cell>
          <cell r="V383">
            <v>61.666666666666664</v>
          </cell>
          <cell r="W383">
            <v>92.5</v>
          </cell>
          <cell r="X383">
            <v>61.7</v>
          </cell>
          <cell r="Y383">
            <v>1.499189627228525</v>
          </cell>
          <cell r="Z383">
            <v>43.166666666666664</v>
          </cell>
          <cell r="AA383">
            <v>43.2</v>
          </cell>
          <cell r="AB383">
            <v>52.231666666666662</v>
          </cell>
          <cell r="AC383">
            <v>52.300000000000004</v>
          </cell>
        </row>
        <row r="384">
          <cell r="H384" t="str">
            <v>8715738814172</v>
          </cell>
          <cell r="I384" t="str">
            <v>Sonar Session Saver Box</v>
          </cell>
          <cell r="J384" t="str">
            <v>999</v>
          </cell>
          <cell r="K384" t="str">
            <v>Multiple Color</v>
          </cell>
          <cell r="L384" t="str">
            <v>O/S</v>
          </cell>
          <cell r="M384" t="str">
            <v xml:space="preserve">Carry Over </v>
          </cell>
          <cell r="N384" t="str">
            <v xml:space="preserve">Essential accessories </v>
          </cell>
          <cell r="P384" t="str">
            <v>85009.230160999O/S</v>
          </cell>
          <cell r="Q384">
            <v>369</v>
          </cell>
          <cell r="R384">
            <v>0</v>
          </cell>
          <cell r="S384">
            <v>0</v>
          </cell>
          <cell r="T384">
            <v>235</v>
          </cell>
          <cell r="U384">
            <v>156.69999999999999</v>
          </cell>
          <cell r="V384">
            <v>156.66666666666666</v>
          </cell>
          <cell r="W384">
            <v>235</v>
          </cell>
          <cell r="X384">
            <v>156.69999999999999</v>
          </cell>
          <cell r="Y384">
            <v>1.4996809189534144</v>
          </cell>
          <cell r="Z384">
            <v>109.66666666666666</v>
          </cell>
          <cell r="AA384">
            <v>109.69999999999999</v>
          </cell>
          <cell r="AB384">
            <v>132.69666666666666</v>
          </cell>
          <cell r="AC384">
            <v>132.69999999999999</v>
          </cell>
        </row>
        <row r="385">
          <cell r="H385" t="str">
            <v>8715738814189</v>
          </cell>
          <cell r="I385" t="str">
            <v>Sonar T40 Tool</v>
          </cell>
          <cell r="J385" t="str">
            <v>999</v>
          </cell>
          <cell r="K385" t="str">
            <v>Multiple Color</v>
          </cell>
          <cell r="L385" t="str">
            <v>O/S</v>
          </cell>
          <cell r="M385" t="str">
            <v xml:space="preserve">Carry Over </v>
          </cell>
          <cell r="N385" t="str">
            <v xml:space="preserve">Essential accessories </v>
          </cell>
          <cell r="P385" t="str">
            <v>85009.230161999O/S</v>
          </cell>
          <cell r="Q385">
            <v>370</v>
          </cell>
          <cell r="R385">
            <v>0</v>
          </cell>
          <cell r="S385">
            <v>0</v>
          </cell>
          <cell r="T385">
            <v>10.5</v>
          </cell>
          <cell r="U385">
            <v>7</v>
          </cell>
          <cell r="V385">
            <v>7</v>
          </cell>
          <cell r="W385">
            <v>10.5</v>
          </cell>
          <cell r="X385">
            <v>7</v>
          </cell>
          <cell r="Y385">
            <v>1.5</v>
          </cell>
          <cell r="Z385">
            <v>4.8999999999999995</v>
          </cell>
          <cell r="AA385">
            <v>4.9000000000000004</v>
          </cell>
          <cell r="AB385">
            <v>5.9289999999999994</v>
          </cell>
          <cell r="AC385">
            <v>6</v>
          </cell>
        </row>
        <row r="386">
          <cell r="H386" t="str">
            <v>8715738814196</v>
          </cell>
          <cell r="I386" t="str">
            <v>North Multi Tool</v>
          </cell>
          <cell r="J386" t="str">
            <v>999</v>
          </cell>
          <cell r="K386" t="str">
            <v>Multiple Color</v>
          </cell>
          <cell r="L386" t="str">
            <v>O/S</v>
          </cell>
          <cell r="M386" t="str">
            <v xml:space="preserve">Carry Over </v>
          </cell>
          <cell r="N386" t="str">
            <v xml:space="preserve">Essential accessories </v>
          </cell>
          <cell r="P386" t="str">
            <v>85009.230162999O/S</v>
          </cell>
          <cell r="Q386">
            <v>371</v>
          </cell>
          <cell r="R386">
            <v>0</v>
          </cell>
          <cell r="S386">
            <v>0</v>
          </cell>
          <cell r="T386">
            <v>28.5</v>
          </cell>
          <cell r="U386">
            <v>19</v>
          </cell>
          <cell r="V386">
            <v>19</v>
          </cell>
          <cell r="W386">
            <v>28.5</v>
          </cell>
          <cell r="X386">
            <v>19</v>
          </cell>
          <cell r="Y386">
            <v>1.5</v>
          </cell>
          <cell r="Z386">
            <v>13.299999999999999</v>
          </cell>
          <cell r="AA386">
            <v>13.3</v>
          </cell>
          <cell r="AB386">
            <v>16.093</v>
          </cell>
          <cell r="AC386">
            <v>16.100000000000001</v>
          </cell>
        </row>
        <row r="387">
          <cell r="H387" t="str">
            <v>8715738814202</v>
          </cell>
          <cell r="I387" t="str">
            <v>Sonar Marine Grease</v>
          </cell>
          <cell r="J387" t="str">
            <v>999</v>
          </cell>
          <cell r="K387" t="str">
            <v>Multiple Color</v>
          </cell>
          <cell r="L387" t="str">
            <v>O/S</v>
          </cell>
          <cell r="M387" t="str">
            <v xml:space="preserve">Carry Over </v>
          </cell>
          <cell r="N387" t="str">
            <v xml:space="preserve">Essential accessories </v>
          </cell>
          <cell r="P387" t="str">
            <v>85009.230163999O/S</v>
          </cell>
          <cell r="Q387">
            <v>372</v>
          </cell>
          <cell r="R387">
            <v>0</v>
          </cell>
          <cell r="S387">
            <v>0</v>
          </cell>
          <cell r="T387">
            <v>5.25</v>
          </cell>
          <cell r="U387">
            <v>3.5</v>
          </cell>
          <cell r="V387">
            <v>3.5</v>
          </cell>
          <cell r="W387">
            <v>5.25</v>
          </cell>
          <cell r="X387">
            <v>3.5</v>
          </cell>
          <cell r="Y387">
            <v>1.5</v>
          </cell>
          <cell r="Z387">
            <v>2.4499999999999997</v>
          </cell>
          <cell r="AA387">
            <v>2.5</v>
          </cell>
          <cell r="AB387">
            <v>2.9644999999999997</v>
          </cell>
          <cell r="AC387">
            <v>3</v>
          </cell>
        </row>
        <row r="388">
          <cell r="H388" t="str">
            <v>8715738849839</v>
          </cell>
          <cell r="I388" t="str">
            <v>Sonar Travel Bag</v>
          </cell>
          <cell r="J388" t="str">
            <v>900</v>
          </cell>
          <cell r="K388" t="str">
            <v>Black</v>
          </cell>
          <cell r="L388" t="str">
            <v>O/S</v>
          </cell>
          <cell r="M388" t="str">
            <v xml:space="preserve">Carry Over </v>
          </cell>
          <cell r="N388" t="str">
            <v xml:space="preserve">Essential accessories </v>
          </cell>
          <cell r="P388" t="str">
            <v>85009.240131900O/S</v>
          </cell>
          <cell r="Q388">
            <v>373</v>
          </cell>
          <cell r="R388">
            <v>0</v>
          </cell>
          <cell r="S388">
            <v>0</v>
          </cell>
          <cell r="T388">
            <v>152.5</v>
          </cell>
          <cell r="U388">
            <v>101.69999999999999</v>
          </cell>
          <cell r="V388">
            <v>101.66666666666667</v>
          </cell>
          <cell r="W388">
            <v>152.5</v>
          </cell>
          <cell r="X388">
            <v>101.69999999999999</v>
          </cell>
          <cell r="Y388">
            <v>1.4995083579154378</v>
          </cell>
          <cell r="Z388">
            <v>71.166666666666671</v>
          </cell>
          <cell r="AA388">
            <v>71.199999999999989</v>
          </cell>
          <cell r="AB388">
            <v>86.111666666666665</v>
          </cell>
          <cell r="AC388">
            <v>86.199999999999989</v>
          </cell>
        </row>
        <row r="389">
          <cell r="H389" t="str">
            <v>8715738849853</v>
          </cell>
          <cell r="I389" t="str">
            <v>Dropbox Thumb Screw Set</v>
          </cell>
          <cell r="J389" t="str">
            <v>900</v>
          </cell>
          <cell r="K389" t="str">
            <v>Black</v>
          </cell>
          <cell r="L389" t="str">
            <v>O/S</v>
          </cell>
          <cell r="M389" t="str">
            <v xml:space="preserve">Carry Over </v>
          </cell>
          <cell r="N389" t="str">
            <v xml:space="preserve">Essential accessories </v>
          </cell>
          <cell r="P389" t="str">
            <v>85009.240137900O/S</v>
          </cell>
          <cell r="Q389">
            <v>374</v>
          </cell>
          <cell r="R389">
            <v>0</v>
          </cell>
          <cell r="S389">
            <v>0</v>
          </cell>
          <cell r="T389">
            <v>76</v>
          </cell>
          <cell r="U389">
            <v>50.7</v>
          </cell>
          <cell r="V389">
            <v>50.666666666666664</v>
          </cell>
          <cell r="W389">
            <v>76</v>
          </cell>
          <cell r="X389">
            <v>50.7</v>
          </cell>
          <cell r="Y389">
            <v>1.4990138067061143</v>
          </cell>
          <cell r="Z389">
            <v>35.466666666666661</v>
          </cell>
          <cell r="AA389">
            <v>35.5</v>
          </cell>
          <cell r="AB389">
            <v>42.914666666666662</v>
          </cell>
          <cell r="AC389">
            <v>43</v>
          </cell>
        </row>
        <row r="390">
          <cell r="H390" t="str">
            <v>8715738849709</v>
          </cell>
          <cell r="I390" t="str">
            <v>North Multitool Driver Bits set of 5</v>
          </cell>
          <cell r="J390" t="str">
            <v>909</v>
          </cell>
          <cell r="K390" t="str">
            <v>Steel Grey</v>
          </cell>
          <cell r="L390" t="str">
            <v>Ph3</v>
          </cell>
          <cell r="M390" t="str">
            <v xml:space="preserve">Carry Over </v>
          </cell>
          <cell r="N390" t="str">
            <v xml:space="preserve">Essential accessories </v>
          </cell>
          <cell r="P390" t="str">
            <v>85009.240162909Ph3</v>
          </cell>
          <cell r="Q390">
            <v>375</v>
          </cell>
          <cell r="R390">
            <v>0</v>
          </cell>
          <cell r="S390">
            <v>0</v>
          </cell>
          <cell r="T390">
            <v>8.5</v>
          </cell>
          <cell r="U390">
            <v>5.6999999999999993</v>
          </cell>
          <cell r="V390">
            <v>5.666666666666667</v>
          </cell>
          <cell r="W390">
            <v>8.5</v>
          </cell>
          <cell r="X390">
            <v>5.6999999999999993</v>
          </cell>
          <cell r="Y390">
            <v>1.4912280701754388</v>
          </cell>
          <cell r="Z390">
            <v>3.9666666666666668</v>
          </cell>
          <cell r="AA390">
            <v>4</v>
          </cell>
          <cell r="AB390">
            <v>4.799666666666667</v>
          </cell>
          <cell r="AC390">
            <v>4.8</v>
          </cell>
        </row>
        <row r="391">
          <cell r="H391" t="str">
            <v>8715738849716</v>
          </cell>
          <cell r="I391" t="str">
            <v>North Multitool Driver Bits set of 5</v>
          </cell>
          <cell r="J391" t="str">
            <v>909</v>
          </cell>
          <cell r="K391" t="str">
            <v>Steel Grey</v>
          </cell>
          <cell r="L391" t="str">
            <v>T40</v>
          </cell>
          <cell r="M391" t="str">
            <v xml:space="preserve">Carry Over </v>
          </cell>
          <cell r="N391" t="str">
            <v xml:space="preserve">Essential accessories </v>
          </cell>
          <cell r="P391" t="str">
            <v>85009.240162909T40</v>
          </cell>
          <cell r="Q391">
            <v>376</v>
          </cell>
          <cell r="R391">
            <v>0</v>
          </cell>
          <cell r="S391">
            <v>0</v>
          </cell>
          <cell r="T391">
            <v>8.5</v>
          </cell>
          <cell r="U391">
            <v>5.6999999999999993</v>
          </cell>
          <cell r="V391">
            <v>5.666666666666667</v>
          </cell>
          <cell r="W391">
            <v>8.5</v>
          </cell>
          <cell r="X391">
            <v>5.6999999999999993</v>
          </cell>
          <cell r="Y391">
            <v>1.4912280701754388</v>
          </cell>
          <cell r="Z391">
            <v>3.9666666666666668</v>
          </cell>
          <cell r="AA391">
            <v>4</v>
          </cell>
          <cell r="AB391">
            <v>4.799666666666667</v>
          </cell>
          <cell r="AC391">
            <v>4.8</v>
          </cell>
        </row>
        <row r="392">
          <cell r="H392" t="str">
            <v>8715738858503</v>
          </cell>
          <cell r="I392" t="str">
            <v>Sonar T40 Micro Tool</v>
          </cell>
          <cell r="J392" t="str">
            <v>900</v>
          </cell>
          <cell r="K392" t="str">
            <v>Black</v>
          </cell>
          <cell r="L392" t="str">
            <v>O/S</v>
          </cell>
          <cell r="M392" t="str">
            <v xml:space="preserve">Carry Over </v>
          </cell>
          <cell r="N392" t="str">
            <v xml:space="preserve">Essential accessories </v>
          </cell>
          <cell r="P392" t="str">
            <v>85009.240170900O/S</v>
          </cell>
          <cell r="Q392">
            <v>377</v>
          </cell>
          <cell r="R392">
            <v>0</v>
          </cell>
          <cell r="S392">
            <v>0</v>
          </cell>
          <cell r="T392">
            <v>8.5</v>
          </cell>
          <cell r="U392">
            <v>5.6999999999999993</v>
          </cell>
          <cell r="V392">
            <v>5.666666666666667</v>
          </cell>
          <cell r="W392">
            <v>8.5</v>
          </cell>
          <cell r="X392">
            <v>5.6999999999999993</v>
          </cell>
          <cell r="Y392">
            <v>1.4912280701754388</v>
          </cell>
          <cell r="Z392">
            <v>3.9666666666666668</v>
          </cell>
          <cell r="AA392">
            <v>4</v>
          </cell>
          <cell r="AB392">
            <v>4.799666666666667</v>
          </cell>
          <cell r="AC392">
            <v>4.8</v>
          </cell>
        </row>
        <row r="393">
          <cell r="H393" t="str">
            <v>8715738898608</v>
          </cell>
          <cell r="I393" t="str">
            <v>T40 Tool Set of 10</v>
          </cell>
          <cell r="J393" t="str">
            <v>999</v>
          </cell>
          <cell r="K393" t="str">
            <v>Multiple Color</v>
          </cell>
          <cell r="L393" t="str">
            <v>O/S</v>
          </cell>
          <cell r="M393" t="str">
            <v xml:space="preserve">Carry Over </v>
          </cell>
          <cell r="N393" t="str">
            <v xml:space="preserve">Essential accessories </v>
          </cell>
          <cell r="P393" t="str">
            <v>85009.260115999O/S</v>
          </cell>
          <cell r="Q393">
            <v>378</v>
          </cell>
          <cell r="R393">
            <v>0</v>
          </cell>
          <cell r="S393">
            <v>0</v>
          </cell>
          <cell r="T393">
            <v>95</v>
          </cell>
          <cell r="U393">
            <v>63.4</v>
          </cell>
          <cell r="V393">
            <v>63.333333333333336</v>
          </cell>
          <cell r="W393">
            <v>95</v>
          </cell>
          <cell r="X393">
            <v>63.4</v>
          </cell>
          <cell r="Y393">
            <v>1.498422712933754</v>
          </cell>
          <cell r="Z393">
            <v>44.333333333333336</v>
          </cell>
          <cell r="AA393">
            <v>44.4</v>
          </cell>
          <cell r="AB393">
            <v>53.643333333333338</v>
          </cell>
          <cell r="AC393">
            <v>53.7</v>
          </cell>
        </row>
        <row r="394">
          <cell r="H394" t="str">
            <v>8715738898615</v>
          </cell>
          <cell r="I394" t="str">
            <v>Multi Tool Pack of 10</v>
          </cell>
          <cell r="J394" t="str">
            <v>999</v>
          </cell>
          <cell r="K394" t="str">
            <v>Multiple Color</v>
          </cell>
          <cell r="L394" t="str">
            <v>O/S</v>
          </cell>
          <cell r="M394" t="str">
            <v xml:space="preserve">Carry Over </v>
          </cell>
          <cell r="N394" t="str">
            <v xml:space="preserve">Essential accessories </v>
          </cell>
          <cell r="P394" t="str">
            <v>85009.260120999O/S</v>
          </cell>
          <cell r="Q394">
            <v>379</v>
          </cell>
          <cell r="R394">
            <v>0</v>
          </cell>
          <cell r="S394">
            <v>0</v>
          </cell>
          <cell r="T394">
            <v>260</v>
          </cell>
          <cell r="U394">
            <v>173.4</v>
          </cell>
          <cell r="V394">
            <v>173.33333333333334</v>
          </cell>
          <cell r="W394">
            <v>260</v>
          </cell>
          <cell r="X394">
            <v>173.4</v>
          </cell>
          <cell r="Y394">
            <v>1.4994232987312572</v>
          </cell>
          <cell r="Z394">
            <v>121.33333333333333</v>
          </cell>
          <cell r="AA394">
            <v>121.39999999999999</v>
          </cell>
          <cell r="AB394">
            <v>146.81333333333333</v>
          </cell>
          <cell r="AC394">
            <v>146.9</v>
          </cell>
        </row>
        <row r="395">
          <cell r="H395" t="str">
            <v>8715738780330</v>
          </cell>
          <cell r="I395" t="str">
            <v>2022 Wing Handle</v>
          </cell>
          <cell r="J395" t="str">
            <v>900</v>
          </cell>
          <cell r="K395" t="str">
            <v>Black</v>
          </cell>
          <cell r="L395" t="str">
            <v>400mm</v>
          </cell>
          <cell r="M395" t="str">
            <v xml:space="preserve">Carry Over </v>
          </cell>
          <cell r="N395" t="str">
            <v xml:space="preserve">Essential accessories </v>
          </cell>
          <cell r="P395" t="str">
            <v>85015.220101900400mm</v>
          </cell>
          <cell r="Q395">
            <v>380</v>
          </cell>
          <cell r="R395">
            <v>0</v>
          </cell>
          <cell r="S395">
            <v>0</v>
          </cell>
          <cell r="T395">
            <v>32</v>
          </cell>
          <cell r="U395">
            <v>21.400000000000002</v>
          </cell>
          <cell r="V395">
            <v>21.333333333333332</v>
          </cell>
          <cell r="W395">
            <v>32</v>
          </cell>
          <cell r="X395">
            <v>21.400000000000002</v>
          </cell>
          <cell r="Y395">
            <v>1.4953271028037383</v>
          </cell>
          <cell r="Z395">
            <v>14.933333333333332</v>
          </cell>
          <cell r="AA395">
            <v>15</v>
          </cell>
          <cell r="AB395">
            <v>18.069333333333329</v>
          </cell>
          <cell r="AC395">
            <v>18.100000000000001</v>
          </cell>
        </row>
        <row r="396">
          <cell r="H396" t="str">
            <v>8715738780347</v>
          </cell>
          <cell r="I396" t="str">
            <v>2022 Wing Handle</v>
          </cell>
          <cell r="J396" t="str">
            <v>900</v>
          </cell>
          <cell r="K396" t="str">
            <v>Black</v>
          </cell>
          <cell r="L396" t="str">
            <v>500mm</v>
          </cell>
          <cell r="M396" t="str">
            <v xml:space="preserve">Carry Over </v>
          </cell>
          <cell r="N396" t="str">
            <v xml:space="preserve">Essential accessories </v>
          </cell>
          <cell r="P396" t="str">
            <v>85015.220101900500mm</v>
          </cell>
          <cell r="Q396">
            <v>381</v>
          </cell>
          <cell r="R396">
            <v>0</v>
          </cell>
          <cell r="S396">
            <v>0</v>
          </cell>
          <cell r="T396">
            <v>36</v>
          </cell>
          <cell r="U396">
            <v>24</v>
          </cell>
          <cell r="V396">
            <v>24</v>
          </cell>
          <cell r="W396">
            <v>36</v>
          </cell>
          <cell r="X396">
            <v>24</v>
          </cell>
          <cell r="Y396">
            <v>1.5</v>
          </cell>
          <cell r="Z396">
            <v>16.799999999999997</v>
          </cell>
          <cell r="AA396">
            <v>16.8</v>
          </cell>
          <cell r="AB396">
            <v>20.327999999999996</v>
          </cell>
          <cell r="AC396">
            <v>20.400000000000002</v>
          </cell>
        </row>
        <row r="397">
          <cell r="H397" t="str">
            <v>8715738814134</v>
          </cell>
          <cell r="I397" t="str">
            <v>Wing Handle - Carbon</v>
          </cell>
          <cell r="J397" t="str">
            <v>900</v>
          </cell>
          <cell r="K397" t="str">
            <v>Black</v>
          </cell>
          <cell r="L397" t="str">
            <v>400mm</v>
          </cell>
          <cell r="M397" t="str">
            <v xml:space="preserve">Carry Over </v>
          </cell>
          <cell r="N397" t="str">
            <v xml:space="preserve">Essential accessories </v>
          </cell>
          <cell r="P397" t="str">
            <v>85015.230105900400mm</v>
          </cell>
          <cell r="Q397">
            <v>382</v>
          </cell>
          <cell r="R397">
            <v>0</v>
          </cell>
          <cell r="S397">
            <v>0</v>
          </cell>
          <cell r="T397">
            <v>92</v>
          </cell>
          <cell r="U397">
            <v>61.4</v>
          </cell>
          <cell r="V397">
            <v>61.333333333333336</v>
          </cell>
          <cell r="W397">
            <v>92</v>
          </cell>
          <cell r="X397">
            <v>61.4</v>
          </cell>
          <cell r="Y397">
            <v>1.498371335504886</v>
          </cell>
          <cell r="Z397">
            <v>42.93333333333333</v>
          </cell>
          <cell r="AA397">
            <v>43</v>
          </cell>
          <cell r="AB397">
            <v>51.949333333333328</v>
          </cell>
          <cell r="AC397">
            <v>52</v>
          </cell>
        </row>
        <row r="398">
          <cell r="H398" t="str">
            <v>8715738814141</v>
          </cell>
          <cell r="I398" t="str">
            <v>Wing Handle - Carbon</v>
          </cell>
          <cell r="J398" t="str">
            <v>900</v>
          </cell>
          <cell r="K398" t="str">
            <v>Black</v>
          </cell>
          <cell r="L398" t="str">
            <v>500mm</v>
          </cell>
          <cell r="M398" t="str">
            <v xml:space="preserve">Carry Over </v>
          </cell>
          <cell r="N398" t="str">
            <v xml:space="preserve">Essential accessories </v>
          </cell>
          <cell r="P398" t="str">
            <v>85015.230105900500mm</v>
          </cell>
          <cell r="Q398">
            <v>383</v>
          </cell>
          <cell r="R398">
            <v>0</v>
          </cell>
          <cell r="S398">
            <v>0</v>
          </cell>
          <cell r="T398">
            <v>100</v>
          </cell>
          <cell r="U398">
            <v>66.699999999999989</v>
          </cell>
          <cell r="V398">
            <v>66.666666666666671</v>
          </cell>
          <cell r="W398">
            <v>100</v>
          </cell>
          <cell r="X398">
            <v>66.699999999999989</v>
          </cell>
          <cell r="Y398">
            <v>1.499250374812594</v>
          </cell>
          <cell r="Z398">
            <v>46.666666666666664</v>
          </cell>
          <cell r="AA398">
            <v>46.7</v>
          </cell>
          <cell r="AB398">
            <v>56.466666666666661</v>
          </cell>
          <cell r="AC398">
            <v>56.5</v>
          </cell>
        </row>
        <row r="399">
          <cell r="H399" t="str">
            <v>8715738814158</v>
          </cell>
          <cell r="I399" t="str">
            <v>Wing Harness loop fixed</v>
          </cell>
          <cell r="J399" t="str">
            <v>999</v>
          </cell>
          <cell r="K399" t="str">
            <v>Multiple Color</v>
          </cell>
          <cell r="L399" t="str">
            <v>22inch</v>
          </cell>
          <cell r="M399" t="str">
            <v xml:space="preserve">Carry Over </v>
          </cell>
          <cell r="N399" t="str">
            <v xml:space="preserve">Essential accessories </v>
          </cell>
          <cell r="P399" t="str">
            <v>85015.23010699922inch</v>
          </cell>
          <cell r="Q399">
            <v>384</v>
          </cell>
          <cell r="R399">
            <v>0</v>
          </cell>
          <cell r="S399">
            <v>0</v>
          </cell>
          <cell r="T399">
            <v>50</v>
          </cell>
          <cell r="U399">
            <v>33.4</v>
          </cell>
          <cell r="V399">
            <v>33.333333333333336</v>
          </cell>
          <cell r="W399">
            <v>50</v>
          </cell>
          <cell r="X399">
            <v>33.4</v>
          </cell>
          <cell r="Y399">
            <v>1.4970059880239521</v>
          </cell>
          <cell r="Z399">
            <v>23.333333333333332</v>
          </cell>
          <cell r="AA399">
            <v>23.400000000000002</v>
          </cell>
          <cell r="AB399">
            <v>28.233333333333331</v>
          </cell>
          <cell r="AC399">
            <v>28.3</v>
          </cell>
        </row>
        <row r="400">
          <cell r="H400" t="str">
            <v>8715738814165</v>
          </cell>
          <cell r="I400" t="str">
            <v>Wing Harness loop fixed</v>
          </cell>
          <cell r="J400" t="str">
            <v>999</v>
          </cell>
          <cell r="K400" t="str">
            <v>Multiple Color</v>
          </cell>
          <cell r="L400" t="str">
            <v>26inch</v>
          </cell>
          <cell r="M400" t="str">
            <v xml:space="preserve">Carry Over </v>
          </cell>
          <cell r="N400" t="str">
            <v xml:space="preserve">Essential accessories </v>
          </cell>
          <cell r="P400" t="str">
            <v>85015.23010699926inch</v>
          </cell>
          <cell r="Q400">
            <v>385</v>
          </cell>
          <cell r="R400">
            <v>0</v>
          </cell>
          <cell r="S400">
            <v>0</v>
          </cell>
          <cell r="T400">
            <v>55</v>
          </cell>
          <cell r="U400">
            <v>36.700000000000003</v>
          </cell>
          <cell r="V400">
            <v>36.666666666666664</v>
          </cell>
          <cell r="W400">
            <v>55</v>
          </cell>
          <cell r="X400">
            <v>36.700000000000003</v>
          </cell>
          <cell r="Y400">
            <v>1.4986376021798364</v>
          </cell>
          <cell r="Z400">
            <v>25.666666666666664</v>
          </cell>
          <cell r="AA400">
            <v>25.700000000000003</v>
          </cell>
          <cell r="AB400">
            <v>31.056666666666661</v>
          </cell>
          <cell r="AC400">
            <v>31.1</v>
          </cell>
        </row>
        <row r="401">
          <cell r="H401" t="str">
            <v>8715738865983</v>
          </cell>
          <cell r="I401" t="str">
            <v>Wing Harness loop fixed</v>
          </cell>
          <cell r="J401" t="str">
            <v>999</v>
          </cell>
          <cell r="K401" t="str">
            <v>Multiple Color</v>
          </cell>
          <cell r="L401" t="str">
            <v>30inch</v>
          </cell>
          <cell r="M401" t="str">
            <v xml:space="preserve">Carry Over </v>
          </cell>
          <cell r="N401" t="str">
            <v xml:space="preserve">Essential accessories </v>
          </cell>
          <cell r="P401" t="str">
            <v>85015.23010699930inch</v>
          </cell>
          <cell r="Q401">
            <v>386</v>
          </cell>
          <cell r="R401">
            <v>0</v>
          </cell>
          <cell r="S401">
            <v>0</v>
          </cell>
          <cell r="T401">
            <v>57.5</v>
          </cell>
          <cell r="U401">
            <v>38.4</v>
          </cell>
          <cell r="V401">
            <v>38.333333333333336</v>
          </cell>
          <cell r="W401">
            <v>57.5</v>
          </cell>
          <cell r="X401">
            <v>38.4</v>
          </cell>
          <cell r="Y401">
            <v>1.4973958333333335</v>
          </cell>
          <cell r="Z401">
            <v>26.833333333333332</v>
          </cell>
          <cell r="AA401">
            <v>26.900000000000002</v>
          </cell>
          <cell r="AB401">
            <v>32.468333333333334</v>
          </cell>
          <cell r="AC401">
            <v>32.5</v>
          </cell>
        </row>
        <row r="402">
          <cell r="H402" t="str">
            <v>8715738858510</v>
          </cell>
          <cell r="I402" t="str">
            <v>Griplock Bridge Boom</v>
          </cell>
          <cell r="J402" t="str">
            <v>900</v>
          </cell>
          <cell r="K402" t="str">
            <v>Black</v>
          </cell>
          <cell r="L402" t="str">
            <v>O/S</v>
          </cell>
          <cell r="M402" t="str">
            <v xml:space="preserve">Carry Over </v>
          </cell>
          <cell r="N402" t="str">
            <v xml:space="preserve">Essential accessories </v>
          </cell>
          <cell r="P402" t="str">
            <v>85015.240083900O/S</v>
          </cell>
          <cell r="Q402">
            <v>387</v>
          </cell>
          <cell r="R402">
            <v>0</v>
          </cell>
          <cell r="S402">
            <v>0</v>
          </cell>
          <cell r="T402">
            <v>40</v>
          </cell>
          <cell r="U402">
            <v>26.700000000000003</v>
          </cell>
          <cell r="V402">
            <v>26.666666666666668</v>
          </cell>
          <cell r="W402">
            <v>40</v>
          </cell>
          <cell r="X402">
            <v>26.700000000000003</v>
          </cell>
          <cell r="Y402">
            <v>1.4981273408239699</v>
          </cell>
          <cell r="Z402">
            <v>18.666666666666668</v>
          </cell>
          <cell r="AA402">
            <v>18.700000000000003</v>
          </cell>
          <cell r="AB402">
            <v>22.586666666666666</v>
          </cell>
          <cell r="AC402">
            <v>22.6</v>
          </cell>
        </row>
        <row r="403">
          <cell r="H403" t="str">
            <v>8715738848542</v>
          </cell>
          <cell r="I403" t="str">
            <v>ShiftLock Action Camera Mount</v>
          </cell>
          <cell r="J403" t="str">
            <v>900</v>
          </cell>
          <cell r="K403" t="str">
            <v>Black</v>
          </cell>
          <cell r="L403" t="str">
            <v>O/S</v>
          </cell>
          <cell r="M403" t="str">
            <v xml:space="preserve">Carry Over </v>
          </cell>
          <cell r="N403" t="str">
            <v xml:space="preserve">Essential accessories </v>
          </cell>
          <cell r="P403" t="str">
            <v>85015.240107900O/S</v>
          </cell>
          <cell r="Q403">
            <v>388</v>
          </cell>
          <cell r="R403">
            <v>0</v>
          </cell>
          <cell r="S403">
            <v>0</v>
          </cell>
          <cell r="T403">
            <v>25.5</v>
          </cell>
          <cell r="U403">
            <v>17</v>
          </cell>
          <cell r="V403">
            <v>17</v>
          </cell>
          <cell r="W403">
            <v>25.5</v>
          </cell>
          <cell r="X403">
            <v>17</v>
          </cell>
          <cell r="Y403">
            <v>1.5</v>
          </cell>
          <cell r="Z403">
            <v>11.899999999999999</v>
          </cell>
          <cell r="AA403">
            <v>11.9</v>
          </cell>
          <cell r="AB403">
            <v>14.398999999999997</v>
          </cell>
          <cell r="AC403">
            <v>14.4</v>
          </cell>
        </row>
        <row r="404">
          <cell r="H404" t="str">
            <v>8715738848573</v>
          </cell>
          <cell r="I404" t="str">
            <v>GripLock Handle Bumper</v>
          </cell>
          <cell r="J404" t="str">
            <v>800</v>
          </cell>
          <cell r="K404" t="str">
            <v>Grey</v>
          </cell>
          <cell r="L404" t="str">
            <v>O/S</v>
          </cell>
          <cell r="M404" t="str">
            <v xml:space="preserve">Carry Over </v>
          </cell>
          <cell r="N404" t="str">
            <v xml:space="preserve">Essential accessories </v>
          </cell>
          <cell r="P404" t="str">
            <v>85015.240110800O/S</v>
          </cell>
          <cell r="Q404">
            <v>389</v>
          </cell>
          <cell r="R404">
            <v>0</v>
          </cell>
          <cell r="S404">
            <v>0</v>
          </cell>
          <cell r="T404">
            <v>8</v>
          </cell>
          <cell r="U404">
            <v>5.3999999999999995</v>
          </cell>
          <cell r="V404">
            <v>5.333333333333333</v>
          </cell>
          <cell r="W404">
            <v>8</v>
          </cell>
          <cell r="X404">
            <v>5.3999999999999995</v>
          </cell>
          <cell r="Y404">
            <v>1.4814814814814816</v>
          </cell>
          <cell r="Z404">
            <v>3.7333333333333329</v>
          </cell>
          <cell r="AA404">
            <v>3.8000000000000003</v>
          </cell>
          <cell r="AB404">
            <v>4.5173333333333323</v>
          </cell>
          <cell r="AC404">
            <v>4.5999999999999996</v>
          </cell>
        </row>
        <row r="405">
          <cell r="H405" t="str">
            <v>8715738858497</v>
          </cell>
          <cell r="I405" t="str">
            <v>N-Fix Canopy Repair Tape</v>
          </cell>
          <cell r="J405" t="str">
            <v>999</v>
          </cell>
          <cell r="K405" t="str">
            <v>Multiple Color</v>
          </cell>
          <cell r="L405" t="str">
            <v>O/S</v>
          </cell>
          <cell r="M405" t="str">
            <v xml:space="preserve">Carry Over </v>
          </cell>
          <cell r="N405" t="str">
            <v xml:space="preserve">Essential accessories </v>
          </cell>
          <cell r="P405" t="str">
            <v>85015.240111999O/S</v>
          </cell>
          <cell r="Q405">
            <v>390</v>
          </cell>
          <cell r="R405">
            <v>0</v>
          </cell>
          <cell r="S405">
            <v>0</v>
          </cell>
          <cell r="T405">
            <v>20.5</v>
          </cell>
          <cell r="U405">
            <v>13.7</v>
          </cell>
          <cell r="V405">
            <v>13.666666666666666</v>
          </cell>
          <cell r="W405">
            <v>20.5</v>
          </cell>
          <cell r="X405">
            <v>13.7</v>
          </cell>
          <cell r="Y405">
            <v>1.4963503649635037</v>
          </cell>
          <cell r="Z405">
            <v>9.5666666666666664</v>
          </cell>
          <cell r="AA405">
            <v>9.6</v>
          </cell>
          <cell r="AB405">
            <v>11.575666666666667</v>
          </cell>
          <cell r="AC405">
            <v>11.6</v>
          </cell>
        </row>
        <row r="406">
          <cell r="H406" t="str">
            <v>8715738865785</v>
          </cell>
          <cell r="I406" t="str">
            <v>ShiftLock Paddle Mount</v>
          </cell>
          <cell r="J406" t="str">
            <v>900</v>
          </cell>
          <cell r="K406" t="str">
            <v>Black</v>
          </cell>
          <cell r="L406" t="str">
            <v>O/S</v>
          </cell>
          <cell r="M406" t="str">
            <v xml:space="preserve">Carry Over </v>
          </cell>
          <cell r="N406" t="str">
            <v xml:space="preserve">Essential accessories </v>
          </cell>
          <cell r="P406" t="str">
            <v>85015.240112900O/S</v>
          </cell>
          <cell r="Q406">
            <v>391</v>
          </cell>
          <cell r="R406">
            <v>0</v>
          </cell>
          <cell r="S406">
            <v>0</v>
          </cell>
          <cell r="T406">
            <v>40</v>
          </cell>
          <cell r="U406">
            <v>26.700000000000003</v>
          </cell>
          <cell r="V406">
            <v>26.666666666666668</v>
          </cell>
          <cell r="W406">
            <v>40</v>
          </cell>
          <cell r="X406">
            <v>26.700000000000003</v>
          </cell>
          <cell r="Y406">
            <v>1.4981273408239699</v>
          </cell>
          <cell r="Z406">
            <v>18.666666666666668</v>
          </cell>
          <cell r="AA406">
            <v>18.700000000000003</v>
          </cell>
          <cell r="AB406">
            <v>22.586666666666666</v>
          </cell>
          <cell r="AC406">
            <v>22.6</v>
          </cell>
        </row>
        <row r="407">
          <cell r="H407" t="str">
            <v>8715738876866</v>
          </cell>
          <cell r="I407" t="str">
            <v>Sonar Mast Shim</v>
          </cell>
          <cell r="J407" t="str">
            <v>900</v>
          </cell>
          <cell r="K407" t="str">
            <v>Black</v>
          </cell>
          <cell r="L407" t="str">
            <v>O/S</v>
          </cell>
          <cell r="M407" t="str">
            <v xml:space="preserve">Carry Over </v>
          </cell>
          <cell r="N407" t="str">
            <v xml:space="preserve">Essential accessories </v>
          </cell>
          <cell r="P407" t="str">
            <v>85015.250145900O/S</v>
          </cell>
          <cell r="Q407">
            <v>392</v>
          </cell>
          <cell r="R407">
            <v>0</v>
          </cell>
          <cell r="S407">
            <v>0</v>
          </cell>
          <cell r="T407">
            <v>56.5</v>
          </cell>
          <cell r="U407">
            <v>37.700000000000003</v>
          </cell>
          <cell r="V407">
            <v>37.666666666666664</v>
          </cell>
          <cell r="W407">
            <v>56.5</v>
          </cell>
          <cell r="X407">
            <v>37.700000000000003</v>
          </cell>
          <cell r="Y407">
            <v>1.4986737400530503</v>
          </cell>
          <cell r="Z407">
            <v>26.366666666666664</v>
          </cell>
          <cell r="AA407">
            <v>26.400000000000002</v>
          </cell>
          <cell r="AB407">
            <v>31.903666666666663</v>
          </cell>
          <cell r="AC407">
            <v>32</v>
          </cell>
        </row>
        <row r="408">
          <cell r="H408" t="str">
            <v>8715738887848</v>
          </cell>
          <cell r="I408" t="str">
            <v>Griplock Wing Boom</v>
          </cell>
          <cell r="J408" t="str">
            <v>999</v>
          </cell>
          <cell r="K408" t="str">
            <v>Multiple Color</v>
          </cell>
          <cell r="L408" t="str">
            <v>950mm</v>
          </cell>
          <cell r="M408" t="str">
            <v xml:space="preserve">Carry Over </v>
          </cell>
          <cell r="N408" t="str">
            <v xml:space="preserve">Essential accessories </v>
          </cell>
          <cell r="P408" t="str">
            <v>85015.250280999950mm</v>
          </cell>
          <cell r="Q408">
            <v>393</v>
          </cell>
          <cell r="R408">
            <v>0</v>
          </cell>
          <cell r="S408">
            <v>0</v>
          </cell>
          <cell r="T408">
            <v>120</v>
          </cell>
          <cell r="U408">
            <v>80</v>
          </cell>
          <cell r="V408">
            <v>80</v>
          </cell>
          <cell r="W408">
            <v>120</v>
          </cell>
          <cell r="X408">
            <v>80</v>
          </cell>
          <cell r="Y408">
            <v>1.5</v>
          </cell>
          <cell r="Z408">
            <v>56</v>
          </cell>
          <cell r="AA408">
            <v>56</v>
          </cell>
          <cell r="AB408">
            <v>67.759999999999991</v>
          </cell>
          <cell r="AC408">
            <v>67.8</v>
          </cell>
        </row>
        <row r="409">
          <cell r="H409" t="str">
            <v>8715738887855</v>
          </cell>
          <cell r="I409" t="str">
            <v>Griplock Wing Boom</v>
          </cell>
          <cell r="J409" t="str">
            <v>999</v>
          </cell>
          <cell r="K409" t="str">
            <v>Multiple Color</v>
          </cell>
          <cell r="L409" t="str">
            <v>1100mm</v>
          </cell>
          <cell r="M409" t="str">
            <v xml:space="preserve">Carry Over </v>
          </cell>
          <cell r="N409" t="str">
            <v xml:space="preserve">Essential accessories </v>
          </cell>
          <cell r="P409" t="str">
            <v>85015.2502809991100mm</v>
          </cell>
          <cell r="Q409">
            <v>394</v>
          </cell>
          <cell r="R409">
            <v>0</v>
          </cell>
          <cell r="S409">
            <v>0</v>
          </cell>
          <cell r="T409">
            <v>130</v>
          </cell>
          <cell r="U409">
            <v>86.699999999999989</v>
          </cell>
          <cell r="V409">
            <v>86.666666666666671</v>
          </cell>
          <cell r="W409">
            <v>130</v>
          </cell>
          <cell r="X409">
            <v>86.699999999999989</v>
          </cell>
          <cell r="Y409">
            <v>1.4994232987312575</v>
          </cell>
          <cell r="Z409">
            <v>60.666666666666664</v>
          </cell>
          <cell r="AA409">
            <v>60.7</v>
          </cell>
          <cell r="AB409">
            <v>73.406666666666666</v>
          </cell>
          <cell r="AC409">
            <v>73.5</v>
          </cell>
        </row>
        <row r="410">
          <cell r="H410" t="str">
            <v>8715738824294</v>
          </cell>
          <cell r="I410" t="str">
            <v>Wrist Wing Leash</v>
          </cell>
          <cell r="J410" t="str">
            <v>900</v>
          </cell>
          <cell r="K410" t="str">
            <v>Black</v>
          </cell>
          <cell r="L410" t="str">
            <v>S</v>
          </cell>
          <cell r="M410" t="str">
            <v xml:space="preserve">Carry Over </v>
          </cell>
          <cell r="N410" t="str">
            <v xml:space="preserve">Essential accessories </v>
          </cell>
          <cell r="P410" t="str">
            <v>85015.240120900S</v>
          </cell>
          <cell r="Q410">
            <v>395</v>
          </cell>
          <cell r="R410">
            <v>0</v>
          </cell>
          <cell r="S410">
            <v>0</v>
          </cell>
          <cell r="T410">
            <v>50</v>
          </cell>
          <cell r="U410">
            <v>33.4</v>
          </cell>
          <cell r="V410">
            <v>33.333333333333336</v>
          </cell>
          <cell r="W410">
            <v>50</v>
          </cell>
          <cell r="X410">
            <v>33.4</v>
          </cell>
          <cell r="Y410">
            <v>1.4970059880239521</v>
          </cell>
          <cell r="Z410">
            <v>23.333333333333332</v>
          </cell>
          <cell r="AA410">
            <v>23.400000000000002</v>
          </cell>
          <cell r="AB410">
            <v>28.233333333333331</v>
          </cell>
          <cell r="AC410">
            <v>28.3</v>
          </cell>
        </row>
        <row r="411">
          <cell r="H411" t="str">
            <v>8715738824300</v>
          </cell>
          <cell r="I411" t="str">
            <v>Wrist Wing Leash</v>
          </cell>
          <cell r="J411" t="str">
            <v>900</v>
          </cell>
          <cell r="K411" t="str">
            <v>Black</v>
          </cell>
          <cell r="L411" t="str">
            <v>M</v>
          </cell>
          <cell r="M411" t="str">
            <v xml:space="preserve">Carry Over </v>
          </cell>
          <cell r="N411" t="str">
            <v xml:space="preserve">Essential accessories </v>
          </cell>
          <cell r="P411" t="str">
            <v>85015.240120900M</v>
          </cell>
          <cell r="Q411">
            <v>396</v>
          </cell>
          <cell r="R411">
            <v>0</v>
          </cell>
          <cell r="S411">
            <v>0</v>
          </cell>
          <cell r="T411">
            <v>50</v>
          </cell>
          <cell r="U411">
            <v>33.4</v>
          </cell>
          <cell r="V411">
            <v>33.333333333333336</v>
          </cell>
          <cell r="W411">
            <v>50</v>
          </cell>
          <cell r="X411">
            <v>33.4</v>
          </cell>
          <cell r="Y411">
            <v>1.4970059880239521</v>
          </cell>
          <cell r="Z411">
            <v>23.333333333333332</v>
          </cell>
          <cell r="AA411">
            <v>23.400000000000002</v>
          </cell>
          <cell r="AB411">
            <v>28.233333333333331</v>
          </cell>
          <cell r="AC411">
            <v>28.3</v>
          </cell>
        </row>
        <row r="412">
          <cell r="H412" t="str">
            <v>8715738824317</v>
          </cell>
          <cell r="I412" t="str">
            <v>Wrist Wing Leash</v>
          </cell>
          <cell r="J412" t="str">
            <v>900</v>
          </cell>
          <cell r="K412" t="str">
            <v>Black</v>
          </cell>
          <cell r="L412" t="str">
            <v>L</v>
          </cell>
          <cell r="M412" t="str">
            <v xml:space="preserve">Carry Over </v>
          </cell>
          <cell r="N412" t="str">
            <v xml:space="preserve">Essential accessories </v>
          </cell>
          <cell r="P412" t="str">
            <v>85015.240120900L</v>
          </cell>
          <cell r="Q412">
            <v>397</v>
          </cell>
          <cell r="R412">
            <v>0</v>
          </cell>
          <cell r="S412">
            <v>0</v>
          </cell>
          <cell r="T412">
            <v>50</v>
          </cell>
          <cell r="U412">
            <v>33.4</v>
          </cell>
          <cell r="V412">
            <v>33.333333333333336</v>
          </cell>
          <cell r="W412">
            <v>50</v>
          </cell>
          <cell r="X412">
            <v>33.4</v>
          </cell>
          <cell r="Y412">
            <v>1.4970059880239521</v>
          </cell>
          <cell r="Z412">
            <v>23.333333333333332</v>
          </cell>
          <cell r="AA412">
            <v>23.400000000000002</v>
          </cell>
          <cell r="AB412">
            <v>28.233333333333331</v>
          </cell>
          <cell r="AC412">
            <v>28.3</v>
          </cell>
        </row>
        <row r="413">
          <cell r="H413" t="str">
            <v>8715738911888</v>
          </cell>
          <cell r="I413" t="str">
            <v>Harness Loops Pack of 10</v>
          </cell>
          <cell r="J413" t="str">
            <v>999</v>
          </cell>
          <cell r="K413" t="str">
            <v>Multiple Color</v>
          </cell>
          <cell r="L413" t="str">
            <v>22inch</v>
          </cell>
          <cell r="M413" t="str">
            <v>New</v>
          </cell>
          <cell r="N413" t="str">
            <v xml:space="preserve">Essential accessories </v>
          </cell>
          <cell r="P413" t="str">
            <v>85015.26012599922inch</v>
          </cell>
          <cell r="Q413">
            <v>398</v>
          </cell>
          <cell r="R413" t="e">
            <v>#VALUE!</v>
          </cell>
          <cell r="S413" t="e">
            <v>#VALUE!</v>
          </cell>
          <cell r="T413" t="str">
            <v/>
          </cell>
          <cell r="U413" t="str">
            <v/>
          </cell>
          <cell r="V413">
            <v>300</v>
          </cell>
          <cell r="W413">
            <v>500</v>
          </cell>
          <cell r="X413">
            <v>300</v>
          </cell>
          <cell r="Y413">
            <v>1.6666666666666667</v>
          </cell>
          <cell r="Z413">
            <v>210</v>
          </cell>
          <cell r="AA413">
            <v>210</v>
          </cell>
          <cell r="AB413">
            <v>254.1</v>
          </cell>
          <cell r="AC413">
            <v>254.1</v>
          </cell>
        </row>
        <row r="414">
          <cell r="H414" t="str">
            <v>8715738914094</v>
          </cell>
          <cell r="I414" t="str">
            <v>Harness Loops Pack of 10</v>
          </cell>
          <cell r="J414" t="str">
            <v>999</v>
          </cell>
          <cell r="K414" t="str">
            <v>Multiple Color</v>
          </cell>
          <cell r="L414" t="str">
            <v>26inch</v>
          </cell>
          <cell r="M414" t="str">
            <v>New</v>
          </cell>
          <cell r="N414" t="str">
            <v xml:space="preserve">Essential accessories </v>
          </cell>
          <cell r="P414" t="str">
            <v>85015.26012599926inch</v>
          </cell>
          <cell r="Q414">
            <v>399</v>
          </cell>
          <cell r="R414" t="e">
            <v>#VALUE!</v>
          </cell>
          <cell r="S414" t="e">
            <v>#VALUE!</v>
          </cell>
          <cell r="T414" t="str">
            <v/>
          </cell>
          <cell r="U414" t="str">
            <v/>
          </cell>
          <cell r="V414">
            <v>330</v>
          </cell>
          <cell r="W414">
            <v>550</v>
          </cell>
          <cell r="X414">
            <v>330</v>
          </cell>
          <cell r="Y414">
            <v>1.6666666666666667</v>
          </cell>
          <cell r="Z414">
            <v>230.99999999999997</v>
          </cell>
          <cell r="AA414">
            <v>231</v>
          </cell>
          <cell r="AB414">
            <v>279.50999999999993</v>
          </cell>
          <cell r="AC414">
            <v>279.60000000000002</v>
          </cell>
        </row>
        <row r="415">
          <cell r="H415" t="str">
            <v>8715738911895</v>
          </cell>
          <cell r="I415" t="str">
            <v>Harness Loops Pack of 10</v>
          </cell>
          <cell r="J415" t="str">
            <v>999</v>
          </cell>
          <cell r="K415" t="str">
            <v>Multiple Color</v>
          </cell>
          <cell r="L415" t="str">
            <v>30inch</v>
          </cell>
          <cell r="M415" t="str">
            <v>New</v>
          </cell>
          <cell r="N415" t="str">
            <v xml:space="preserve">Essential accessories </v>
          </cell>
          <cell r="P415" t="str">
            <v>85015.26012599930inch</v>
          </cell>
          <cell r="Q415">
            <v>400</v>
          </cell>
          <cell r="R415" t="e">
            <v>#VALUE!</v>
          </cell>
          <cell r="S415" t="e">
            <v>#VALUE!</v>
          </cell>
          <cell r="T415" t="str">
            <v/>
          </cell>
          <cell r="U415" t="str">
            <v/>
          </cell>
          <cell r="V415">
            <v>345</v>
          </cell>
          <cell r="W415">
            <v>575</v>
          </cell>
          <cell r="X415">
            <v>345</v>
          </cell>
          <cell r="Y415">
            <v>1.6666666666666667</v>
          </cell>
          <cell r="Z415">
            <v>241.49999999999997</v>
          </cell>
          <cell r="AA415">
            <v>241.5</v>
          </cell>
          <cell r="AB415">
            <v>292.21499999999997</v>
          </cell>
          <cell r="AC415">
            <v>292.3</v>
          </cell>
        </row>
        <row r="416">
          <cell r="H416" t="str">
            <v>8715738910058</v>
          </cell>
          <cell r="I416" t="str">
            <v>Flex Pro Strap Adjuster (Pair)</v>
          </cell>
          <cell r="J416" t="str">
            <v>800</v>
          </cell>
          <cell r="K416" t="str">
            <v>Grey</v>
          </cell>
          <cell r="L416" t="str">
            <v>O/S</v>
          </cell>
          <cell r="M416" t="str">
            <v>New</v>
          </cell>
          <cell r="N416" t="str">
            <v xml:space="preserve">Essential accessories </v>
          </cell>
          <cell r="P416" t="str">
            <v>85003.260045800O/S</v>
          </cell>
          <cell r="Q416">
            <v>401</v>
          </cell>
          <cell r="R416" t="e">
            <v>#VALUE!</v>
          </cell>
          <cell r="S416" t="e">
            <v>#VALUE!</v>
          </cell>
          <cell r="T416" t="str">
            <v/>
          </cell>
          <cell r="U416" t="str">
            <v/>
          </cell>
          <cell r="V416">
            <v>3.3333333333333335</v>
          </cell>
          <cell r="W416">
            <v>5</v>
          </cell>
          <cell r="X416">
            <v>3.4</v>
          </cell>
          <cell r="Y416">
            <v>1.4705882352941178</v>
          </cell>
          <cell r="Z416">
            <v>2.3333333333333335</v>
          </cell>
          <cell r="AA416">
            <v>2.4</v>
          </cell>
          <cell r="AB416">
            <v>2.8233333333333333</v>
          </cell>
          <cell r="AC416">
            <v>2.9</v>
          </cell>
        </row>
        <row r="417">
          <cell r="H417" t="str">
            <v>8715738711228</v>
          </cell>
          <cell r="I417" t="str">
            <v>Board Vent Plug</v>
          </cell>
          <cell r="J417" t="str">
            <v>800</v>
          </cell>
          <cell r="K417" t="str">
            <v>Grey</v>
          </cell>
          <cell r="L417" t="str">
            <v>O/S</v>
          </cell>
          <cell r="M417" t="str">
            <v>New</v>
          </cell>
          <cell r="N417" t="str">
            <v xml:space="preserve">Essential accessories </v>
          </cell>
          <cell r="P417" t="str">
            <v>85008.210072800O/S</v>
          </cell>
          <cell r="Q417">
            <v>402</v>
          </cell>
          <cell r="R417" t="e">
            <v>#VALUE!</v>
          </cell>
          <cell r="S417" t="e">
            <v>#VALUE!</v>
          </cell>
          <cell r="T417" t="str">
            <v/>
          </cell>
          <cell r="U417" t="str">
            <v/>
          </cell>
          <cell r="V417">
            <v>16.666666666666668</v>
          </cell>
          <cell r="W417">
            <v>25</v>
          </cell>
          <cell r="X417">
            <v>16.700000000000003</v>
          </cell>
          <cell r="Y417">
            <v>1.4970059880239519</v>
          </cell>
          <cell r="Z417">
            <v>11.666666666666666</v>
          </cell>
          <cell r="AA417">
            <v>11.7</v>
          </cell>
          <cell r="AB417">
            <v>14.116666666666665</v>
          </cell>
          <cell r="AC417">
            <v>14.2</v>
          </cell>
        </row>
        <row r="418">
          <cell r="H418" t="str">
            <v>8715738784604</v>
          </cell>
          <cell r="I418" t="str">
            <v>Seek Air Repair Material</v>
          </cell>
          <cell r="J418" t="str">
            <v>196</v>
          </cell>
          <cell r="K418" t="str">
            <v>Titanium</v>
          </cell>
          <cell r="L418" t="str">
            <v>O/S</v>
          </cell>
          <cell r="M418" t="str">
            <v xml:space="preserve">Carry Over </v>
          </cell>
          <cell r="N418" t="str">
            <v xml:space="preserve">Essential accessories </v>
          </cell>
          <cell r="P418" t="str">
            <v>85008.230051196O/S</v>
          </cell>
          <cell r="Q418">
            <v>403</v>
          </cell>
          <cell r="R418">
            <v>0</v>
          </cell>
          <cell r="S418">
            <v>0</v>
          </cell>
          <cell r="T418">
            <v>5.5</v>
          </cell>
          <cell r="U418">
            <v>3.7</v>
          </cell>
          <cell r="V418">
            <v>3.6666666666666665</v>
          </cell>
          <cell r="W418">
            <v>5.5</v>
          </cell>
          <cell r="X418">
            <v>3.7</v>
          </cell>
          <cell r="Y418">
            <v>1.4864864864864864</v>
          </cell>
          <cell r="Z418">
            <v>2.5666666666666664</v>
          </cell>
          <cell r="AA418">
            <v>2.6</v>
          </cell>
          <cell r="AB418">
            <v>3.1056666666666661</v>
          </cell>
          <cell r="AC418">
            <v>3.2</v>
          </cell>
        </row>
        <row r="419">
          <cell r="H419" t="str">
            <v>8715738784611</v>
          </cell>
          <cell r="I419" t="str">
            <v>Inflatable Board Valve</v>
          </cell>
          <cell r="J419" t="str">
            <v>800</v>
          </cell>
          <cell r="K419" t="str">
            <v>Grey</v>
          </cell>
          <cell r="L419" t="str">
            <v>O/S</v>
          </cell>
          <cell r="M419" t="str">
            <v xml:space="preserve">Carry Over </v>
          </cell>
          <cell r="N419" t="str">
            <v xml:space="preserve">Essential accessories </v>
          </cell>
          <cell r="P419" t="str">
            <v>85008.230052800O/S</v>
          </cell>
          <cell r="Q419">
            <v>404</v>
          </cell>
          <cell r="R419">
            <v>0</v>
          </cell>
          <cell r="S419">
            <v>0</v>
          </cell>
          <cell r="T419">
            <v>6.5</v>
          </cell>
          <cell r="U419">
            <v>4.3999999999999995</v>
          </cell>
          <cell r="V419">
            <v>4.333333333333333</v>
          </cell>
          <cell r="W419">
            <v>6.5</v>
          </cell>
          <cell r="X419">
            <v>4.3999999999999995</v>
          </cell>
          <cell r="Y419">
            <v>1.4772727272727275</v>
          </cell>
          <cell r="Z419">
            <v>3.0333333333333328</v>
          </cell>
          <cell r="AA419">
            <v>3.1</v>
          </cell>
          <cell r="AB419">
            <v>3.6703333333333323</v>
          </cell>
          <cell r="AC419">
            <v>3.7</v>
          </cell>
        </row>
        <row r="420">
          <cell r="H420" t="str">
            <v>8715738812802</v>
          </cell>
          <cell r="I420" t="str">
            <v>Seek Air Strap Screw Pack</v>
          </cell>
          <cell r="J420" t="str">
            <v>900</v>
          </cell>
          <cell r="K420" t="str">
            <v>Black</v>
          </cell>
          <cell r="L420" t="str">
            <v>O/S</v>
          </cell>
          <cell r="M420" t="str">
            <v xml:space="preserve">Carry Over </v>
          </cell>
          <cell r="N420" t="str">
            <v xml:space="preserve">Essential accessories </v>
          </cell>
          <cell r="P420" t="str">
            <v>85008.230053900O/S</v>
          </cell>
          <cell r="Q420">
            <v>405</v>
          </cell>
          <cell r="R420">
            <v>0</v>
          </cell>
          <cell r="S420">
            <v>0</v>
          </cell>
          <cell r="T420">
            <v>25</v>
          </cell>
          <cell r="U420">
            <v>16.700000000000003</v>
          </cell>
          <cell r="V420">
            <v>16.666666666666668</v>
          </cell>
          <cell r="W420">
            <v>25</v>
          </cell>
          <cell r="X420">
            <v>16.700000000000003</v>
          </cell>
          <cell r="Y420">
            <v>1.4970059880239519</v>
          </cell>
          <cell r="Z420">
            <v>11.666666666666666</v>
          </cell>
          <cell r="AA420">
            <v>11.7</v>
          </cell>
          <cell r="AB420">
            <v>14.116666666666665</v>
          </cell>
          <cell r="AC420">
            <v>14.2</v>
          </cell>
        </row>
        <row r="421">
          <cell r="H421" t="str">
            <v>8715738814219</v>
          </cell>
          <cell r="I421" t="str">
            <v>Free-Lo Strap Washers - set of 4</v>
          </cell>
          <cell r="J421" t="str">
            <v>900</v>
          </cell>
          <cell r="K421" t="str">
            <v>Black</v>
          </cell>
          <cell r="L421" t="str">
            <v>O/S</v>
          </cell>
          <cell r="M421" t="str">
            <v xml:space="preserve">Carry Over </v>
          </cell>
          <cell r="N421" t="str">
            <v xml:space="preserve">Essential accessories </v>
          </cell>
          <cell r="P421" t="str">
            <v>85008.230121900O/S</v>
          </cell>
          <cell r="Q421">
            <v>406</v>
          </cell>
          <cell r="R421">
            <v>0</v>
          </cell>
          <cell r="S421">
            <v>0</v>
          </cell>
          <cell r="T421">
            <v>15.5</v>
          </cell>
          <cell r="U421">
            <v>10.4</v>
          </cell>
          <cell r="V421">
            <v>10.333333333333334</v>
          </cell>
          <cell r="W421">
            <v>15.5</v>
          </cell>
          <cell r="X421">
            <v>10.4</v>
          </cell>
          <cell r="Y421">
            <v>1.4903846153846154</v>
          </cell>
          <cell r="Z421">
            <v>7.2333333333333334</v>
          </cell>
          <cell r="AA421">
            <v>7.3</v>
          </cell>
          <cell r="AB421">
            <v>8.7523333333333326</v>
          </cell>
          <cell r="AC421">
            <v>8.7999999999999989</v>
          </cell>
        </row>
        <row r="422">
          <cell r="H422" t="str">
            <v>8715738776838</v>
          </cell>
          <cell r="I422" t="str">
            <v>2022 Wing Handle Screw Pack</v>
          </cell>
          <cell r="J422" t="str">
            <v>900</v>
          </cell>
          <cell r="K422" t="str">
            <v>Black</v>
          </cell>
          <cell r="L422" t="str">
            <v>O/S</v>
          </cell>
          <cell r="M422" t="str">
            <v xml:space="preserve">Carry over </v>
          </cell>
          <cell r="N422" t="str">
            <v xml:space="preserve">Essential accessories </v>
          </cell>
          <cell r="P422" t="str">
            <v>85015.220102900O/S</v>
          </cell>
          <cell r="Q422">
            <v>407</v>
          </cell>
          <cell r="R422" t="e">
            <v>#VALUE!</v>
          </cell>
          <cell r="S422" t="e">
            <v>#VALUE!</v>
          </cell>
          <cell r="T422" t="str">
            <v/>
          </cell>
          <cell r="U422" t="str">
            <v/>
          </cell>
          <cell r="V422">
            <v>10</v>
          </cell>
          <cell r="W422">
            <v>15</v>
          </cell>
          <cell r="X422">
            <v>10</v>
          </cell>
          <cell r="Y422">
            <v>1.5</v>
          </cell>
          <cell r="Z422">
            <v>7</v>
          </cell>
          <cell r="AA422">
            <v>7</v>
          </cell>
          <cell r="AB422">
            <v>8.4699999999999989</v>
          </cell>
          <cell r="AC422">
            <v>8.5</v>
          </cell>
        </row>
        <row r="423">
          <cell r="H423" t="str">
            <v>8715738784628</v>
          </cell>
          <cell r="I423" t="str">
            <v>Round Battens set of 3</v>
          </cell>
          <cell r="J423" t="str">
            <v>100</v>
          </cell>
          <cell r="K423" t="str">
            <v>White</v>
          </cell>
          <cell r="L423" t="str">
            <v>25cm</v>
          </cell>
          <cell r="M423" t="str">
            <v xml:space="preserve">Carry over </v>
          </cell>
          <cell r="N423" t="str">
            <v xml:space="preserve">Essential accessories </v>
          </cell>
          <cell r="P423" t="str">
            <v>85015.23005010025cm</v>
          </cell>
          <cell r="Q423">
            <v>408</v>
          </cell>
          <cell r="R423" t="e">
            <v>#VALUE!</v>
          </cell>
          <cell r="S423" t="e">
            <v>#VALUE!</v>
          </cell>
          <cell r="T423" t="str">
            <v/>
          </cell>
          <cell r="U423" t="str">
            <v/>
          </cell>
          <cell r="V423">
            <v>4</v>
          </cell>
          <cell r="W423">
            <v>6</v>
          </cell>
          <cell r="X423">
            <v>4</v>
          </cell>
          <cell r="Y423">
            <v>1.5</v>
          </cell>
          <cell r="Z423">
            <v>2.8</v>
          </cell>
          <cell r="AA423">
            <v>2.8</v>
          </cell>
          <cell r="AB423">
            <v>3.3879999999999999</v>
          </cell>
          <cell r="AC423">
            <v>3.4</v>
          </cell>
        </row>
        <row r="424">
          <cell r="H424" t="str">
            <v>8715738784727</v>
          </cell>
          <cell r="I424" t="str">
            <v>2023 N-Weave Repair Material</v>
          </cell>
          <cell r="J424" t="str">
            <v>100</v>
          </cell>
          <cell r="K424" t="str">
            <v>White</v>
          </cell>
          <cell r="L424" t="str">
            <v>2mx1.42m</v>
          </cell>
          <cell r="M424" t="str">
            <v xml:space="preserve">Carry over </v>
          </cell>
          <cell r="N424" t="str">
            <v xml:space="preserve">Essential accessories </v>
          </cell>
          <cell r="P424" t="str">
            <v>85015.2301241002mx1.42m</v>
          </cell>
          <cell r="Q424">
            <v>409</v>
          </cell>
          <cell r="R424" t="e">
            <v>#VALUE!</v>
          </cell>
          <cell r="S424" t="e">
            <v>#VALUE!</v>
          </cell>
          <cell r="T424" t="str">
            <v/>
          </cell>
          <cell r="U424" t="str">
            <v/>
          </cell>
          <cell r="V424">
            <v>96.666666666666671</v>
          </cell>
          <cell r="W424">
            <v>145</v>
          </cell>
          <cell r="X424">
            <v>96.699999999999989</v>
          </cell>
          <cell r="Y424">
            <v>1.4994829369183043</v>
          </cell>
          <cell r="Z424">
            <v>67.666666666666671</v>
          </cell>
          <cell r="AA424">
            <v>67.699999999999989</v>
          </cell>
          <cell r="AB424">
            <v>81.876666666666665</v>
          </cell>
          <cell r="AC424">
            <v>81.899999999999991</v>
          </cell>
        </row>
        <row r="425">
          <cell r="H425" t="str">
            <v>8715738815049</v>
          </cell>
          <cell r="I425" t="str">
            <v>2023 Wing Dacron Repair Material</v>
          </cell>
          <cell r="J425" t="str">
            <v>900</v>
          </cell>
          <cell r="K425" t="str">
            <v>Black</v>
          </cell>
          <cell r="L425" t="str">
            <v>2mx1.42m</v>
          </cell>
          <cell r="M425" t="str">
            <v xml:space="preserve">Carry over </v>
          </cell>
          <cell r="N425" t="str">
            <v xml:space="preserve">Essential accessories </v>
          </cell>
          <cell r="P425" t="str">
            <v>85015.2301259002mx1.42m</v>
          </cell>
          <cell r="Q425">
            <v>410</v>
          </cell>
          <cell r="R425" t="e">
            <v>#VALUE!</v>
          </cell>
          <cell r="S425" t="e">
            <v>#VALUE!</v>
          </cell>
          <cell r="T425" t="str">
            <v/>
          </cell>
          <cell r="U425" t="str">
            <v/>
          </cell>
          <cell r="V425">
            <v>61.666666666666664</v>
          </cell>
          <cell r="W425">
            <v>92.5</v>
          </cell>
          <cell r="X425">
            <v>61.7</v>
          </cell>
          <cell r="Y425">
            <v>1.499189627228525</v>
          </cell>
          <cell r="Z425">
            <v>43.166666666666664</v>
          </cell>
          <cell r="AA425">
            <v>43.2</v>
          </cell>
          <cell r="AB425">
            <v>52.231666666666662</v>
          </cell>
          <cell r="AC425">
            <v>52.300000000000004</v>
          </cell>
        </row>
        <row r="426">
          <cell r="H426" t="str">
            <v>8715738848559</v>
          </cell>
          <cell r="I426" t="str">
            <v>ShiftLock Replacement Clamps with Screws (set of 2)</v>
          </cell>
          <cell r="J426" t="str">
            <v>900</v>
          </cell>
          <cell r="K426" t="str">
            <v>Black</v>
          </cell>
          <cell r="L426" t="str">
            <v>M</v>
          </cell>
          <cell r="M426" t="str">
            <v xml:space="preserve">Carry Over </v>
          </cell>
          <cell r="N426" t="str">
            <v xml:space="preserve">Essential accessories </v>
          </cell>
          <cell r="P426" t="str">
            <v>85015.240108900M</v>
          </cell>
          <cell r="Q426">
            <v>411</v>
          </cell>
          <cell r="R426">
            <v>0</v>
          </cell>
          <cell r="S426">
            <v>0</v>
          </cell>
          <cell r="T426">
            <v>21.5</v>
          </cell>
          <cell r="U426">
            <v>14.4</v>
          </cell>
          <cell r="V426">
            <v>14.333333333333334</v>
          </cell>
          <cell r="W426">
            <v>21.5</v>
          </cell>
          <cell r="X426">
            <v>14.4</v>
          </cell>
          <cell r="Y426">
            <v>1.4930555555555556</v>
          </cell>
          <cell r="Z426">
            <v>10.033333333333333</v>
          </cell>
          <cell r="AA426">
            <v>10.1</v>
          </cell>
          <cell r="AB426">
            <v>12.140333333333333</v>
          </cell>
          <cell r="AC426">
            <v>12.2</v>
          </cell>
        </row>
        <row r="427">
          <cell r="H427" t="str">
            <v>8715738848566</v>
          </cell>
          <cell r="I427" t="str">
            <v>ShiftLock Replacement Screws (set of 4)</v>
          </cell>
          <cell r="J427" t="str">
            <v>900</v>
          </cell>
          <cell r="K427" t="str">
            <v>Black</v>
          </cell>
          <cell r="L427" t="str">
            <v>O/S</v>
          </cell>
          <cell r="M427" t="str">
            <v xml:space="preserve">Carry Over </v>
          </cell>
          <cell r="N427" t="str">
            <v xml:space="preserve">Essential accessories </v>
          </cell>
          <cell r="P427" t="str">
            <v>85015.240109900O/S</v>
          </cell>
          <cell r="Q427">
            <v>412</v>
          </cell>
          <cell r="R427">
            <v>0</v>
          </cell>
          <cell r="S427">
            <v>0</v>
          </cell>
          <cell r="T427">
            <v>8</v>
          </cell>
          <cell r="U427">
            <v>5.3999999999999995</v>
          </cell>
          <cell r="V427">
            <v>5.333333333333333</v>
          </cell>
          <cell r="W427">
            <v>8</v>
          </cell>
          <cell r="X427">
            <v>5.3999999999999995</v>
          </cell>
          <cell r="Y427">
            <v>1.4814814814814816</v>
          </cell>
          <cell r="Z427">
            <v>3.7333333333333329</v>
          </cell>
          <cell r="AA427">
            <v>3.8000000000000003</v>
          </cell>
          <cell r="AB427">
            <v>4.5173333333333323</v>
          </cell>
          <cell r="AC427">
            <v>4.5999999999999996</v>
          </cell>
        </row>
        <row r="428">
          <cell r="H428" t="str">
            <v>8715738823433</v>
          </cell>
          <cell r="I428" t="str">
            <v>2024 N-Weave Repair Material</v>
          </cell>
          <cell r="J428" t="str">
            <v>100</v>
          </cell>
          <cell r="K428" t="str">
            <v>White</v>
          </cell>
          <cell r="L428" t="str">
            <v>2mx1.42m</v>
          </cell>
          <cell r="M428" t="str">
            <v xml:space="preserve">Carry Over </v>
          </cell>
          <cell r="N428" t="str">
            <v xml:space="preserve">Essential accessories </v>
          </cell>
          <cell r="P428" t="str">
            <v>85015.2401241002mx1.42m</v>
          </cell>
          <cell r="Q428">
            <v>413</v>
          </cell>
          <cell r="R428">
            <v>0</v>
          </cell>
          <cell r="S428">
            <v>0</v>
          </cell>
          <cell r="T428">
            <v>145</v>
          </cell>
          <cell r="U428">
            <v>96.699999999999989</v>
          </cell>
          <cell r="V428">
            <v>96.666666666666671</v>
          </cell>
          <cell r="W428">
            <v>145</v>
          </cell>
          <cell r="X428">
            <v>96.699999999999989</v>
          </cell>
          <cell r="Y428">
            <v>1.4994829369183043</v>
          </cell>
          <cell r="Z428">
            <v>67.666666666666671</v>
          </cell>
          <cell r="AA428">
            <v>67.699999999999989</v>
          </cell>
          <cell r="AB428">
            <v>81.876666666666665</v>
          </cell>
          <cell r="AC428">
            <v>81.899999999999991</v>
          </cell>
        </row>
        <row r="429">
          <cell r="H429" t="str">
            <v>8715738887749</v>
          </cell>
          <cell r="I429" t="str">
            <v>Aluula Repair Material</v>
          </cell>
          <cell r="J429" t="str">
            <v>199</v>
          </cell>
          <cell r="K429" t="str">
            <v>Gold</v>
          </cell>
          <cell r="L429" t="str">
            <v>O/S</v>
          </cell>
          <cell r="M429" t="str">
            <v xml:space="preserve">Carry Over </v>
          </cell>
          <cell r="N429" t="str">
            <v xml:space="preserve">Essential accessories </v>
          </cell>
          <cell r="P429" t="str">
            <v>85015.250141199O/S</v>
          </cell>
          <cell r="Q429">
            <v>414</v>
          </cell>
          <cell r="R429">
            <v>0</v>
          </cell>
          <cell r="S429">
            <v>0</v>
          </cell>
          <cell r="T429">
            <v>143.5</v>
          </cell>
          <cell r="U429">
            <v>95.699999999999989</v>
          </cell>
          <cell r="V429">
            <v>95.666666666666671</v>
          </cell>
          <cell r="W429">
            <v>143.5</v>
          </cell>
          <cell r="X429">
            <v>95.699999999999989</v>
          </cell>
          <cell r="Y429">
            <v>1.4994775339602928</v>
          </cell>
          <cell r="Z429">
            <v>66.966666666666669</v>
          </cell>
          <cell r="AA429">
            <v>67</v>
          </cell>
          <cell r="AB429">
            <v>81.029666666666671</v>
          </cell>
          <cell r="AC429">
            <v>81.099999999999994</v>
          </cell>
        </row>
        <row r="430">
          <cell r="H430" t="str">
            <v>8715738862821</v>
          </cell>
          <cell r="I430" t="str">
            <v>Sonar Wing Screw Pack H (M8x23)</v>
          </cell>
          <cell r="J430" t="str">
            <v>196</v>
          </cell>
          <cell r="K430" t="str">
            <v>Titanium</v>
          </cell>
          <cell r="L430" t="str">
            <v>O/S</v>
          </cell>
          <cell r="M430" t="str">
            <v xml:space="preserve">Carry Over </v>
          </cell>
          <cell r="N430" t="str">
            <v>Apparel &amp; POS</v>
          </cell>
          <cell r="P430" t="str">
            <v>85009.240138196O/S</v>
          </cell>
          <cell r="Q430">
            <v>415</v>
          </cell>
          <cell r="R430" t="e">
            <v>#VALUE!</v>
          </cell>
          <cell r="S430" t="e">
            <v>#VALUE!</v>
          </cell>
          <cell r="T430" t="str">
            <v/>
          </cell>
          <cell r="U430" t="str">
            <v/>
          </cell>
          <cell r="V430">
            <v>9.6666666666666661</v>
          </cell>
          <cell r="W430">
            <v>14.5</v>
          </cell>
          <cell r="X430">
            <v>9.6999999999999993</v>
          </cell>
          <cell r="Y430">
            <v>1.4948453608247423</v>
          </cell>
          <cell r="Z430">
            <v>6.7666666666666657</v>
          </cell>
          <cell r="AA430">
            <v>6.8</v>
          </cell>
          <cell r="AB430">
            <v>8.1876666666666651</v>
          </cell>
          <cell r="AC430">
            <v>8.1999999999999993</v>
          </cell>
        </row>
        <row r="431">
          <cell r="H431" t="str">
            <v>8715738862814</v>
          </cell>
          <cell r="I431" t="str">
            <v>Sonar Wing Screw Pack G (M8x35)</v>
          </cell>
          <cell r="J431" t="str">
            <v>196</v>
          </cell>
          <cell r="K431" t="str">
            <v>Titanium</v>
          </cell>
          <cell r="L431" t="str">
            <v>O/S</v>
          </cell>
          <cell r="M431" t="str">
            <v xml:space="preserve">Carry Over </v>
          </cell>
          <cell r="N431" t="str">
            <v>Apparel &amp; POS</v>
          </cell>
          <cell r="P431" t="str">
            <v>85009.240166196O/S</v>
          </cell>
          <cell r="Q431">
            <v>416</v>
          </cell>
          <cell r="R431" t="e">
            <v>#VALUE!</v>
          </cell>
          <cell r="S431" t="e">
            <v>#VALUE!</v>
          </cell>
          <cell r="T431" t="str">
            <v/>
          </cell>
          <cell r="U431" t="str">
            <v/>
          </cell>
          <cell r="V431">
            <v>9.6666666666666661</v>
          </cell>
          <cell r="W431">
            <v>14.5</v>
          </cell>
          <cell r="X431">
            <v>9.6999999999999993</v>
          </cell>
          <cell r="Y431">
            <v>1.4948453608247423</v>
          </cell>
          <cell r="Z431">
            <v>6.7666666666666657</v>
          </cell>
          <cell r="AA431">
            <v>6.8</v>
          </cell>
          <cell r="AB431">
            <v>8.1876666666666651</v>
          </cell>
          <cell r="AC431">
            <v>8.1999999999999993</v>
          </cell>
        </row>
        <row r="432">
          <cell r="H432" t="str">
            <v>8715738862807</v>
          </cell>
          <cell r="I432" t="str">
            <v>Sonar Wing Screw Pack F (M8x30)</v>
          </cell>
          <cell r="J432" t="str">
            <v>196</v>
          </cell>
          <cell r="K432" t="str">
            <v>Titanium</v>
          </cell>
          <cell r="L432" t="str">
            <v>O/S</v>
          </cell>
          <cell r="M432" t="str">
            <v xml:space="preserve">Carry Over </v>
          </cell>
          <cell r="N432" t="str">
            <v>Apparel &amp; POS</v>
          </cell>
          <cell r="P432" t="str">
            <v>85009.240167196O/S</v>
          </cell>
          <cell r="Q432">
            <v>417</v>
          </cell>
          <cell r="R432" t="e">
            <v>#VALUE!</v>
          </cell>
          <cell r="S432" t="e">
            <v>#VALUE!</v>
          </cell>
          <cell r="T432" t="str">
            <v/>
          </cell>
          <cell r="U432" t="str">
            <v/>
          </cell>
          <cell r="V432">
            <v>9.6666666666666661</v>
          </cell>
          <cell r="W432">
            <v>14.5</v>
          </cell>
          <cell r="X432">
            <v>9.6999999999999993</v>
          </cell>
          <cell r="Y432">
            <v>1.4948453608247423</v>
          </cell>
          <cell r="Z432">
            <v>6.7666666666666657</v>
          </cell>
          <cell r="AA432">
            <v>6.8</v>
          </cell>
          <cell r="AB432">
            <v>8.1876666666666651</v>
          </cell>
          <cell r="AC432">
            <v>8.1999999999999993</v>
          </cell>
        </row>
        <row r="433">
          <cell r="H433" t="str">
            <v>8715738862791</v>
          </cell>
          <cell r="I433" t="str">
            <v>Sonar Wing Screw Pack E (M8x33)</v>
          </cell>
          <cell r="J433" t="str">
            <v>196</v>
          </cell>
          <cell r="K433" t="str">
            <v>Titanium</v>
          </cell>
          <cell r="L433" t="str">
            <v>O/S</v>
          </cell>
          <cell r="M433" t="str">
            <v xml:space="preserve">Carry Over </v>
          </cell>
          <cell r="N433" t="str">
            <v>Apparel &amp; POS</v>
          </cell>
          <cell r="P433" t="str">
            <v>85009.240168196O/S</v>
          </cell>
          <cell r="Q433">
            <v>418</v>
          </cell>
          <cell r="R433" t="e">
            <v>#VALUE!</v>
          </cell>
          <cell r="S433" t="e">
            <v>#VALUE!</v>
          </cell>
          <cell r="T433" t="str">
            <v/>
          </cell>
          <cell r="U433" t="str">
            <v/>
          </cell>
          <cell r="V433">
            <v>9.6666666666666661</v>
          </cell>
          <cell r="W433">
            <v>14.5</v>
          </cell>
          <cell r="X433">
            <v>9.6999999999999993</v>
          </cell>
          <cell r="Y433">
            <v>1.4948453608247423</v>
          </cell>
          <cell r="Z433">
            <v>6.7666666666666657</v>
          </cell>
          <cell r="AA433">
            <v>6.8</v>
          </cell>
          <cell r="AB433">
            <v>8.1876666666666651</v>
          </cell>
          <cell r="AC433">
            <v>8.1999999999999993</v>
          </cell>
        </row>
        <row r="434">
          <cell r="H434" t="str">
            <v>8715738862784</v>
          </cell>
          <cell r="I434" t="str">
            <v>Sonar Wing Screw Pack D (M8x25)</v>
          </cell>
          <cell r="J434" t="str">
            <v>196</v>
          </cell>
          <cell r="K434" t="str">
            <v>Titanium</v>
          </cell>
          <cell r="L434" t="str">
            <v>O/S</v>
          </cell>
          <cell r="M434" t="str">
            <v xml:space="preserve">Carry Over </v>
          </cell>
          <cell r="N434" t="str">
            <v>Apparel &amp; POS</v>
          </cell>
          <cell r="P434" t="str">
            <v>85009.240169196O/S</v>
          </cell>
          <cell r="Q434">
            <v>419</v>
          </cell>
          <cell r="R434" t="e">
            <v>#VALUE!</v>
          </cell>
          <cell r="S434" t="e">
            <v>#VALUE!</v>
          </cell>
          <cell r="T434" t="str">
            <v/>
          </cell>
          <cell r="U434" t="str">
            <v/>
          </cell>
          <cell r="V434">
            <v>9.6666666666666661</v>
          </cell>
          <cell r="W434">
            <v>14.5</v>
          </cell>
          <cell r="X434">
            <v>9.6999999999999993</v>
          </cell>
          <cell r="Y434">
            <v>1.4948453608247423</v>
          </cell>
          <cell r="Z434">
            <v>6.7666666666666657</v>
          </cell>
          <cell r="AA434">
            <v>6.8</v>
          </cell>
          <cell r="AB434">
            <v>8.1876666666666651</v>
          </cell>
          <cell r="AC434">
            <v>8.1999999999999993</v>
          </cell>
        </row>
        <row r="435">
          <cell r="H435" t="str">
            <v>8715738862777</v>
          </cell>
          <cell r="I435" t="str">
            <v>Sonar Stabilizer Screw Pack C</v>
          </cell>
          <cell r="J435" t="str">
            <v>196</v>
          </cell>
          <cell r="K435" t="str">
            <v>Titanium</v>
          </cell>
          <cell r="L435" t="str">
            <v>O/S</v>
          </cell>
          <cell r="M435" t="str">
            <v xml:space="preserve">Carry Over </v>
          </cell>
          <cell r="N435" t="str">
            <v>Apparel &amp; POS</v>
          </cell>
          <cell r="P435" t="str">
            <v>85009.240180196O/S</v>
          </cell>
          <cell r="Q435">
            <v>420</v>
          </cell>
          <cell r="R435" t="e">
            <v>#VALUE!</v>
          </cell>
          <cell r="S435" t="e">
            <v>#VALUE!</v>
          </cell>
          <cell r="T435" t="str">
            <v/>
          </cell>
          <cell r="U435" t="str">
            <v/>
          </cell>
          <cell r="V435">
            <v>7</v>
          </cell>
          <cell r="W435">
            <v>10.5</v>
          </cell>
          <cell r="X435">
            <v>7</v>
          </cell>
          <cell r="Y435">
            <v>1.5</v>
          </cell>
          <cell r="Z435">
            <v>4.8999999999999995</v>
          </cell>
          <cell r="AA435">
            <v>4.9000000000000004</v>
          </cell>
          <cell r="AB435">
            <v>5.9289999999999994</v>
          </cell>
          <cell r="AC435">
            <v>6</v>
          </cell>
        </row>
        <row r="436">
          <cell r="H436" t="str">
            <v>8715738862760</v>
          </cell>
          <cell r="I436" t="str">
            <v>Sonar Carbon Fuselage Screw Pack B2</v>
          </cell>
          <cell r="J436" t="str">
            <v>196</v>
          </cell>
          <cell r="K436" t="str">
            <v>Titanium</v>
          </cell>
          <cell r="L436" t="str">
            <v>O/S</v>
          </cell>
          <cell r="M436" t="str">
            <v xml:space="preserve">Carry Over </v>
          </cell>
          <cell r="N436" t="str">
            <v>Apparel &amp; POS</v>
          </cell>
          <cell r="P436" t="str">
            <v>85009.240181196O/S</v>
          </cell>
          <cell r="Q436">
            <v>421</v>
          </cell>
          <cell r="R436" t="e">
            <v>#VALUE!</v>
          </cell>
          <cell r="S436" t="e">
            <v>#VALUE!</v>
          </cell>
          <cell r="T436" t="str">
            <v/>
          </cell>
          <cell r="U436" t="str">
            <v/>
          </cell>
          <cell r="V436">
            <v>9.3333333333333339</v>
          </cell>
          <cell r="W436">
            <v>14</v>
          </cell>
          <cell r="X436">
            <v>9.4</v>
          </cell>
          <cell r="Y436">
            <v>1.4893617021276595</v>
          </cell>
          <cell r="Z436">
            <v>6.5333333333333332</v>
          </cell>
          <cell r="AA436">
            <v>6.6</v>
          </cell>
          <cell r="AB436">
            <v>7.9053333333333331</v>
          </cell>
          <cell r="AC436">
            <v>8</v>
          </cell>
        </row>
        <row r="437">
          <cell r="H437" t="str">
            <v>8715738862753</v>
          </cell>
          <cell r="I437" t="str">
            <v>Sonar Fuselage Screw Pack B</v>
          </cell>
          <cell r="J437" t="str">
            <v>196</v>
          </cell>
          <cell r="K437" t="str">
            <v>Titanium</v>
          </cell>
          <cell r="L437" t="str">
            <v>O/S</v>
          </cell>
          <cell r="M437" t="str">
            <v xml:space="preserve">Carry Over </v>
          </cell>
          <cell r="N437" t="str">
            <v>Apparel &amp; POS</v>
          </cell>
          <cell r="P437" t="str">
            <v>85009.240182196O/S</v>
          </cell>
          <cell r="Q437">
            <v>422</v>
          </cell>
          <cell r="R437" t="e">
            <v>#VALUE!</v>
          </cell>
          <cell r="S437" t="e">
            <v>#VALUE!</v>
          </cell>
          <cell r="T437" t="str">
            <v/>
          </cell>
          <cell r="U437" t="str">
            <v/>
          </cell>
          <cell r="V437">
            <v>9.6666666666666661</v>
          </cell>
          <cell r="W437">
            <v>14.5</v>
          </cell>
          <cell r="X437">
            <v>9.6999999999999993</v>
          </cell>
          <cell r="Y437">
            <v>1.4948453608247423</v>
          </cell>
          <cell r="Z437">
            <v>6.7666666666666657</v>
          </cell>
          <cell r="AA437">
            <v>6.8</v>
          </cell>
          <cell r="AB437">
            <v>8.1876666666666651</v>
          </cell>
          <cell r="AC437">
            <v>8.1999999999999993</v>
          </cell>
        </row>
        <row r="438">
          <cell r="H438" t="str">
            <v>8715738862746</v>
          </cell>
          <cell r="I438" t="str">
            <v>Sonar Board Adaptor Screw Pack A</v>
          </cell>
          <cell r="J438" t="str">
            <v>196</v>
          </cell>
          <cell r="K438" t="str">
            <v>Titanium</v>
          </cell>
          <cell r="L438" t="str">
            <v>O/S</v>
          </cell>
          <cell r="M438" t="str">
            <v xml:space="preserve">Carry Over </v>
          </cell>
          <cell r="N438" t="str">
            <v>Apparel &amp; POS</v>
          </cell>
          <cell r="P438" t="str">
            <v>85009.240183196O/S</v>
          </cell>
          <cell r="Q438">
            <v>423</v>
          </cell>
          <cell r="R438" t="e">
            <v>#VALUE!</v>
          </cell>
          <cell r="S438" t="e">
            <v>#VALUE!</v>
          </cell>
          <cell r="T438" t="str">
            <v/>
          </cell>
          <cell r="U438" t="str">
            <v/>
          </cell>
          <cell r="V438">
            <v>8.3333333333333339</v>
          </cell>
          <cell r="W438">
            <v>12.5</v>
          </cell>
          <cell r="X438">
            <v>8.4</v>
          </cell>
          <cell r="Y438">
            <v>1.4880952380952381</v>
          </cell>
          <cell r="Z438">
            <v>5.833333333333333</v>
          </cell>
          <cell r="AA438">
            <v>5.8999999999999995</v>
          </cell>
          <cell r="AB438">
            <v>7.0583333333333327</v>
          </cell>
          <cell r="AC438">
            <v>7.1</v>
          </cell>
        </row>
        <row r="439">
          <cell r="H439" t="str">
            <v>8715738884861</v>
          </cell>
          <cell r="I439" t="str">
            <v>Sonar Fuselage Screw Pack B3</v>
          </cell>
          <cell r="J439" t="str">
            <v>196</v>
          </cell>
          <cell r="K439" t="str">
            <v>Titanium</v>
          </cell>
          <cell r="L439" t="str">
            <v>O/S</v>
          </cell>
          <cell r="M439" t="str">
            <v xml:space="preserve">Carry Over </v>
          </cell>
          <cell r="N439" t="str">
            <v>Apparel &amp; POS</v>
          </cell>
          <cell r="P439" t="str">
            <v>85009.250184196O/S</v>
          </cell>
          <cell r="Q439">
            <v>424</v>
          </cell>
          <cell r="R439" t="e">
            <v>#VALUE!</v>
          </cell>
          <cell r="S439" t="e">
            <v>#VALUE!</v>
          </cell>
          <cell r="T439" t="str">
            <v/>
          </cell>
          <cell r="U439" t="str">
            <v/>
          </cell>
          <cell r="V439">
            <v>8.3333333333333339</v>
          </cell>
          <cell r="W439">
            <v>12.5</v>
          </cell>
          <cell r="X439">
            <v>8.4</v>
          </cell>
          <cell r="Y439">
            <v>1.4880952380952381</v>
          </cell>
          <cell r="Z439">
            <v>5.833333333333333</v>
          </cell>
          <cell r="AA439">
            <v>5.8999999999999995</v>
          </cell>
          <cell r="AB439">
            <v>7.0583333333333327</v>
          </cell>
          <cell r="AC439">
            <v>7.1</v>
          </cell>
        </row>
        <row r="440">
          <cell r="H440" t="str">
            <v>8715738784635</v>
          </cell>
          <cell r="I440" t="str">
            <v>Dropbox Screw Pack - 23mm</v>
          </cell>
          <cell r="J440" t="str">
            <v>900</v>
          </cell>
          <cell r="K440" t="str">
            <v>Black</v>
          </cell>
          <cell r="L440" t="str">
            <v>O/S</v>
          </cell>
          <cell r="M440" t="str">
            <v xml:space="preserve">Carry Over </v>
          </cell>
          <cell r="N440" t="str">
            <v xml:space="preserve">Essential accessories </v>
          </cell>
          <cell r="P440" t="str">
            <v>85009.230135900O/S</v>
          </cell>
          <cell r="Q440">
            <v>425</v>
          </cell>
          <cell r="R440">
            <v>0</v>
          </cell>
          <cell r="S440">
            <v>0</v>
          </cell>
          <cell r="T440">
            <v>30</v>
          </cell>
          <cell r="U440">
            <v>20</v>
          </cell>
          <cell r="V440">
            <v>20</v>
          </cell>
          <cell r="W440">
            <v>30</v>
          </cell>
          <cell r="X440">
            <v>20</v>
          </cell>
          <cell r="Y440">
            <v>1.5</v>
          </cell>
          <cell r="Z440">
            <v>14</v>
          </cell>
          <cell r="AA440">
            <v>14</v>
          </cell>
          <cell r="AB440">
            <v>16.939999999999998</v>
          </cell>
          <cell r="AC440">
            <v>17</v>
          </cell>
        </row>
        <row r="441">
          <cell r="H441" t="str">
            <v>8715738849945</v>
          </cell>
          <cell r="I441" t="str">
            <v>Sonar Wing Screw Pack I (M8x40)</v>
          </cell>
          <cell r="J441" t="str">
            <v>900</v>
          </cell>
          <cell r="K441" t="str">
            <v>Black</v>
          </cell>
          <cell r="L441" t="str">
            <v>O/S</v>
          </cell>
          <cell r="M441" t="str">
            <v xml:space="preserve">Carry Over </v>
          </cell>
          <cell r="N441" t="str">
            <v xml:space="preserve">Essential accessories </v>
          </cell>
          <cell r="P441" t="str">
            <v>85009.240165900O/S</v>
          </cell>
          <cell r="Q441">
            <v>426</v>
          </cell>
          <cell r="R441">
            <v>0</v>
          </cell>
          <cell r="S441">
            <v>0</v>
          </cell>
          <cell r="T441">
            <v>15.5</v>
          </cell>
          <cell r="U441">
            <v>10.4</v>
          </cell>
          <cell r="V441">
            <v>10.333333333333334</v>
          </cell>
          <cell r="W441">
            <v>15.5</v>
          </cell>
          <cell r="X441">
            <v>10.4</v>
          </cell>
          <cell r="Y441">
            <v>1.4903846153846154</v>
          </cell>
          <cell r="Z441">
            <v>7.2333333333333334</v>
          </cell>
          <cell r="AA441">
            <v>7.3</v>
          </cell>
          <cell r="AB441">
            <v>8.7523333333333326</v>
          </cell>
          <cell r="AC441">
            <v>8.7999999999999989</v>
          </cell>
        </row>
        <row r="442">
          <cell r="H442" t="str">
            <v>8715738887992</v>
          </cell>
          <cell r="I442" t="str">
            <v>Bladder Leading Edge Pulse - 5 Line</v>
          </cell>
          <cell r="J442" t="str">
            <v>999</v>
          </cell>
          <cell r="K442" t="str">
            <v>Multiple Color</v>
          </cell>
          <cell r="L442" t="str">
            <v>7m</v>
          </cell>
          <cell r="M442" t="str">
            <v xml:space="preserve">Carry Over </v>
          </cell>
          <cell r="N442" t="str">
            <v xml:space="preserve">Bridles &amp; Bladders </v>
          </cell>
          <cell r="P442" t="str">
            <v>85006.2502619997m</v>
          </cell>
          <cell r="Q442">
            <v>427</v>
          </cell>
          <cell r="R442">
            <v>0</v>
          </cell>
          <cell r="S442">
            <v>0</v>
          </cell>
          <cell r="T442">
            <v>145</v>
          </cell>
          <cell r="U442">
            <v>96.699999999999989</v>
          </cell>
          <cell r="V442">
            <v>96.666666666666671</v>
          </cell>
          <cell r="W442">
            <v>145</v>
          </cell>
          <cell r="X442">
            <v>96.699999999999989</v>
          </cell>
          <cell r="Y442">
            <v>1.4994829369183043</v>
          </cell>
          <cell r="Z442">
            <v>67.666666666666671</v>
          </cell>
          <cell r="AA442">
            <v>67.699999999999989</v>
          </cell>
          <cell r="AB442">
            <v>81.876666666666665</v>
          </cell>
          <cell r="AC442">
            <v>81.899999999999991</v>
          </cell>
        </row>
        <row r="443">
          <cell r="H443" t="str">
            <v>8715738888005</v>
          </cell>
          <cell r="I443" t="str">
            <v>Bladder Leading Edge Pulse - 5 Line</v>
          </cell>
          <cell r="J443" t="str">
            <v>999</v>
          </cell>
          <cell r="K443" t="str">
            <v>Multiple Color</v>
          </cell>
          <cell r="L443" t="str">
            <v>9m</v>
          </cell>
          <cell r="M443" t="str">
            <v xml:space="preserve">Carry Over </v>
          </cell>
          <cell r="N443" t="str">
            <v xml:space="preserve">Bridles &amp; Bladders </v>
          </cell>
          <cell r="P443" t="str">
            <v>85006.2502619999m</v>
          </cell>
          <cell r="Q443">
            <v>428</v>
          </cell>
          <cell r="R443">
            <v>0</v>
          </cell>
          <cell r="S443">
            <v>0</v>
          </cell>
          <cell r="T443">
            <v>155</v>
          </cell>
          <cell r="U443">
            <v>103.39999999999999</v>
          </cell>
          <cell r="V443">
            <v>103.33333333333333</v>
          </cell>
          <cell r="W443">
            <v>155</v>
          </cell>
          <cell r="X443">
            <v>103.39999999999999</v>
          </cell>
          <cell r="Y443">
            <v>1.4990328820116054</v>
          </cell>
          <cell r="Z443">
            <v>72.333333333333329</v>
          </cell>
          <cell r="AA443">
            <v>72.399999999999991</v>
          </cell>
          <cell r="AB443">
            <v>87.523333333333326</v>
          </cell>
          <cell r="AC443">
            <v>87.6</v>
          </cell>
        </row>
        <row r="444">
          <cell r="H444" t="str">
            <v>8715738888012</v>
          </cell>
          <cell r="I444" t="str">
            <v>Bladder Leading Edge Pulse - 5 Line</v>
          </cell>
          <cell r="J444" t="str">
            <v>999</v>
          </cell>
          <cell r="K444" t="str">
            <v>Multiple Color</v>
          </cell>
          <cell r="L444" t="str">
            <v>11m</v>
          </cell>
          <cell r="M444" t="str">
            <v xml:space="preserve">Carry Over </v>
          </cell>
          <cell r="N444" t="str">
            <v xml:space="preserve">Bridles &amp; Bladders </v>
          </cell>
          <cell r="P444" t="str">
            <v>85006.25026199911m</v>
          </cell>
          <cell r="Q444">
            <v>429</v>
          </cell>
          <cell r="R444">
            <v>0</v>
          </cell>
          <cell r="S444">
            <v>0</v>
          </cell>
          <cell r="T444">
            <v>165</v>
          </cell>
          <cell r="U444">
            <v>110</v>
          </cell>
          <cell r="V444">
            <v>110</v>
          </cell>
          <cell r="W444">
            <v>165</v>
          </cell>
          <cell r="X444">
            <v>110</v>
          </cell>
          <cell r="Y444">
            <v>1.5</v>
          </cell>
          <cell r="Z444">
            <v>77</v>
          </cell>
          <cell r="AA444">
            <v>77</v>
          </cell>
          <cell r="AB444">
            <v>93.17</v>
          </cell>
          <cell r="AC444">
            <v>93.199999999999989</v>
          </cell>
        </row>
        <row r="445">
          <cell r="H445" t="str">
            <v>8715738888029</v>
          </cell>
          <cell r="I445" t="str">
            <v>Bladder Leading Edge Pulse - 5 Line</v>
          </cell>
          <cell r="J445" t="str">
            <v>999</v>
          </cell>
          <cell r="K445" t="str">
            <v>Multiple Color</v>
          </cell>
          <cell r="L445" t="str">
            <v>13m</v>
          </cell>
          <cell r="M445" t="str">
            <v xml:space="preserve">Carry Over </v>
          </cell>
          <cell r="N445" t="str">
            <v xml:space="preserve">Bridles &amp; Bladders </v>
          </cell>
          <cell r="P445" t="str">
            <v>85006.25026199913m</v>
          </cell>
          <cell r="Q445">
            <v>430</v>
          </cell>
          <cell r="R445">
            <v>0</v>
          </cell>
          <cell r="S445">
            <v>0</v>
          </cell>
          <cell r="T445">
            <v>175</v>
          </cell>
          <cell r="U445">
            <v>116.69999999999999</v>
          </cell>
          <cell r="V445">
            <v>116.66666666666667</v>
          </cell>
          <cell r="W445">
            <v>175</v>
          </cell>
          <cell r="X445">
            <v>116.69999999999999</v>
          </cell>
          <cell r="Y445">
            <v>1.4995715509854328</v>
          </cell>
          <cell r="Z445">
            <v>81.666666666666671</v>
          </cell>
          <cell r="AA445">
            <v>81.699999999999989</v>
          </cell>
          <cell r="AB445">
            <v>98.816666666666663</v>
          </cell>
          <cell r="AC445">
            <v>98.899999999999991</v>
          </cell>
        </row>
        <row r="446">
          <cell r="H446" t="str">
            <v>8715738887954</v>
          </cell>
          <cell r="I446" t="str">
            <v>Bladder Leading Edge Orbit Ultra</v>
          </cell>
          <cell r="J446" t="str">
            <v>999</v>
          </cell>
          <cell r="K446" t="str">
            <v>Multiple Color</v>
          </cell>
          <cell r="L446" t="str">
            <v>5.9</v>
          </cell>
          <cell r="M446" t="str">
            <v xml:space="preserve">Carry Over </v>
          </cell>
          <cell r="N446" t="str">
            <v xml:space="preserve">Bridles &amp; Bladders </v>
          </cell>
          <cell r="P446" t="str">
            <v>85006.2502629995.9</v>
          </cell>
          <cell r="Q446">
            <v>431</v>
          </cell>
          <cell r="R446">
            <v>0</v>
          </cell>
          <cell r="S446">
            <v>0</v>
          </cell>
          <cell r="T446">
            <v>154.5</v>
          </cell>
          <cell r="U446">
            <v>103</v>
          </cell>
          <cell r="V446">
            <v>103</v>
          </cell>
          <cell r="W446">
            <v>154.5</v>
          </cell>
          <cell r="X446">
            <v>103</v>
          </cell>
          <cell r="Y446">
            <v>1.5</v>
          </cell>
          <cell r="Z446">
            <v>72.099999999999994</v>
          </cell>
          <cell r="AA446">
            <v>72.099999999999994</v>
          </cell>
          <cell r="AB446">
            <v>87.240999999999985</v>
          </cell>
          <cell r="AC446">
            <v>87.3</v>
          </cell>
        </row>
        <row r="447">
          <cell r="H447" t="str">
            <v>8715738887961</v>
          </cell>
          <cell r="I447" t="str">
            <v>Bladder Leading Edge Orbit Ultra</v>
          </cell>
          <cell r="J447" t="str">
            <v>999</v>
          </cell>
          <cell r="K447" t="str">
            <v>Multiple Color</v>
          </cell>
          <cell r="L447" t="str">
            <v>6.6</v>
          </cell>
          <cell r="M447" t="str">
            <v xml:space="preserve">Carry Over </v>
          </cell>
          <cell r="N447" t="str">
            <v xml:space="preserve">Bridles &amp; Bladders </v>
          </cell>
          <cell r="P447" t="str">
            <v>85006.2502629996.6</v>
          </cell>
          <cell r="Q447">
            <v>432</v>
          </cell>
          <cell r="R447">
            <v>0</v>
          </cell>
          <cell r="S447">
            <v>0</v>
          </cell>
          <cell r="T447">
            <v>158.5</v>
          </cell>
          <cell r="U447">
            <v>105.69999999999999</v>
          </cell>
          <cell r="V447">
            <v>105.66666666666667</v>
          </cell>
          <cell r="W447">
            <v>158.5</v>
          </cell>
          <cell r="X447">
            <v>105.69999999999999</v>
          </cell>
          <cell r="Y447">
            <v>1.4995269631031223</v>
          </cell>
          <cell r="Z447">
            <v>73.966666666666669</v>
          </cell>
          <cell r="AA447">
            <v>74</v>
          </cell>
          <cell r="AB447">
            <v>89.49966666666667</v>
          </cell>
          <cell r="AC447">
            <v>89.5</v>
          </cell>
        </row>
        <row r="448">
          <cell r="H448" t="str">
            <v>8715738887978</v>
          </cell>
          <cell r="I448" t="str">
            <v>Bladder Leading Edge Orbit Ultra</v>
          </cell>
          <cell r="J448" t="str">
            <v>999</v>
          </cell>
          <cell r="K448" t="str">
            <v>Multiple Color</v>
          </cell>
          <cell r="L448" t="str">
            <v>7.3</v>
          </cell>
          <cell r="M448" t="str">
            <v xml:space="preserve">Carry Over </v>
          </cell>
          <cell r="N448" t="str">
            <v xml:space="preserve">Bridles &amp; Bladders </v>
          </cell>
          <cell r="P448" t="str">
            <v>85006.2502629997.3</v>
          </cell>
          <cell r="Q448">
            <v>433</v>
          </cell>
          <cell r="R448">
            <v>0.5</v>
          </cell>
          <cell r="S448">
            <v>0.5</v>
          </cell>
          <cell r="T448">
            <v>165</v>
          </cell>
          <cell r="U448">
            <v>110</v>
          </cell>
          <cell r="V448">
            <v>110.33333333333333</v>
          </cell>
          <cell r="W448">
            <v>165.5</v>
          </cell>
          <cell r="X448">
            <v>110.39999999999999</v>
          </cell>
          <cell r="Y448">
            <v>1.4990942028985508</v>
          </cell>
          <cell r="Z448">
            <v>77.23333333333332</v>
          </cell>
          <cell r="AA448">
            <v>77.3</v>
          </cell>
          <cell r="AB448">
            <v>93.452333333333314</v>
          </cell>
          <cell r="AC448">
            <v>93.5</v>
          </cell>
        </row>
        <row r="449">
          <cell r="H449" t="str">
            <v>8715738887985</v>
          </cell>
          <cell r="I449" t="str">
            <v>Bladder Leading Edge Orbit Ultra</v>
          </cell>
          <cell r="J449" t="str">
            <v>999</v>
          </cell>
          <cell r="K449" t="str">
            <v>Multiple Color</v>
          </cell>
          <cell r="L449" t="str">
            <v>12m</v>
          </cell>
          <cell r="M449" t="str">
            <v xml:space="preserve">Carry Over </v>
          </cell>
          <cell r="N449" t="str">
            <v xml:space="preserve">Bridles &amp; Bladders </v>
          </cell>
          <cell r="P449" t="str">
            <v>85006.25026299912m</v>
          </cell>
          <cell r="Q449">
            <v>434</v>
          </cell>
          <cell r="R449">
            <v>2.5</v>
          </cell>
          <cell r="S449">
            <v>2.5</v>
          </cell>
          <cell r="T449">
            <v>170</v>
          </cell>
          <cell r="U449">
            <v>113.39999999999999</v>
          </cell>
          <cell r="V449">
            <v>115</v>
          </cell>
          <cell r="W449">
            <v>172.5</v>
          </cell>
          <cell r="X449">
            <v>115</v>
          </cell>
          <cell r="Y449">
            <v>1.5</v>
          </cell>
          <cell r="Z449">
            <v>80.5</v>
          </cell>
          <cell r="AA449">
            <v>80.5</v>
          </cell>
          <cell r="AB449">
            <v>97.405000000000001</v>
          </cell>
          <cell r="AC449">
            <v>97.5</v>
          </cell>
        </row>
        <row r="450">
          <cell r="H450" t="str">
            <v>8715738887329</v>
          </cell>
          <cell r="I450" t="str">
            <v>2025 Orbit Ultra Canopy Repair Material</v>
          </cell>
          <cell r="J450" t="str">
            <v>810</v>
          </cell>
          <cell r="K450" t="str">
            <v>Storm Grey</v>
          </cell>
          <cell r="L450" t="str">
            <v>3m x1.5m</v>
          </cell>
          <cell r="M450" t="str">
            <v xml:space="preserve">Carry Over </v>
          </cell>
          <cell r="N450" t="str">
            <v xml:space="preserve">Bridles &amp; Bladders </v>
          </cell>
          <cell r="P450" t="str">
            <v>85006.2502808103m x1.5m</v>
          </cell>
          <cell r="Q450">
            <v>435</v>
          </cell>
          <cell r="R450">
            <v>0</v>
          </cell>
          <cell r="S450">
            <v>0</v>
          </cell>
          <cell r="T450">
            <v>174.5</v>
          </cell>
          <cell r="U450">
            <v>116.39999999999999</v>
          </cell>
          <cell r="V450">
            <v>116.33333333333333</v>
          </cell>
          <cell r="W450">
            <v>174.5</v>
          </cell>
          <cell r="X450">
            <v>116.39999999999999</v>
          </cell>
          <cell r="Y450">
            <v>1.4991408934707904</v>
          </cell>
          <cell r="Z450">
            <v>81.433333333333323</v>
          </cell>
          <cell r="AA450">
            <v>81.5</v>
          </cell>
          <cell r="AB450">
            <v>98.534333333333322</v>
          </cell>
          <cell r="AC450">
            <v>98.6</v>
          </cell>
        </row>
        <row r="451">
          <cell r="H451" t="str">
            <v>8715738897182</v>
          </cell>
          <cell r="I451" t="str">
            <v>2026 Bridle set Orbit</v>
          </cell>
          <cell r="J451" t="str">
            <v>999</v>
          </cell>
          <cell r="K451" t="str">
            <v>Multiple Color</v>
          </cell>
          <cell r="L451" t="str">
            <v>6m</v>
          </cell>
          <cell r="M451" t="str">
            <v xml:space="preserve">Carry Over </v>
          </cell>
          <cell r="N451" t="str">
            <v xml:space="preserve">Bridles &amp; Bladders </v>
          </cell>
          <cell r="P451" t="str">
            <v>85006.2600589996m</v>
          </cell>
          <cell r="Q451">
            <v>436</v>
          </cell>
          <cell r="R451">
            <v>0</v>
          </cell>
          <cell r="S451">
            <v>0</v>
          </cell>
          <cell r="T451">
            <v>73</v>
          </cell>
          <cell r="U451">
            <v>48.7</v>
          </cell>
          <cell r="V451">
            <v>48.666666666666664</v>
          </cell>
          <cell r="W451">
            <v>73</v>
          </cell>
          <cell r="X451">
            <v>48.7</v>
          </cell>
          <cell r="Y451">
            <v>1.4989733059548254</v>
          </cell>
          <cell r="Z451">
            <v>34.066666666666663</v>
          </cell>
          <cell r="AA451">
            <v>34.1</v>
          </cell>
          <cell r="AB451">
            <v>41.220666666666659</v>
          </cell>
          <cell r="AC451">
            <v>41.300000000000004</v>
          </cell>
        </row>
        <row r="452">
          <cell r="H452" t="str">
            <v>8715738897199</v>
          </cell>
          <cell r="I452" t="str">
            <v>2026 Bridle set Orbit</v>
          </cell>
          <cell r="J452" t="str">
            <v>999</v>
          </cell>
          <cell r="K452" t="str">
            <v>Multiple Color</v>
          </cell>
          <cell r="L452" t="str">
            <v>7m</v>
          </cell>
          <cell r="M452" t="str">
            <v xml:space="preserve">Carry Over </v>
          </cell>
          <cell r="N452" t="str">
            <v xml:space="preserve">Bridles &amp; Bladders </v>
          </cell>
          <cell r="P452" t="str">
            <v>85006.2600589997m</v>
          </cell>
          <cell r="Q452">
            <v>437</v>
          </cell>
          <cell r="R452">
            <v>0</v>
          </cell>
          <cell r="S452">
            <v>0</v>
          </cell>
          <cell r="T452">
            <v>75</v>
          </cell>
          <cell r="U452">
            <v>50</v>
          </cell>
          <cell r="V452">
            <v>50</v>
          </cell>
          <cell r="W452">
            <v>75</v>
          </cell>
          <cell r="X452">
            <v>50</v>
          </cell>
          <cell r="Y452">
            <v>1.5</v>
          </cell>
          <cell r="Z452">
            <v>35</v>
          </cell>
          <cell r="AA452">
            <v>35</v>
          </cell>
          <cell r="AB452">
            <v>42.35</v>
          </cell>
          <cell r="AC452">
            <v>42.4</v>
          </cell>
        </row>
        <row r="453">
          <cell r="H453" t="str">
            <v>8715738897205</v>
          </cell>
          <cell r="I453" t="str">
            <v>2026 Bridle set Orbit</v>
          </cell>
          <cell r="J453" t="str">
            <v>999</v>
          </cell>
          <cell r="K453" t="str">
            <v>Multiple Color</v>
          </cell>
          <cell r="L453" t="str">
            <v>8m</v>
          </cell>
          <cell r="M453" t="str">
            <v xml:space="preserve">Carry Over </v>
          </cell>
          <cell r="N453" t="str">
            <v xml:space="preserve">Bridles &amp; Bladders </v>
          </cell>
          <cell r="P453" t="str">
            <v>85006.2600589998m</v>
          </cell>
          <cell r="Q453">
            <v>438</v>
          </cell>
          <cell r="R453">
            <v>0</v>
          </cell>
          <cell r="S453">
            <v>0</v>
          </cell>
          <cell r="T453">
            <v>78</v>
          </cell>
          <cell r="U453">
            <v>52</v>
          </cell>
          <cell r="V453">
            <v>52</v>
          </cell>
          <cell r="W453">
            <v>78</v>
          </cell>
          <cell r="X453">
            <v>52</v>
          </cell>
          <cell r="Y453">
            <v>1.5</v>
          </cell>
          <cell r="Z453">
            <v>36.4</v>
          </cell>
          <cell r="AA453">
            <v>36.4</v>
          </cell>
          <cell r="AB453">
            <v>44.043999999999997</v>
          </cell>
          <cell r="AC453">
            <v>44.1</v>
          </cell>
        </row>
        <row r="454">
          <cell r="H454" t="str">
            <v>8715738897212</v>
          </cell>
          <cell r="I454" t="str">
            <v>2026 Bridle set Orbit</v>
          </cell>
          <cell r="J454" t="str">
            <v>999</v>
          </cell>
          <cell r="K454" t="str">
            <v>Multiple Color</v>
          </cell>
          <cell r="L454" t="str">
            <v>9m</v>
          </cell>
          <cell r="M454" t="str">
            <v xml:space="preserve">Carry Over </v>
          </cell>
          <cell r="N454" t="str">
            <v xml:space="preserve">Bridles &amp; Bladders </v>
          </cell>
          <cell r="P454" t="str">
            <v>85006.2600589999m</v>
          </cell>
          <cell r="Q454">
            <v>439</v>
          </cell>
          <cell r="R454">
            <v>0</v>
          </cell>
          <cell r="S454">
            <v>0</v>
          </cell>
          <cell r="T454">
            <v>81</v>
          </cell>
          <cell r="U454">
            <v>54</v>
          </cell>
          <cell r="V454">
            <v>54</v>
          </cell>
          <cell r="W454">
            <v>81</v>
          </cell>
          <cell r="X454">
            <v>54</v>
          </cell>
          <cell r="Y454">
            <v>1.5</v>
          </cell>
          <cell r="Z454">
            <v>37.799999999999997</v>
          </cell>
          <cell r="AA454">
            <v>37.799999999999997</v>
          </cell>
          <cell r="AB454">
            <v>45.737999999999992</v>
          </cell>
          <cell r="AC454">
            <v>45.800000000000004</v>
          </cell>
        </row>
        <row r="455">
          <cell r="H455" t="str">
            <v>8715738897229</v>
          </cell>
          <cell r="I455" t="str">
            <v>2026 Bridle set Orbit</v>
          </cell>
          <cell r="J455" t="str">
            <v>999</v>
          </cell>
          <cell r="K455" t="str">
            <v>Multiple Color</v>
          </cell>
          <cell r="L455" t="str">
            <v>10m</v>
          </cell>
          <cell r="M455" t="str">
            <v xml:space="preserve">Carry Over </v>
          </cell>
          <cell r="N455" t="str">
            <v xml:space="preserve">Bridles &amp; Bladders </v>
          </cell>
          <cell r="P455" t="str">
            <v>85006.26005899910m</v>
          </cell>
          <cell r="Q455">
            <v>440</v>
          </cell>
          <cell r="R455">
            <v>0</v>
          </cell>
          <cell r="S455">
            <v>0</v>
          </cell>
          <cell r="T455">
            <v>84</v>
          </cell>
          <cell r="U455">
            <v>56</v>
          </cell>
          <cell r="V455">
            <v>56</v>
          </cell>
          <cell r="W455">
            <v>84</v>
          </cell>
          <cell r="X455">
            <v>56</v>
          </cell>
          <cell r="Y455">
            <v>1.5</v>
          </cell>
          <cell r="Z455">
            <v>39.199999999999996</v>
          </cell>
          <cell r="AA455">
            <v>39.200000000000003</v>
          </cell>
          <cell r="AB455">
            <v>47.431999999999995</v>
          </cell>
          <cell r="AC455">
            <v>47.5</v>
          </cell>
        </row>
        <row r="456">
          <cell r="H456" t="str">
            <v>8715738897236</v>
          </cell>
          <cell r="I456" t="str">
            <v>2026 Bridle set Orbit</v>
          </cell>
          <cell r="J456" t="str">
            <v>999</v>
          </cell>
          <cell r="K456" t="str">
            <v>Multiple Color</v>
          </cell>
          <cell r="L456" t="str">
            <v>11m</v>
          </cell>
          <cell r="M456" t="str">
            <v xml:space="preserve">Carry Over </v>
          </cell>
          <cell r="N456" t="str">
            <v xml:space="preserve">Bridles &amp; Bladders </v>
          </cell>
          <cell r="P456" t="str">
            <v>85006.26005899911m</v>
          </cell>
          <cell r="Q456">
            <v>441</v>
          </cell>
          <cell r="R456">
            <v>0</v>
          </cell>
          <cell r="S456">
            <v>0</v>
          </cell>
          <cell r="T456">
            <v>87</v>
          </cell>
          <cell r="U456">
            <v>58</v>
          </cell>
          <cell r="V456">
            <v>58</v>
          </cell>
          <cell r="W456">
            <v>87</v>
          </cell>
          <cell r="X456">
            <v>58</v>
          </cell>
          <cell r="Y456">
            <v>1.5</v>
          </cell>
          <cell r="Z456">
            <v>40.599999999999994</v>
          </cell>
          <cell r="AA456">
            <v>40.6</v>
          </cell>
          <cell r="AB456">
            <v>49.125999999999991</v>
          </cell>
          <cell r="AC456">
            <v>49.2</v>
          </cell>
        </row>
        <row r="457">
          <cell r="H457" t="str">
            <v>8715738897243</v>
          </cell>
          <cell r="I457" t="str">
            <v>2026 Bridle set Orbit</v>
          </cell>
          <cell r="J457" t="str">
            <v>999</v>
          </cell>
          <cell r="K457" t="str">
            <v>Multiple Color</v>
          </cell>
          <cell r="L457" t="str">
            <v>12m</v>
          </cell>
          <cell r="M457" t="str">
            <v xml:space="preserve">Carry Over </v>
          </cell>
          <cell r="N457" t="str">
            <v xml:space="preserve">Bridles &amp; Bladders </v>
          </cell>
          <cell r="P457" t="str">
            <v>85006.26005899912m</v>
          </cell>
          <cell r="Q457">
            <v>442</v>
          </cell>
          <cell r="R457">
            <v>0</v>
          </cell>
          <cell r="S457">
            <v>0</v>
          </cell>
          <cell r="T457">
            <v>90</v>
          </cell>
          <cell r="U457">
            <v>60</v>
          </cell>
          <cell r="V457">
            <v>60</v>
          </cell>
          <cell r="W457">
            <v>90</v>
          </cell>
          <cell r="X457">
            <v>60</v>
          </cell>
          <cell r="Y457">
            <v>1.5</v>
          </cell>
          <cell r="Z457">
            <v>42</v>
          </cell>
          <cell r="AA457">
            <v>42</v>
          </cell>
          <cell r="AB457">
            <v>50.82</v>
          </cell>
          <cell r="AC457">
            <v>50.9</v>
          </cell>
        </row>
        <row r="458">
          <cell r="H458" t="str">
            <v>8715738897250</v>
          </cell>
          <cell r="I458" t="str">
            <v>2026 Bridle set Orbit</v>
          </cell>
          <cell r="J458" t="str">
            <v>999</v>
          </cell>
          <cell r="K458" t="str">
            <v>Multiple Color</v>
          </cell>
          <cell r="L458" t="str">
            <v>14m</v>
          </cell>
          <cell r="M458" t="str">
            <v xml:space="preserve">Carry Over </v>
          </cell>
          <cell r="N458" t="str">
            <v xml:space="preserve">Bridles &amp; Bladders </v>
          </cell>
          <cell r="P458" t="str">
            <v>85006.26005899914m</v>
          </cell>
          <cell r="Q458">
            <v>443</v>
          </cell>
          <cell r="R458">
            <v>0</v>
          </cell>
          <cell r="S458">
            <v>0</v>
          </cell>
          <cell r="T458">
            <v>93</v>
          </cell>
          <cell r="U458">
            <v>62</v>
          </cell>
          <cell r="V458">
            <v>62</v>
          </cell>
          <cell r="W458">
            <v>93</v>
          </cell>
          <cell r="X458">
            <v>62</v>
          </cell>
          <cell r="Y458">
            <v>1.5</v>
          </cell>
          <cell r="Z458">
            <v>43.4</v>
          </cell>
          <cell r="AA458">
            <v>43.4</v>
          </cell>
          <cell r="AB458">
            <v>52.513999999999996</v>
          </cell>
          <cell r="AC458">
            <v>52.6</v>
          </cell>
        </row>
        <row r="459">
          <cell r="H459" t="str">
            <v>8715738910331</v>
          </cell>
          <cell r="I459" t="str">
            <v>2026 Bridle set Reach</v>
          </cell>
          <cell r="J459" t="str">
            <v>999</v>
          </cell>
          <cell r="K459" t="str">
            <v>Multiple Color</v>
          </cell>
          <cell r="L459" t="str">
            <v>5m</v>
          </cell>
          <cell r="M459" t="str">
            <v>New</v>
          </cell>
          <cell r="N459" t="str">
            <v xml:space="preserve">Bridles &amp; Bladders </v>
          </cell>
          <cell r="P459" t="str">
            <v>85006.2600639995m</v>
          </cell>
          <cell r="Q459">
            <v>444</v>
          </cell>
          <cell r="R459" t="e">
            <v>#VALUE!</v>
          </cell>
          <cell r="S459" t="e">
            <v>#VALUE!</v>
          </cell>
          <cell r="T459" t="str">
            <v/>
          </cell>
          <cell r="U459" t="str">
            <v/>
          </cell>
          <cell r="V459">
            <v>41</v>
          </cell>
          <cell r="W459">
            <v>61.5</v>
          </cell>
          <cell r="X459">
            <v>41</v>
          </cell>
          <cell r="Y459">
            <v>1.5</v>
          </cell>
          <cell r="Z459">
            <v>28.7</v>
          </cell>
          <cell r="AA459">
            <v>28.7</v>
          </cell>
          <cell r="AB459">
            <v>34.726999999999997</v>
          </cell>
          <cell r="AC459">
            <v>34.800000000000004</v>
          </cell>
        </row>
        <row r="460">
          <cell r="H460" t="str">
            <v>8715738910348</v>
          </cell>
          <cell r="I460" t="str">
            <v>2026 Bridle set Reach</v>
          </cell>
          <cell r="J460" t="str">
            <v>999</v>
          </cell>
          <cell r="K460" t="str">
            <v>Multiple Color</v>
          </cell>
          <cell r="L460" t="str">
            <v>6m</v>
          </cell>
          <cell r="M460" t="str">
            <v>New</v>
          </cell>
          <cell r="N460" t="str">
            <v xml:space="preserve">Bridles &amp; Bladders </v>
          </cell>
          <cell r="P460" t="str">
            <v>85006.2600639996m</v>
          </cell>
          <cell r="Q460">
            <v>445</v>
          </cell>
          <cell r="R460" t="e">
            <v>#VALUE!</v>
          </cell>
          <cell r="S460" t="e">
            <v>#VALUE!</v>
          </cell>
          <cell r="T460" t="str">
            <v/>
          </cell>
          <cell r="U460" t="str">
            <v/>
          </cell>
          <cell r="V460">
            <v>42.333333333333336</v>
          </cell>
          <cell r="W460">
            <v>63.5</v>
          </cell>
          <cell r="X460">
            <v>42.4</v>
          </cell>
          <cell r="Y460">
            <v>1.4976415094339623</v>
          </cell>
          <cell r="Z460">
            <v>29.633333333333333</v>
          </cell>
          <cell r="AA460">
            <v>29.700000000000003</v>
          </cell>
          <cell r="AB460">
            <v>35.856333333333332</v>
          </cell>
          <cell r="AC460">
            <v>35.9</v>
          </cell>
        </row>
        <row r="461">
          <cell r="H461" t="str">
            <v>8715738910355</v>
          </cell>
          <cell r="I461" t="str">
            <v>2026 Bridle set Reach</v>
          </cell>
          <cell r="J461" t="str">
            <v>999</v>
          </cell>
          <cell r="K461" t="str">
            <v>Multiple Color</v>
          </cell>
          <cell r="L461" t="str">
            <v>7m</v>
          </cell>
          <cell r="M461" t="str">
            <v>New</v>
          </cell>
          <cell r="N461" t="str">
            <v xml:space="preserve">Bridles &amp; Bladders </v>
          </cell>
          <cell r="P461" t="str">
            <v>85006.2600639997m</v>
          </cell>
          <cell r="Q461">
            <v>446</v>
          </cell>
          <cell r="R461" t="e">
            <v>#VALUE!</v>
          </cell>
          <cell r="S461" t="e">
            <v>#VALUE!</v>
          </cell>
          <cell r="T461" t="str">
            <v/>
          </cell>
          <cell r="U461" t="str">
            <v/>
          </cell>
          <cell r="V461">
            <v>43.666666666666664</v>
          </cell>
          <cell r="W461">
            <v>65.5</v>
          </cell>
          <cell r="X461">
            <v>43.7</v>
          </cell>
          <cell r="Y461">
            <v>1.4988558352402745</v>
          </cell>
          <cell r="Z461">
            <v>30.566666666666663</v>
          </cell>
          <cell r="AA461">
            <v>30.6</v>
          </cell>
          <cell r="AB461">
            <v>36.98566666666666</v>
          </cell>
          <cell r="AC461">
            <v>37</v>
          </cell>
        </row>
        <row r="462">
          <cell r="H462" t="str">
            <v>8715738910362</v>
          </cell>
          <cell r="I462" t="str">
            <v>2026 Bridle set Reach</v>
          </cell>
          <cell r="J462" t="str">
            <v>999</v>
          </cell>
          <cell r="K462" t="str">
            <v>Multiple Color</v>
          </cell>
          <cell r="L462" t="str">
            <v>8m</v>
          </cell>
          <cell r="M462" t="str">
            <v>New</v>
          </cell>
          <cell r="N462" t="str">
            <v xml:space="preserve">Bridles &amp; Bladders </v>
          </cell>
          <cell r="P462" t="str">
            <v>85006.2600639998m</v>
          </cell>
          <cell r="Q462">
            <v>447</v>
          </cell>
          <cell r="R462" t="e">
            <v>#VALUE!</v>
          </cell>
          <cell r="S462" t="e">
            <v>#VALUE!</v>
          </cell>
          <cell r="T462" t="str">
            <v/>
          </cell>
          <cell r="U462" t="str">
            <v/>
          </cell>
          <cell r="V462">
            <v>45</v>
          </cell>
          <cell r="W462">
            <v>67.5</v>
          </cell>
          <cell r="X462">
            <v>45</v>
          </cell>
          <cell r="Y462">
            <v>1.5</v>
          </cell>
          <cell r="Z462">
            <v>31.499999999999996</v>
          </cell>
          <cell r="AA462">
            <v>31.5</v>
          </cell>
          <cell r="AB462">
            <v>38.114999999999995</v>
          </cell>
          <cell r="AC462">
            <v>38.200000000000003</v>
          </cell>
        </row>
        <row r="463">
          <cell r="H463" t="str">
            <v>8715738910379</v>
          </cell>
          <cell r="I463" t="str">
            <v>2026 Bridle set Reach</v>
          </cell>
          <cell r="J463" t="str">
            <v>999</v>
          </cell>
          <cell r="K463" t="str">
            <v>Multiple Color</v>
          </cell>
          <cell r="L463" t="str">
            <v>9m</v>
          </cell>
          <cell r="M463" t="str">
            <v>New</v>
          </cell>
          <cell r="N463" t="str">
            <v xml:space="preserve">Bridles &amp; Bladders </v>
          </cell>
          <cell r="P463" t="str">
            <v>85006.2600639999m</v>
          </cell>
          <cell r="Q463">
            <v>448</v>
          </cell>
          <cell r="R463" t="e">
            <v>#VALUE!</v>
          </cell>
          <cell r="S463" t="e">
            <v>#VALUE!</v>
          </cell>
          <cell r="T463" t="str">
            <v/>
          </cell>
          <cell r="U463" t="str">
            <v/>
          </cell>
          <cell r="V463">
            <v>46.333333333333336</v>
          </cell>
          <cell r="W463">
            <v>69.5</v>
          </cell>
          <cell r="X463">
            <v>46.4</v>
          </cell>
          <cell r="Y463">
            <v>1.4978448275862069</v>
          </cell>
          <cell r="Z463">
            <v>32.43333333333333</v>
          </cell>
          <cell r="AA463">
            <v>32.5</v>
          </cell>
          <cell r="AB463">
            <v>39.24433333333333</v>
          </cell>
          <cell r="AC463">
            <v>39.300000000000004</v>
          </cell>
        </row>
        <row r="464">
          <cell r="H464" t="str">
            <v>8715738910386</v>
          </cell>
          <cell r="I464" t="str">
            <v>2026 Bridle set Reach</v>
          </cell>
          <cell r="J464" t="str">
            <v>999</v>
          </cell>
          <cell r="K464" t="str">
            <v>Multiple Color</v>
          </cell>
          <cell r="L464" t="str">
            <v>10m</v>
          </cell>
          <cell r="M464" t="str">
            <v>New</v>
          </cell>
          <cell r="N464" t="str">
            <v xml:space="preserve">Bridles &amp; Bladders </v>
          </cell>
          <cell r="P464" t="str">
            <v>85006.26006399910m</v>
          </cell>
          <cell r="Q464">
            <v>449</v>
          </cell>
          <cell r="R464" t="e">
            <v>#VALUE!</v>
          </cell>
          <cell r="S464" t="e">
            <v>#VALUE!</v>
          </cell>
          <cell r="T464" t="str">
            <v/>
          </cell>
          <cell r="U464" t="str">
            <v/>
          </cell>
          <cell r="V464">
            <v>47.666666666666664</v>
          </cell>
          <cell r="W464">
            <v>71.5</v>
          </cell>
          <cell r="X464">
            <v>47.7</v>
          </cell>
          <cell r="Y464">
            <v>1.4989517819706497</v>
          </cell>
          <cell r="Z464">
            <v>33.36666666666666</v>
          </cell>
          <cell r="AA464">
            <v>33.4</v>
          </cell>
          <cell r="AB464">
            <v>40.373666666666658</v>
          </cell>
          <cell r="AC464">
            <v>40.4</v>
          </cell>
        </row>
        <row r="465">
          <cell r="H465" t="str">
            <v>8715738910393</v>
          </cell>
          <cell r="I465" t="str">
            <v>2026 Bridle set Reach</v>
          </cell>
          <cell r="J465" t="str">
            <v>999</v>
          </cell>
          <cell r="K465" t="str">
            <v>Multiple Color</v>
          </cell>
          <cell r="L465" t="str">
            <v>11m</v>
          </cell>
          <cell r="M465" t="str">
            <v>New</v>
          </cell>
          <cell r="N465" t="str">
            <v xml:space="preserve">Bridles &amp; Bladders </v>
          </cell>
          <cell r="P465" t="str">
            <v>85006.26006399911m</v>
          </cell>
          <cell r="Q465">
            <v>450</v>
          </cell>
          <cell r="R465" t="e">
            <v>#VALUE!</v>
          </cell>
          <cell r="S465" t="e">
            <v>#VALUE!</v>
          </cell>
          <cell r="T465" t="str">
            <v/>
          </cell>
          <cell r="U465" t="str">
            <v/>
          </cell>
          <cell r="V465">
            <v>49</v>
          </cell>
          <cell r="W465">
            <v>73.5</v>
          </cell>
          <cell r="X465">
            <v>49</v>
          </cell>
          <cell r="Y465">
            <v>1.5</v>
          </cell>
          <cell r="Z465">
            <v>34.299999999999997</v>
          </cell>
          <cell r="AA465">
            <v>34.299999999999997</v>
          </cell>
          <cell r="AB465">
            <v>41.502999999999993</v>
          </cell>
          <cell r="AC465">
            <v>41.6</v>
          </cell>
        </row>
        <row r="466">
          <cell r="H466" t="str">
            <v>8715738910409</v>
          </cell>
          <cell r="I466" t="str">
            <v>2026 Bridle set Reach</v>
          </cell>
          <cell r="J466" t="str">
            <v>999</v>
          </cell>
          <cell r="K466" t="str">
            <v>Multiple Color</v>
          </cell>
          <cell r="L466" t="str">
            <v>12m</v>
          </cell>
          <cell r="M466" t="str">
            <v>New</v>
          </cell>
          <cell r="N466" t="str">
            <v xml:space="preserve">Bridles &amp; Bladders </v>
          </cell>
          <cell r="P466" t="str">
            <v>85006.26006399912m</v>
          </cell>
          <cell r="Q466">
            <v>451</v>
          </cell>
          <cell r="R466" t="e">
            <v>#VALUE!</v>
          </cell>
          <cell r="S466" t="e">
            <v>#VALUE!</v>
          </cell>
          <cell r="T466" t="str">
            <v/>
          </cell>
          <cell r="U466" t="str">
            <v/>
          </cell>
          <cell r="V466">
            <v>50.333333333333336</v>
          </cell>
          <cell r="W466">
            <v>75.5</v>
          </cell>
          <cell r="X466">
            <v>50.4</v>
          </cell>
          <cell r="Y466">
            <v>1.498015873015873</v>
          </cell>
          <cell r="Z466">
            <v>35.233333333333334</v>
          </cell>
          <cell r="AA466">
            <v>35.300000000000004</v>
          </cell>
          <cell r="AB466">
            <v>42.632333333333335</v>
          </cell>
          <cell r="AC466">
            <v>42.7</v>
          </cell>
        </row>
        <row r="467">
          <cell r="H467" t="str">
            <v>8715738910416</v>
          </cell>
          <cell r="I467" t="str">
            <v>2026 Bridle set Reach</v>
          </cell>
          <cell r="J467" t="str">
            <v>999</v>
          </cell>
          <cell r="K467" t="str">
            <v>Multiple Color</v>
          </cell>
          <cell r="L467" t="str">
            <v>13m</v>
          </cell>
          <cell r="M467" t="str">
            <v>New</v>
          </cell>
          <cell r="N467" t="str">
            <v xml:space="preserve">Bridles &amp; Bladders </v>
          </cell>
          <cell r="P467" t="str">
            <v>85006.26006399913m</v>
          </cell>
          <cell r="Q467">
            <v>452</v>
          </cell>
          <cell r="R467" t="e">
            <v>#VALUE!</v>
          </cell>
          <cell r="S467" t="e">
            <v>#VALUE!</v>
          </cell>
          <cell r="T467" t="str">
            <v/>
          </cell>
          <cell r="U467" t="str">
            <v/>
          </cell>
          <cell r="V467">
            <v>51.666666666666664</v>
          </cell>
          <cell r="W467">
            <v>77.5</v>
          </cell>
          <cell r="X467">
            <v>51.7</v>
          </cell>
          <cell r="Y467">
            <v>1.4990328820116052</v>
          </cell>
          <cell r="Z467">
            <v>36.166666666666664</v>
          </cell>
          <cell r="AA467">
            <v>36.200000000000003</v>
          </cell>
          <cell r="AB467">
            <v>43.761666666666663</v>
          </cell>
          <cell r="AC467">
            <v>43.800000000000004</v>
          </cell>
        </row>
        <row r="468">
          <cell r="H468" t="str">
            <v>8715738910423</v>
          </cell>
          <cell r="I468" t="str">
            <v>2026 Bridle set Reach</v>
          </cell>
          <cell r="J468" t="str">
            <v>999</v>
          </cell>
          <cell r="K468" t="str">
            <v>Multiple Color</v>
          </cell>
          <cell r="L468" t="str">
            <v>15m</v>
          </cell>
          <cell r="M468" t="str">
            <v>New</v>
          </cell>
          <cell r="N468" t="str">
            <v xml:space="preserve">Bridles &amp; Bladders </v>
          </cell>
          <cell r="P468" t="str">
            <v>85006.26006399915m</v>
          </cell>
          <cell r="Q468">
            <v>453</v>
          </cell>
          <cell r="R468" t="e">
            <v>#VALUE!</v>
          </cell>
          <cell r="S468" t="e">
            <v>#VALUE!</v>
          </cell>
          <cell r="T468" t="str">
            <v/>
          </cell>
          <cell r="U468" t="str">
            <v/>
          </cell>
          <cell r="V468">
            <v>53</v>
          </cell>
          <cell r="W468">
            <v>79.5</v>
          </cell>
          <cell r="X468">
            <v>53</v>
          </cell>
          <cell r="Y468">
            <v>1.5</v>
          </cell>
          <cell r="Z468">
            <v>37.099999999999994</v>
          </cell>
          <cell r="AA468">
            <v>37.1</v>
          </cell>
          <cell r="AB468">
            <v>44.890999999999991</v>
          </cell>
          <cell r="AC468">
            <v>44.9</v>
          </cell>
        </row>
        <row r="469">
          <cell r="H469" t="str">
            <v>8715738910430</v>
          </cell>
          <cell r="I469" t="str">
            <v>2026 Bridle set Reach</v>
          </cell>
          <cell r="J469" t="str">
            <v>999</v>
          </cell>
          <cell r="K469" t="str">
            <v>Multiple Color</v>
          </cell>
          <cell r="L469" t="str">
            <v>17m</v>
          </cell>
          <cell r="M469" t="str">
            <v>New</v>
          </cell>
          <cell r="N469" t="str">
            <v xml:space="preserve">Bridles &amp; Bladders </v>
          </cell>
          <cell r="P469" t="str">
            <v>85006.26006399917m</v>
          </cell>
          <cell r="Q469">
            <v>454</v>
          </cell>
          <cell r="R469" t="e">
            <v>#VALUE!</v>
          </cell>
          <cell r="S469" t="e">
            <v>#VALUE!</v>
          </cell>
          <cell r="T469" t="str">
            <v/>
          </cell>
          <cell r="U469" t="str">
            <v/>
          </cell>
          <cell r="V469">
            <v>54.666666666666664</v>
          </cell>
          <cell r="W469">
            <v>82</v>
          </cell>
          <cell r="X469">
            <v>54.7</v>
          </cell>
          <cell r="Y469">
            <v>1.4990859232175502</v>
          </cell>
          <cell r="Z469">
            <v>38.266666666666666</v>
          </cell>
          <cell r="AA469">
            <v>38.300000000000004</v>
          </cell>
          <cell r="AB469">
            <v>46.302666666666667</v>
          </cell>
          <cell r="AC469">
            <v>46.4</v>
          </cell>
        </row>
        <row r="470">
          <cell r="H470" t="str">
            <v>8715738910447</v>
          </cell>
          <cell r="I470" t="str">
            <v>2026 Bridle set Reach</v>
          </cell>
          <cell r="J470" t="str">
            <v>999</v>
          </cell>
          <cell r="K470" t="str">
            <v>Multiple Color</v>
          </cell>
          <cell r="L470" t="str">
            <v>19m</v>
          </cell>
          <cell r="M470" t="str">
            <v>New</v>
          </cell>
          <cell r="N470" t="str">
            <v xml:space="preserve">Bridles &amp; Bladders </v>
          </cell>
          <cell r="P470" t="str">
            <v>85006.26006399919m</v>
          </cell>
          <cell r="Q470">
            <v>455</v>
          </cell>
          <cell r="R470" t="e">
            <v>#VALUE!</v>
          </cell>
          <cell r="S470" t="e">
            <v>#VALUE!</v>
          </cell>
          <cell r="T470" t="str">
            <v/>
          </cell>
          <cell r="U470" t="str">
            <v/>
          </cell>
          <cell r="V470">
            <v>56</v>
          </cell>
          <cell r="W470">
            <v>84</v>
          </cell>
          <cell r="X470">
            <v>56</v>
          </cell>
          <cell r="Y470">
            <v>1.5</v>
          </cell>
          <cell r="Z470">
            <v>39.199999999999996</v>
          </cell>
          <cell r="AA470">
            <v>39.200000000000003</v>
          </cell>
          <cell r="AB470">
            <v>47.431999999999995</v>
          </cell>
          <cell r="AC470">
            <v>47.5</v>
          </cell>
        </row>
        <row r="471">
          <cell r="H471" t="str">
            <v>8715738897267</v>
          </cell>
          <cell r="I471" t="str">
            <v>2026 Bridle set Orbit Ultra</v>
          </cell>
          <cell r="J471" t="str">
            <v>999</v>
          </cell>
          <cell r="K471" t="str">
            <v>Multiple Color</v>
          </cell>
          <cell r="L471" t="str">
            <v>5.9m</v>
          </cell>
          <cell r="M471" t="str">
            <v>New</v>
          </cell>
          <cell r="N471" t="str">
            <v xml:space="preserve">Bridles &amp; Bladders </v>
          </cell>
          <cell r="P471" t="str">
            <v>85006.2600719995.9m</v>
          </cell>
          <cell r="Q471">
            <v>456</v>
          </cell>
          <cell r="R471" t="e">
            <v>#VALUE!</v>
          </cell>
          <cell r="S471" t="e">
            <v>#VALUE!</v>
          </cell>
          <cell r="T471" t="str">
            <v/>
          </cell>
          <cell r="U471" t="str">
            <v/>
          </cell>
          <cell r="V471">
            <v>43.333333333333336</v>
          </cell>
          <cell r="W471">
            <v>65</v>
          </cell>
          <cell r="X471">
            <v>43.4</v>
          </cell>
          <cell r="Y471">
            <v>1.4976958525345623</v>
          </cell>
          <cell r="Z471">
            <v>30.333333333333332</v>
          </cell>
          <cell r="AA471">
            <v>30.400000000000002</v>
          </cell>
          <cell r="AB471">
            <v>36.703333333333333</v>
          </cell>
          <cell r="AC471">
            <v>36.800000000000004</v>
          </cell>
        </row>
        <row r="472">
          <cell r="H472" t="str">
            <v>8715738897274</v>
          </cell>
          <cell r="I472" t="str">
            <v>2026 Bridle set Orbit Ultra</v>
          </cell>
          <cell r="J472" t="str">
            <v>999</v>
          </cell>
          <cell r="K472" t="str">
            <v>Multiple Color</v>
          </cell>
          <cell r="L472" t="str">
            <v>6.6m</v>
          </cell>
          <cell r="M472" t="str">
            <v>New</v>
          </cell>
          <cell r="N472" t="str">
            <v xml:space="preserve">Bridles &amp; Bladders </v>
          </cell>
          <cell r="P472" t="str">
            <v>85006.2600719996.6m</v>
          </cell>
          <cell r="Q472">
            <v>457</v>
          </cell>
          <cell r="R472" t="e">
            <v>#VALUE!</v>
          </cell>
          <cell r="S472" t="e">
            <v>#VALUE!</v>
          </cell>
          <cell r="T472" t="str">
            <v/>
          </cell>
          <cell r="U472" t="str">
            <v/>
          </cell>
          <cell r="V472">
            <v>46.666666666666664</v>
          </cell>
          <cell r="W472">
            <v>70</v>
          </cell>
          <cell r="X472">
            <v>46.7</v>
          </cell>
          <cell r="Y472">
            <v>1.4989293361884368</v>
          </cell>
          <cell r="Z472">
            <v>32.666666666666664</v>
          </cell>
          <cell r="AA472">
            <v>32.700000000000003</v>
          </cell>
          <cell r="AB472">
            <v>39.526666666666664</v>
          </cell>
          <cell r="AC472">
            <v>39.6</v>
          </cell>
        </row>
        <row r="473">
          <cell r="H473" t="str">
            <v>8715738897281</v>
          </cell>
          <cell r="I473" t="str">
            <v>2026 Bridle set Orbit Ultra</v>
          </cell>
          <cell r="J473" t="str">
            <v>999</v>
          </cell>
          <cell r="K473" t="str">
            <v>Multiple Color</v>
          </cell>
          <cell r="L473" t="str">
            <v>7.3m</v>
          </cell>
          <cell r="M473" t="str">
            <v>New</v>
          </cell>
          <cell r="N473" t="str">
            <v xml:space="preserve">Bridles &amp; Bladders </v>
          </cell>
          <cell r="P473" t="str">
            <v>85006.2600719997.3m</v>
          </cell>
          <cell r="Q473">
            <v>458</v>
          </cell>
          <cell r="R473" t="e">
            <v>#VALUE!</v>
          </cell>
          <cell r="S473" t="e">
            <v>#VALUE!</v>
          </cell>
          <cell r="T473" t="str">
            <v/>
          </cell>
          <cell r="U473" t="str">
            <v/>
          </cell>
          <cell r="V473">
            <v>50</v>
          </cell>
          <cell r="W473">
            <v>75</v>
          </cell>
          <cell r="X473">
            <v>50</v>
          </cell>
          <cell r="Y473">
            <v>1.5</v>
          </cell>
          <cell r="Z473">
            <v>35</v>
          </cell>
          <cell r="AA473">
            <v>35</v>
          </cell>
          <cell r="AB473">
            <v>42.35</v>
          </cell>
          <cell r="AC473">
            <v>42.4</v>
          </cell>
        </row>
        <row r="474">
          <cell r="H474" t="str">
            <v>8715738897298</v>
          </cell>
          <cell r="I474" t="str">
            <v>2026 Bridle set Orbit Ultra</v>
          </cell>
          <cell r="J474" t="str">
            <v>999</v>
          </cell>
          <cell r="K474" t="str">
            <v>Multiple Color</v>
          </cell>
          <cell r="L474" t="str">
            <v>8.1m</v>
          </cell>
          <cell r="M474" t="str">
            <v>New</v>
          </cell>
          <cell r="N474" t="str">
            <v xml:space="preserve">Bridles &amp; Bladders </v>
          </cell>
          <cell r="P474" t="str">
            <v>85006.2600719998.1m</v>
          </cell>
          <cell r="Q474">
            <v>459</v>
          </cell>
          <cell r="R474" t="e">
            <v>#VALUE!</v>
          </cell>
          <cell r="S474" t="e">
            <v>#VALUE!</v>
          </cell>
          <cell r="T474" t="str">
            <v/>
          </cell>
          <cell r="U474" t="str">
            <v/>
          </cell>
          <cell r="V474">
            <v>53.333333333333336</v>
          </cell>
          <cell r="W474">
            <v>80</v>
          </cell>
          <cell r="X474">
            <v>53.4</v>
          </cell>
          <cell r="Y474">
            <v>1.4981273408239701</v>
          </cell>
          <cell r="Z474">
            <v>37.333333333333336</v>
          </cell>
          <cell r="AA474">
            <v>37.4</v>
          </cell>
          <cell r="AB474">
            <v>45.173333333333332</v>
          </cell>
          <cell r="AC474">
            <v>45.2</v>
          </cell>
        </row>
        <row r="475">
          <cell r="H475" t="str">
            <v>8715738897304</v>
          </cell>
          <cell r="I475" t="str">
            <v>2026 Bridle set Orbit Ultra</v>
          </cell>
          <cell r="J475" t="str">
            <v>999</v>
          </cell>
          <cell r="K475" t="str">
            <v>Multiple Color</v>
          </cell>
          <cell r="L475" t="str">
            <v>9m</v>
          </cell>
          <cell r="M475" t="str">
            <v>New</v>
          </cell>
          <cell r="N475" t="str">
            <v xml:space="preserve">Bridles &amp; Bladders </v>
          </cell>
          <cell r="P475" t="str">
            <v>85006.2600719999m</v>
          </cell>
          <cell r="Q475">
            <v>460</v>
          </cell>
          <cell r="R475" t="e">
            <v>#VALUE!</v>
          </cell>
          <cell r="S475" t="e">
            <v>#VALUE!</v>
          </cell>
          <cell r="T475" t="str">
            <v/>
          </cell>
          <cell r="U475" t="str">
            <v/>
          </cell>
          <cell r="V475">
            <v>56.666666666666664</v>
          </cell>
          <cell r="W475">
            <v>85</v>
          </cell>
          <cell r="X475">
            <v>56.7</v>
          </cell>
          <cell r="Y475">
            <v>1.4991181657848325</v>
          </cell>
          <cell r="Z475">
            <v>39.666666666666664</v>
          </cell>
          <cell r="AA475">
            <v>39.700000000000003</v>
          </cell>
          <cell r="AB475">
            <v>47.996666666666663</v>
          </cell>
          <cell r="AC475">
            <v>48</v>
          </cell>
        </row>
        <row r="476">
          <cell r="H476" t="str">
            <v>8715738897311</v>
          </cell>
          <cell r="I476" t="str">
            <v>2026 Bridle set Orbit Ultra</v>
          </cell>
          <cell r="J476" t="str">
            <v>999</v>
          </cell>
          <cell r="K476" t="str">
            <v>Multiple Color</v>
          </cell>
          <cell r="L476" t="str">
            <v>10m</v>
          </cell>
          <cell r="M476" t="str">
            <v>New</v>
          </cell>
          <cell r="N476" t="str">
            <v xml:space="preserve">Bridles &amp; Bladders </v>
          </cell>
          <cell r="P476" t="str">
            <v>85006.26007199910m</v>
          </cell>
          <cell r="Q476">
            <v>461</v>
          </cell>
          <cell r="R476" t="e">
            <v>#VALUE!</v>
          </cell>
          <cell r="S476" t="e">
            <v>#VALUE!</v>
          </cell>
          <cell r="T476" t="str">
            <v/>
          </cell>
          <cell r="U476" t="str">
            <v/>
          </cell>
          <cell r="V476">
            <v>60</v>
          </cell>
          <cell r="W476">
            <v>90</v>
          </cell>
          <cell r="X476">
            <v>60</v>
          </cell>
          <cell r="Y476">
            <v>1.5</v>
          </cell>
          <cell r="Z476">
            <v>42</v>
          </cell>
          <cell r="AA476">
            <v>42</v>
          </cell>
          <cell r="AB476">
            <v>50.82</v>
          </cell>
          <cell r="AC476">
            <v>50.9</v>
          </cell>
        </row>
        <row r="477">
          <cell r="H477" t="str">
            <v>8715738897328</v>
          </cell>
          <cell r="I477" t="str">
            <v>2026 Bridle set Orbit Ultra</v>
          </cell>
          <cell r="J477" t="str">
            <v>999</v>
          </cell>
          <cell r="K477" t="str">
            <v>Multiple Color</v>
          </cell>
          <cell r="L477" t="str">
            <v>11m</v>
          </cell>
          <cell r="M477" t="str">
            <v>New</v>
          </cell>
          <cell r="N477" t="str">
            <v xml:space="preserve">Bridles &amp; Bladders </v>
          </cell>
          <cell r="P477" t="str">
            <v>85006.26007199911m</v>
          </cell>
          <cell r="Q477">
            <v>462</v>
          </cell>
          <cell r="R477" t="e">
            <v>#VALUE!</v>
          </cell>
          <cell r="S477" t="e">
            <v>#VALUE!</v>
          </cell>
          <cell r="T477" t="str">
            <v/>
          </cell>
          <cell r="U477" t="str">
            <v/>
          </cell>
          <cell r="V477">
            <v>63.333333333333336</v>
          </cell>
          <cell r="W477">
            <v>95</v>
          </cell>
          <cell r="X477">
            <v>63.4</v>
          </cell>
          <cell r="Y477">
            <v>1.498422712933754</v>
          </cell>
          <cell r="Z477">
            <v>44.333333333333336</v>
          </cell>
          <cell r="AA477">
            <v>44.4</v>
          </cell>
          <cell r="AB477">
            <v>53.643333333333338</v>
          </cell>
          <cell r="AC477">
            <v>53.7</v>
          </cell>
        </row>
        <row r="478">
          <cell r="H478" t="str">
            <v>8715738897335</v>
          </cell>
          <cell r="I478" t="str">
            <v>2026 Bridle set Orbit Ultra</v>
          </cell>
          <cell r="J478" t="str">
            <v>999</v>
          </cell>
          <cell r="K478" t="str">
            <v>Multiple Color</v>
          </cell>
          <cell r="L478" t="str">
            <v>12m</v>
          </cell>
          <cell r="M478" t="str">
            <v>New</v>
          </cell>
          <cell r="N478" t="str">
            <v xml:space="preserve">Bridles &amp; Bladders </v>
          </cell>
          <cell r="P478" t="str">
            <v>85006.26007199912m</v>
          </cell>
          <cell r="Q478">
            <v>463</v>
          </cell>
          <cell r="R478" t="e">
            <v>#VALUE!</v>
          </cell>
          <cell r="S478" t="e">
            <v>#VALUE!</v>
          </cell>
          <cell r="T478" t="str">
            <v/>
          </cell>
          <cell r="U478" t="str">
            <v/>
          </cell>
          <cell r="V478">
            <v>66.666666666666671</v>
          </cell>
          <cell r="W478">
            <v>100</v>
          </cell>
          <cell r="X478">
            <v>66.699999999999989</v>
          </cell>
          <cell r="Y478">
            <v>1.499250374812594</v>
          </cell>
          <cell r="Z478">
            <v>46.666666666666664</v>
          </cell>
          <cell r="AA478">
            <v>46.7</v>
          </cell>
          <cell r="AB478">
            <v>56.466666666666661</v>
          </cell>
          <cell r="AC478">
            <v>56.5</v>
          </cell>
        </row>
        <row r="479">
          <cell r="H479" t="str">
            <v>8715738899018</v>
          </cell>
          <cell r="I479" t="str">
            <v>2026 Bridle set Reach Ultra</v>
          </cell>
          <cell r="J479" t="str">
            <v>999</v>
          </cell>
          <cell r="K479" t="str">
            <v>Multiple Color</v>
          </cell>
          <cell r="L479" t="str">
            <v>7m</v>
          </cell>
          <cell r="M479" t="str">
            <v>New</v>
          </cell>
          <cell r="N479" t="str">
            <v xml:space="preserve">Bridles &amp; Bladders </v>
          </cell>
          <cell r="P479" t="str">
            <v>85006.2600749997m</v>
          </cell>
          <cell r="Q479">
            <v>464</v>
          </cell>
          <cell r="R479" t="e">
            <v>#VALUE!</v>
          </cell>
          <cell r="S479" t="e">
            <v>#VALUE!</v>
          </cell>
          <cell r="T479" t="str">
            <v/>
          </cell>
          <cell r="U479" t="str">
            <v/>
          </cell>
          <cell r="V479">
            <v>43.333333333333336</v>
          </cell>
          <cell r="W479">
            <v>65</v>
          </cell>
          <cell r="X479">
            <v>43.4</v>
          </cell>
          <cell r="Y479">
            <v>1.4976958525345623</v>
          </cell>
          <cell r="Z479">
            <v>30.333333333333332</v>
          </cell>
          <cell r="AA479">
            <v>30.400000000000002</v>
          </cell>
          <cell r="AB479">
            <v>36.703333333333333</v>
          </cell>
          <cell r="AC479">
            <v>36.800000000000004</v>
          </cell>
        </row>
        <row r="480">
          <cell r="H480" t="str">
            <v>8715738899025</v>
          </cell>
          <cell r="I480" t="str">
            <v>2026 Bridle set Reach Ultra</v>
          </cell>
          <cell r="J480" t="str">
            <v>999</v>
          </cell>
          <cell r="K480" t="str">
            <v>Multiple Color</v>
          </cell>
          <cell r="L480" t="str">
            <v>8m</v>
          </cell>
          <cell r="M480" t="str">
            <v>New</v>
          </cell>
          <cell r="N480" t="str">
            <v xml:space="preserve">Bridles &amp; Bladders </v>
          </cell>
          <cell r="P480" t="str">
            <v>85006.2600749998m</v>
          </cell>
          <cell r="Q480">
            <v>465</v>
          </cell>
          <cell r="R480" t="e">
            <v>#VALUE!</v>
          </cell>
          <cell r="S480" t="e">
            <v>#VALUE!</v>
          </cell>
          <cell r="T480" t="str">
            <v/>
          </cell>
          <cell r="U480" t="str">
            <v/>
          </cell>
          <cell r="V480">
            <v>46.666666666666664</v>
          </cell>
          <cell r="W480">
            <v>70</v>
          </cell>
          <cell r="X480">
            <v>46.7</v>
          </cell>
          <cell r="Y480">
            <v>1.4989293361884368</v>
          </cell>
          <cell r="Z480">
            <v>32.666666666666664</v>
          </cell>
          <cell r="AA480">
            <v>32.700000000000003</v>
          </cell>
          <cell r="AB480">
            <v>39.526666666666664</v>
          </cell>
          <cell r="AC480">
            <v>39.6</v>
          </cell>
        </row>
        <row r="481">
          <cell r="H481" t="str">
            <v>8715738897373</v>
          </cell>
          <cell r="I481" t="str">
            <v>2026 Bridle set Reach Ultra</v>
          </cell>
          <cell r="J481" t="str">
            <v>999</v>
          </cell>
          <cell r="K481" t="str">
            <v>Multiple Color</v>
          </cell>
          <cell r="L481" t="str">
            <v>9m</v>
          </cell>
          <cell r="M481" t="str">
            <v>New</v>
          </cell>
          <cell r="N481" t="str">
            <v xml:space="preserve">Bridles &amp; Bladders </v>
          </cell>
          <cell r="P481" t="str">
            <v>85006.2600749999m</v>
          </cell>
          <cell r="Q481">
            <v>466</v>
          </cell>
          <cell r="R481" t="e">
            <v>#VALUE!</v>
          </cell>
          <cell r="S481" t="e">
            <v>#VALUE!</v>
          </cell>
          <cell r="T481" t="str">
            <v/>
          </cell>
          <cell r="U481" t="str">
            <v/>
          </cell>
          <cell r="V481">
            <v>50</v>
          </cell>
          <cell r="W481">
            <v>75</v>
          </cell>
          <cell r="X481">
            <v>50</v>
          </cell>
          <cell r="Y481">
            <v>1.5</v>
          </cell>
          <cell r="Z481">
            <v>35</v>
          </cell>
          <cell r="AA481">
            <v>35</v>
          </cell>
          <cell r="AB481">
            <v>42.35</v>
          </cell>
          <cell r="AC481">
            <v>42.4</v>
          </cell>
        </row>
        <row r="482">
          <cell r="H482" t="str">
            <v>8715738897380</v>
          </cell>
          <cell r="I482" t="str">
            <v>2026 Bridle set Reach Ultra</v>
          </cell>
          <cell r="J482" t="str">
            <v>999</v>
          </cell>
          <cell r="K482" t="str">
            <v>Multiple Color</v>
          </cell>
          <cell r="L482" t="str">
            <v>10m</v>
          </cell>
          <cell r="M482" t="str">
            <v>New</v>
          </cell>
          <cell r="N482" t="str">
            <v xml:space="preserve">Bridles &amp; Bladders </v>
          </cell>
          <cell r="P482" t="str">
            <v>85006.26007499910m</v>
          </cell>
          <cell r="Q482">
            <v>467</v>
          </cell>
          <cell r="R482" t="e">
            <v>#VALUE!</v>
          </cell>
          <cell r="S482" t="e">
            <v>#VALUE!</v>
          </cell>
          <cell r="T482" t="str">
            <v/>
          </cell>
          <cell r="U482" t="str">
            <v/>
          </cell>
          <cell r="V482">
            <v>53.333333333333336</v>
          </cell>
          <cell r="W482">
            <v>80</v>
          </cell>
          <cell r="X482">
            <v>53.4</v>
          </cell>
          <cell r="Y482">
            <v>1.4981273408239701</v>
          </cell>
          <cell r="Z482">
            <v>37.333333333333336</v>
          </cell>
          <cell r="AA482">
            <v>37.4</v>
          </cell>
          <cell r="AB482">
            <v>45.173333333333332</v>
          </cell>
          <cell r="AC482">
            <v>45.2</v>
          </cell>
        </row>
        <row r="483">
          <cell r="H483" t="str">
            <v>8715738897397</v>
          </cell>
          <cell r="I483" t="str">
            <v>2026 Bridle set Reach Ultra</v>
          </cell>
          <cell r="J483" t="str">
            <v>999</v>
          </cell>
          <cell r="K483" t="str">
            <v>Multiple Color</v>
          </cell>
          <cell r="L483" t="str">
            <v>11m</v>
          </cell>
          <cell r="M483" t="str">
            <v>New</v>
          </cell>
          <cell r="N483" t="str">
            <v xml:space="preserve">Bridles &amp; Bladders </v>
          </cell>
          <cell r="P483" t="str">
            <v>85006.26007499911m</v>
          </cell>
          <cell r="Q483">
            <v>468</v>
          </cell>
          <cell r="R483" t="e">
            <v>#VALUE!</v>
          </cell>
          <cell r="S483" t="e">
            <v>#VALUE!</v>
          </cell>
          <cell r="T483" t="str">
            <v/>
          </cell>
          <cell r="U483" t="str">
            <v/>
          </cell>
          <cell r="V483">
            <v>56.666666666666664</v>
          </cell>
          <cell r="W483">
            <v>85</v>
          </cell>
          <cell r="X483">
            <v>56.7</v>
          </cell>
          <cell r="Y483">
            <v>1.4991181657848325</v>
          </cell>
          <cell r="Z483">
            <v>39.666666666666664</v>
          </cell>
          <cell r="AA483">
            <v>39.700000000000003</v>
          </cell>
          <cell r="AB483">
            <v>47.996666666666663</v>
          </cell>
          <cell r="AC483">
            <v>48</v>
          </cell>
        </row>
        <row r="484">
          <cell r="H484" t="str">
            <v>8715738897403</v>
          </cell>
          <cell r="I484" t="str">
            <v>2026 Bridle set Reach Ultra</v>
          </cell>
          <cell r="J484" t="str">
            <v>999</v>
          </cell>
          <cell r="K484" t="str">
            <v>Multiple Color</v>
          </cell>
          <cell r="L484" t="str">
            <v>12m</v>
          </cell>
          <cell r="M484" t="str">
            <v>New</v>
          </cell>
          <cell r="N484" t="str">
            <v xml:space="preserve">Bridles &amp; Bladders </v>
          </cell>
          <cell r="P484" t="str">
            <v>85006.26007499912m</v>
          </cell>
          <cell r="Q484">
            <v>469</v>
          </cell>
          <cell r="R484" t="e">
            <v>#VALUE!</v>
          </cell>
          <cell r="S484" t="e">
            <v>#VALUE!</v>
          </cell>
          <cell r="T484" t="str">
            <v/>
          </cell>
          <cell r="U484" t="str">
            <v/>
          </cell>
          <cell r="V484">
            <v>60</v>
          </cell>
          <cell r="W484">
            <v>90</v>
          </cell>
          <cell r="X484">
            <v>60</v>
          </cell>
          <cell r="Y484">
            <v>1.5</v>
          </cell>
          <cell r="Z484">
            <v>42</v>
          </cell>
          <cell r="AA484">
            <v>42</v>
          </cell>
          <cell r="AB484">
            <v>50.82</v>
          </cell>
          <cell r="AC484">
            <v>50.9</v>
          </cell>
        </row>
        <row r="485">
          <cell r="H485" t="str">
            <v>8715738897410</v>
          </cell>
          <cell r="I485" t="str">
            <v>2026 Bridle set Reach Ultra</v>
          </cell>
          <cell r="J485" t="str">
            <v>999</v>
          </cell>
          <cell r="K485" t="str">
            <v>Multiple Color</v>
          </cell>
          <cell r="L485" t="str">
            <v>13m</v>
          </cell>
          <cell r="M485" t="str">
            <v>New</v>
          </cell>
          <cell r="N485" t="str">
            <v xml:space="preserve">Bridles &amp; Bladders </v>
          </cell>
          <cell r="P485" t="str">
            <v>85006.26007499913m</v>
          </cell>
          <cell r="Q485">
            <v>470</v>
          </cell>
          <cell r="R485" t="e">
            <v>#VALUE!</v>
          </cell>
          <cell r="S485" t="e">
            <v>#VALUE!</v>
          </cell>
          <cell r="T485" t="str">
            <v/>
          </cell>
          <cell r="U485" t="str">
            <v/>
          </cell>
          <cell r="V485">
            <v>63.333333333333336</v>
          </cell>
          <cell r="W485">
            <v>95</v>
          </cell>
          <cell r="X485">
            <v>63.4</v>
          </cell>
          <cell r="Y485">
            <v>1.498422712933754</v>
          </cell>
          <cell r="Z485">
            <v>44.333333333333336</v>
          </cell>
          <cell r="AA485">
            <v>44.4</v>
          </cell>
          <cell r="AB485">
            <v>53.643333333333338</v>
          </cell>
          <cell r="AC485">
            <v>53.7</v>
          </cell>
        </row>
        <row r="486">
          <cell r="H486" t="str">
            <v>8715738897427</v>
          </cell>
          <cell r="I486" t="str">
            <v>2026 Bridle set Reach Ultra</v>
          </cell>
          <cell r="J486" t="str">
            <v>999</v>
          </cell>
          <cell r="K486" t="str">
            <v>Multiple Color</v>
          </cell>
          <cell r="L486" t="str">
            <v>15m</v>
          </cell>
          <cell r="M486" t="str">
            <v>New</v>
          </cell>
          <cell r="N486" t="str">
            <v xml:space="preserve">Bridles &amp; Bladders </v>
          </cell>
          <cell r="P486" t="str">
            <v>85006.26007499915m</v>
          </cell>
          <cell r="Q486">
            <v>471</v>
          </cell>
          <cell r="R486" t="e">
            <v>#VALUE!</v>
          </cell>
          <cell r="S486" t="e">
            <v>#VALUE!</v>
          </cell>
          <cell r="T486" t="str">
            <v/>
          </cell>
          <cell r="U486" t="str">
            <v/>
          </cell>
          <cell r="V486">
            <v>66.666666666666671</v>
          </cell>
          <cell r="W486">
            <v>100</v>
          </cell>
          <cell r="X486">
            <v>66.699999999999989</v>
          </cell>
          <cell r="Y486">
            <v>1.499250374812594</v>
          </cell>
          <cell r="Z486">
            <v>46.666666666666664</v>
          </cell>
          <cell r="AA486">
            <v>46.7</v>
          </cell>
          <cell r="AB486">
            <v>56.466666666666661</v>
          </cell>
          <cell r="AC486">
            <v>56.5</v>
          </cell>
        </row>
        <row r="487">
          <cell r="H487" t="str">
            <v>8715738897434</v>
          </cell>
          <cell r="I487" t="str">
            <v>2026 Bridle set Reach Ultra</v>
          </cell>
          <cell r="J487" t="str">
            <v>999</v>
          </cell>
          <cell r="K487" t="str">
            <v>Multiple Color</v>
          </cell>
          <cell r="L487" t="str">
            <v>17m</v>
          </cell>
          <cell r="M487" t="str">
            <v>New</v>
          </cell>
          <cell r="N487" t="str">
            <v xml:space="preserve">Bridles &amp; Bladders </v>
          </cell>
          <cell r="P487" t="str">
            <v>85006.26007499917m</v>
          </cell>
          <cell r="Q487">
            <v>472</v>
          </cell>
          <cell r="R487" t="e">
            <v>#VALUE!</v>
          </cell>
          <cell r="S487" t="e">
            <v>#VALUE!</v>
          </cell>
          <cell r="T487" t="str">
            <v/>
          </cell>
          <cell r="U487" t="str">
            <v/>
          </cell>
          <cell r="V487">
            <v>70</v>
          </cell>
          <cell r="W487">
            <v>105</v>
          </cell>
          <cell r="X487">
            <v>70</v>
          </cell>
          <cell r="Y487">
            <v>1.5</v>
          </cell>
          <cell r="Z487">
            <v>49</v>
          </cell>
          <cell r="AA487">
            <v>49</v>
          </cell>
          <cell r="AB487">
            <v>59.29</v>
          </cell>
          <cell r="AC487">
            <v>59.300000000000004</v>
          </cell>
        </row>
        <row r="488">
          <cell r="H488" t="str">
            <v>8715738898899</v>
          </cell>
          <cell r="I488" t="str">
            <v>2026 Bridle Set Ranger Parawing</v>
          </cell>
          <cell r="J488" t="str">
            <v>999</v>
          </cell>
          <cell r="K488" t="str">
            <v>Multiple Color</v>
          </cell>
          <cell r="L488" t="str">
            <v>2.2m</v>
          </cell>
          <cell r="M488" t="str">
            <v xml:space="preserve">Carry Over </v>
          </cell>
          <cell r="N488" t="str">
            <v xml:space="preserve">Bridles &amp; Bladders </v>
          </cell>
          <cell r="P488" t="str">
            <v>85006.2602659992.2m</v>
          </cell>
          <cell r="Q488">
            <v>473</v>
          </cell>
          <cell r="R488">
            <v>0</v>
          </cell>
          <cell r="S488">
            <v>0</v>
          </cell>
          <cell r="T488">
            <v>160</v>
          </cell>
          <cell r="U488">
            <v>106.69999999999999</v>
          </cell>
          <cell r="V488">
            <v>106.66666666666667</v>
          </cell>
          <cell r="W488">
            <v>160</v>
          </cell>
          <cell r="X488">
            <v>106.69999999999999</v>
          </cell>
          <cell r="Y488">
            <v>1.499531396438613</v>
          </cell>
          <cell r="Z488">
            <v>74.666666666666671</v>
          </cell>
          <cell r="AA488">
            <v>74.699999999999989</v>
          </cell>
          <cell r="AB488">
            <v>90.346666666666664</v>
          </cell>
          <cell r="AC488">
            <v>90.399999999999991</v>
          </cell>
        </row>
        <row r="489">
          <cell r="H489" t="str">
            <v>8715738898905</v>
          </cell>
          <cell r="I489" t="str">
            <v>2026 Bridle Set Ranger Parawing</v>
          </cell>
          <cell r="J489" t="str">
            <v>999</v>
          </cell>
          <cell r="K489" t="str">
            <v>Multiple Color</v>
          </cell>
          <cell r="L489" t="str">
            <v>3.2m</v>
          </cell>
          <cell r="M489" t="str">
            <v xml:space="preserve">Carry Over </v>
          </cell>
          <cell r="N489" t="str">
            <v xml:space="preserve">Bridles &amp; Bladders </v>
          </cell>
          <cell r="P489" t="str">
            <v>85006.2602659993.2m</v>
          </cell>
          <cell r="Q489">
            <v>474</v>
          </cell>
          <cell r="R489">
            <v>0</v>
          </cell>
          <cell r="S489">
            <v>0</v>
          </cell>
          <cell r="T489">
            <v>180</v>
          </cell>
          <cell r="U489">
            <v>120</v>
          </cell>
          <cell r="V489">
            <v>120</v>
          </cell>
          <cell r="W489">
            <v>180</v>
          </cell>
          <cell r="X489">
            <v>120</v>
          </cell>
          <cell r="Y489">
            <v>1.5</v>
          </cell>
          <cell r="Z489">
            <v>84</v>
          </cell>
          <cell r="AA489">
            <v>84</v>
          </cell>
          <cell r="AB489">
            <v>101.64</v>
          </cell>
          <cell r="AC489">
            <v>101.69999999999999</v>
          </cell>
        </row>
        <row r="490">
          <cell r="H490" t="str">
            <v>8715738898912</v>
          </cell>
          <cell r="I490" t="str">
            <v>2026 Bridle Set Ranger Parawing</v>
          </cell>
          <cell r="J490" t="str">
            <v>999</v>
          </cell>
          <cell r="K490" t="str">
            <v>Multiple Color</v>
          </cell>
          <cell r="L490" t="str">
            <v>4.2m</v>
          </cell>
          <cell r="M490" t="str">
            <v xml:space="preserve">Carry Over </v>
          </cell>
          <cell r="N490" t="str">
            <v xml:space="preserve">Bridles &amp; Bladders </v>
          </cell>
          <cell r="P490" t="str">
            <v>85006.2602659994.2m</v>
          </cell>
          <cell r="Q490">
            <v>475</v>
          </cell>
          <cell r="R490">
            <v>0</v>
          </cell>
          <cell r="S490">
            <v>0</v>
          </cell>
          <cell r="T490">
            <v>200</v>
          </cell>
          <cell r="U490">
            <v>133.4</v>
          </cell>
          <cell r="V490">
            <v>133.33333333333334</v>
          </cell>
          <cell r="W490">
            <v>200</v>
          </cell>
          <cell r="X490">
            <v>133.4</v>
          </cell>
          <cell r="Y490">
            <v>1.4992503748125936</v>
          </cell>
          <cell r="Z490">
            <v>93.333333333333329</v>
          </cell>
          <cell r="AA490">
            <v>93.399999999999991</v>
          </cell>
          <cell r="AB490">
            <v>112.93333333333332</v>
          </cell>
          <cell r="AC490">
            <v>113</v>
          </cell>
        </row>
        <row r="491">
          <cell r="H491" t="str">
            <v>8715738898929</v>
          </cell>
          <cell r="I491" t="str">
            <v>2026 Bridle Set Ranger Parawing</v>
          </cell>
          <cell r="J491" t="str">
            <v>999</v>
          </cell>
          <cell r="K491" t="str">
            <v>Multiple Color</v>
          </cell>
          <cell r="L491" t="str">
            <v>5.2m</v>
          </cell>
          <cell r="M491" t="str">
            <v xml:space="preserve">Carry Over </v>
          </cell>
          <cell r="N491" t="str">
            <v xml:space="preserve">Bridles &amp; Bladders </v>
          </cell>
          <cell r="P491" t="str">
            <v>85006.2602659995.2m</v>
          </cell>
          <cell r="Q491">
            <v>476</v>
          </cell>
          <cell r="R491">
            <v>0</v>
          </cell>
          <cell r="S491">
            <v>0</v>
          </cell>
          <cell r="T491">
            <v>220</v>
          </cell>
          <cell r="U491">
            <v>146.69999999999999</v>
          </cell>
          <cell r="V491">
            <v>146.66666666666666</v>
          </cell>
          <cell r="W491">
            <v>220</v>
          </cell>
          <cell r="X491">
            <v>146.69999999999999</v>
          </cell>
          <cell r="Y491">
            <v>1.4996591683708249</v>
          </cell>
          <cell r="Z491">
            <v>102.66666666666666</v>
          </cell>
          <cell r="AA491">
            <v>102.69999999999999</v>
          </cell>
          <cell r="AB491">
            <v>124.22666666666665</v>
          </cell>
          <cell r="AC491">
            <v>124.3</v>
          </cell>
        </row>
        <row r="492">
          <cell r="H492" t="str">
            <v>8715738889422</v>
          </cell>
          <cell r="I492" t="str">
            <v>Bladder Strut - Wing</v>
          </cell>
          <cell r="J492" t="str">
            <v>197</v>
          </cell>
          <cell r="K492" t="str">
            <v>Transparant</v>
          </cell>
          <cell r="L492" t="str">
            <v>W-S165</v>
          </cell>
          <cell r="M492" t="str">
            <v xml:space="preserve">Carry Over </v>
          </cell>
          <cell r="N492" t="str">
            <v xml:space="preserve">Bridles &amp; Bladders </v>
          </cell>
          <cell r="P492" t="str">
            <v>85006.250205197W-S165</v>
          </cell>
          <cell r="Q492">
            <v>477</v>
          </cell>
          <cell r="R492">
            <v>1</v>
          </cell>
          <cell r="S492">
            <v>1</v>
          </cell>
          <cell r="T492">
            <v>51.5</v>
          </cell>
          <cell r="U492">
            <v>34.4</v>
          </cell>
          <cell r="V492">
            <v>35</v>
          </cell>
          <cell r="W492">
            <v>52.5</v>
          </cell>
          <cell r="X492">
            <v>35</v>
          </cell>
          <cell r="Y492">
            <v>1.5</v>
          </cell>
          <cell r="Z492">
            <v>24.5</v>
          </cell>
          <cell r="AA492">
            <v>24.5</v>
          </cell>
          <cell r="AB492">
            <v>29.645</v>
          </cell>
          <cell r="AC492">
            <v>29.700000000000003</v>
          </cell>
        </row>
        <row r="493">
          <cell r="H493" t="str">
            <v>8715738889897</v>
          </cell>
          <cell r="I493" t="str">
            <v>Bladder Strut - Wing</v>
          </cell>
          <cell r="J493" t="str">
            <v>197</v>
          </cell>
          <cell r="K493" t="str">
            <v>Transparant</v>
          </cell>
          <cell r="L493" t="str">
            <v>W-S180</v>
          </cell>
          <cell r="M493" t="str">
            <v xml:space="preserve">Carry Over </v>
          </cell>
          <cell r="N493" t="str">
            <v xml:space="preserve">Bridles &amp; Bladders </v>
          </cell>
          <cell r="P493" t="str">
            <v>85006.250205197W-S180</v>
          </cell>
          <cell r="Q493">
            <v>478</v>
          </cell>
          <cell r="R493">
            <v>-1.5</v>
          </cell>
          <cell r="S493">
            <v>-1.5</v>
          </cell>
          <cell r="T493">
            <v>56.5</v>
          </cell>
          <cell r="U493">
            <v>37.700000000000003</v>
          </cell>
          <cell r="V493">
            <v>36.666666666666664</v>
          </cell>
          <cell r="W493">
            <v>55</v>
          </cell>
          <cell r="X493">
            <v>36.700000000000003</v>
          </cell>
          <cell r="Y493">
            <v>1.4986376021798364</v>
          </cell>
          <cell r="Z493">
            <v>25.666666666666664</v>
          </cell>
          <cell r="AA493">
            <v>25.700000000000003</v>
          </cell>
          <cell r="AB493">
            <v>31.056666666666661</v>
          </cell>
          <cell r="AC493">
            <v>31.1</v>
          </cell>
        </row>
        <row r="494">
          <cell r="H494" t="str">
            <v>8715738910782</v>
          </cell>
          <cell r="I494" t="str">
            <v>Bladder Strut - Wing</v>
          </cell>
          <cell r="J494" t="str">
            <v>197</v>
          </cell>
          <cell r="K494" t="str">
            <v>Transparant</v>
          </cell>
          <cell r="L494" t="str">
            <v>W-S190</v>
          </cell>
          <cell r="M494" t="str">
            <v>New sizes</v>
          </cell>
          <cell r="N494" t="str">
            <v xml:space="preserve">Bridles &amp; Bladders </v>
          </cell>
          <cell r="P494" t="str">
            <v>85006.250205197W-S190</v>
          </cell>
          <cell r="Q494">
            <v>479</v>
          </cell>
          <cell r="R494" t="e">
            <v>#VALUE!</v>
          </cell>
          <cell r="S494" t="e">
            <v>#VALUE!</v>
          </cell>
          <cell r="T494" t="str">
            <v/>
          </cell>
          <cell r="U494" t="str">
            <v/>
          </cell>
          <cell r="V494">
            <v>38.333333333333336</v>
          </cell>
          <cell r="W494">
            <v>57.5</v>
          </cell>
          <cell r="X494">
            <v>38.4</v>
          </cell>
          <cell r="Y494">
            <v>1.4973958333333335</v>
          </cell>
          <cell r="Z494">
            <v>26.833333333333332</v>
          </cell>
          <cell r="AA494">
            <v>26.900000000000002</v>
          </cell>
          <cell r="AB494">
            <v>32.468333333333334</v>
          </cell>
          <cell r="AC494">
            <v>32.5</v>
          </cell>
        </row>
        <row r="495">
          <cell r="H495" t="str">
            <v>8715738889903</v>
          </cell>
          <cell r="I495" t="str">
            <v>Bladder Strut - Wing</v>
          </cell>
          <cell r="J495" t="str">
            <v>197</v>
          </cell>
          <cell r="K495" t="str">
            <v>Transparant</v>
          </cell>
          <cell r="L495" t="str">
            <v>W-S195</v>
          </cell>
          <cell r="M495" t="str">
            <v xml:space="preserve">Carry Over </v>
          </cell>
          <cell r="N495" t="str">
            <v xml:space="preserve">Bridles &amp; Bladders </v>
          </cell>
          <cell r="P495" t="str">
            <v>85006.250205197W-S195</v>
          </cell>
          <cell r="Q495">
            <v>480</v>
          </cell>
          <cell r="R495">
            <v>-1.5</v>
          </cell>
          <cell r="S495">
            <v>-1.5</v>
          </cell>
          <cell r="T495">
            <v>61.5</v>
          </cell>
          <cell r="U495">
            <v>41</v>
          </cell>
          <cell r="V495">
            <v>40</v>
          </cell>
          <cell r="W495">
            <v>60</v>
          </cell>
          <cell r="X495">
            <v>40</v>
          </cell>
          <cell r="Y495">
            <v>1.5</v>
          </cell>
          <cell r="Z495">
            <v>28</v>
          </cell>
          <cell r="AA495">
            <v>28</v>
          </cell>
          <cell r="AB495">
            <v>33.879999999999995</v>
          </cell>
          <cell r="AC495">
            <v>33.9</v>
          </cell>
        </row>
        <row r="496">
          <cell r="H496" t="str">
            <v>8715738910799</v>
          </cell>
          <cell r="I496" t="str">
            <v>Bladder Strut - Wing</v>
          </cell>
          <cell r="J496" t="str">
            <v>197</v>
          </cell>
          <cell r="K496" t="str">
            <v>Transparant</v>
          </cell>
          <cell r="L496" t="str">
            <v>W-S200</v>
          </cell>
          <cell r="M496" t="str">
            <v>New sizes</v>
          </cell>
          <cell r="N496" t="str">
            <v xml:space="preserve">Bridles &amp; Bladders </v>
          </cell>
          <cell r="P496" t="str">
            <v>85006.250205197W-S200</v>
          </cell>
          <cell r="Q496">
            <v>481</v>
          </cell>
          <cell r="R496" t="e">
            <v>#VALUE!</v>
          </cell>
          <cell r="S496" t="e">
            <v>#VALUE!</v>
          </cell>
          <cell r="T496" t="str">
            <v/>
          </cell>
          <cell r="U496" t="str">
            <v/>
          </cell>
          <cell r="V496">
            <v>41.666666666666664</v>
          </cell>
          <cell r="W496">
            <v>62.5</v>
          </cell>
          <cell r="X496">
            <v>41.7</v>
          </cell>
          <cell r="Y496">
            <v>1.4988009592326139</v>
          </cell>
          <cell r="Z496">
            <v>29.166666666666664</v>
          </cell>
          <cell r="AA496">
            <v>29.200000000000003</v>
          </cell>
          <cell r="AB496">
            <v>35.291666666666664</v>
          </cell>
          <cell r="AC496">
            <v>35.300000000000004</v>
          </cell>
        </row>
        <row r="497">
          <cell r="H497" t="str">
            <v>8715738889910</v>
          </cell>
          <cell r="I497" t="str">
            <v>Bladder Strut - Wing</v>
          </cell>
          <cell r="J497" t="str">
            <v>197</v>
          </cell>
          <cell r="K497" t="str">
            <v>Transparant</v>
          </cell>
          <cell r="L497" t="str">
            <v>W-S215</v>
          </cell>
          <cell r="M497" t="str">
            <v xml:space="preserve">Carry Over </v>
          </cell>
          <cell r="N497" t="str">
            <v xml:space="preserve">Bridles &amp; Bladders </v>
          </cell>
          <cell r="P497" t="str">
            <v>85006.250205197W-S215</v>
          </cell>
          <cell r="Q497">
            <v>482</v>
          </cell>
          <cell r="R497">
            <v>-1.5</v>
          </cell>
          <cell r="S497">
            <v>-1.5</v>
          </cell>
          <cell r="T497">
            <v>66.5</v>
          </cell>
          <cell r="U497">
            <v>44.4</v>
          </cell>
          <cell r="V497">
            <v>43.333333333333336</v>
          </cell>
          <cell r="W497">
            <v>65</v>
          </cell>
          <cell r="X497">
            <v>43.4</v>
          </cell>
          <cell r="Y497">
            <v>1.4976958525345623</v>
          </cell>
          <cell r="Z497">
            <v>30.333333333333332</v>
          </cell>
          <cell r="AA497">
            <v>30.400000000000002</v>
          </cell>
          <cell r="AB497">
            <v>36.703333333333333</v>
          </cell>
          <cell r="AC497">
            <v>36.800000000000004</v>
          </cell>
        </row>
        <row r="498">
          <cell r="H498" t="str">
            <v>8715738910805</v>
          </cell>
          <cell r="I498" t="str">
            <v>Bladder Strut - Wing</v>
          </cell>
          <cell r="J498" t="str">
            <v>197</v>
          </cell>
          <cell r="K498" t="str">
            <v>Transparant</v>
          </cell>
          <cell r="L498" t="str">
            <v>W-S220</v>
          </cell>
          <cell r="M498" t="str">
            <v>New sizes</v>
          </cell>
          <cell r="N498" t="str">
            <v xml:space="preserve">Bridles &amp; Bladders </v>
          </cell>
          <cell r="P498" t="str">
            <v>85006.250205197W-S220</v>
          </cell>
          <cell r="Q498">
            <v>483</v>
          </cell>
          <cell r="R498" t="e">
            <v>#VALUE!</v>
          </cell>
          <cell r="S498" t="e">
            <v>#VALUE!</v>
          </cell>
          <cell r="T498" t="str">
            <v/>
          </cell>
          <cell r="U498" t="str">
            <v/>
          </cell>
          <cell r="V498">
            <v>45</v>
          </cell>
          <cell r="W498">
            <v>67.5</v>
          </cell>
          <cell r="X498">
            <v>45</v>
          </cell>
          <cell r="Y498">
            <v>1.5</v>
          </cell>
          <cell r="Z498">
            <v>31.499999999999996</v>
          </cell>
          <cell r="AA498">
            <v>31.5</v>
          </cell>
          <cell r="AB498">
            <v>38.114999999999995</v>
          </cell>
          <cell r="AC498">
            <v>38.200000000000003</v>
          </cell>
        </row>
        <row r="499">
          <cell r="H499" t="str">
            <v>8715738889927</v>
          </cell>
          <cell r="I499" t="str">
            <v>Bladder Strut - Wing</v>
          </cell>
          <cell r="J499" t="str">
            <v>197</v>
          </cell>
          <cell r="K499" t="str">
            <v>Transparant</v>
          </cell>
          <cell r="L499" t="str">
            <v>W-S225</v>
          </cell>
          <cell r="M499" t="str">
            <v xml:space="preserve">Carry Over </v>
          </cell>
          <cell r="N499" t="str">
            <v xml:space="preserve">Bridles &amp; Bladders </v>
          </cell>
          <cell r="P499" t="str">
            <v>85006.250205197W-S225</v>
          </cell>
          <cell r="Q499">
            <v>484</v>
          </cell>
          <cell r="R499">
            <v>-1.5</v>
          </cell>
          <cell r="S499">
            <v>-1.5</v>
          </cell>
          <cell r="T499">
            <v>71.5</v>
          </cell>
          <cell r="U499">
            <v>47.7</v>
          </cell>
          <cell r="V499">
            <v>46.666666666666664</v>
          </cell>
          <cell r="W499">
            <v>70</v>
          </cell>
          <cell r="X499">
            <v>46.7</v>
          </cell>
          <cell r="Y499">
            <v>1.4989293361884368</v>
          </cell>
          <cell r="Z499">
            <v>32.666666666666664</v>
          </cell>
          <cell r="AA499">
            <v>32.700000000000003</v>
          </cell>
          <cell r="AB499">
            <v>39.526666666666664</v>
          </cell>
          <cell r="AC499">
            <v>39.6</v>
          </cell>
        </row>
        <row r="500">
          <cell r="H500" t="str">
            <v>8715738889934</v>
          </cell>
          <cell r="I500" t="str">
            <v>Bladder Strut - Wing</v>
          </cell>
          <cell r="J500" t="str">
            <v>197</v>
          </cell>
          <cell r="K500" t="str">
            <v>Transparant</v>
          </cell>
          <cell r="L500" t="str">
            <v>W-S230</v>
          </cell>
          <cell r="M500" t="str">
            <v xml:space="preserve">Carry Over </v>
          </cell>
          <cell r="N500" t="str">
            <v xml:space="preserve">Bridles &amp; Bladders </v>
          </cell>
          <cell r="P500" t="str">
            <v>85006.250205197W-S230</v>
          </cell>
          <cell r="Q500">
            <v>485</v>
          </cell>
          <cell r="R500">
            <v>-4</v>
          </cell>
          <cell r="S500">
            <v>-4</v>
          </cell>
          <cell r="T500">
            <v>76.5</v>
          </cell>
          <cell r="U500">
            <v>51</v>
          </cell>
          <cell r="V500">
            <v>48.333333333333336</v>
          </cell>
          <cell r="W500">
            <v>72.5</v>
          </cell>
          <cell r="X500">
            <v>48.4</v>
          </cell>
          <cell r="Y500">
            <v>1.4979338842975207</v>
          </cell>
          <cell r="Z500">
            <v>33.833333333333336</v>
          </cell>
          <cell r="AA500">
            <v>33.9</v>
          </cell>
          <cell r="AB500">
            <v>40.938333333333333</v>
          </cell>
          <cell r="AC500">
            <v>41</v>
          </cell>
        </row>
        <row r="501">
          <cell r="H501" t="str">
            <v>8715738910812</v>
          </cell>
          <cell r="I501" t="str">
            <v>Bladder Strut - Wing</v>
          </cell>
          <cell r="J501" t="str">
            <v>197</v>
          </cell>
          <cell r="K501" t="str">
            <v>Transparant</v>
          </cell>
          <cell r="L501" t="str">
            <v>W-S235</v>
          </cell>
          <cell r="M501" t="str">
            <v>New sizes</v>
          </cell>
          <cell r="N501" t="str">
            <v xml:space="preserve">Bridles &amp; Bladders </v>
          </cell>
          <cell r="P501" t="str">
            <v>85006.250205197W-S235</v>
          </cell>
          <cell r="Q501">
            <v>486</v>
          </cell>
          <cell r="R501" t="e">
            <v>#VALUE!</v>
          </cell>
          <cell r="S501" t="e">
            <v>#VALUE!</v>
          </cell>
          <cell r="T501" t="str">
            <v/>
          </cell>
          <cell r="U501" t="str">
            <v/>
          </cell>
          <cell r="V501">
            <v>50</v>
          </cell>
          <cell r="W501">
            <v>75</v>
          </cell>
          <cell r="X501">
            <v>50</v>
          </cell>
          <cell r="Y501">
            <v>1.5</v>
          </cell>
          <cell r="Z501">
            <v>35</v>
          </cell>
          <cell r="AA501">
            <v>35</v>
          </cell>
          <cell r="AB501">
            <v>42.35</v>
          </cell>
          <cell r="AC501">
            <v>42.4</v>
          </cell>
        </row>
        <row r="502">
          <cell r="H502" t="str">
            <v>8715738910829</v>
          </cell>
          <cell r="I502" t="str">
            <v>Bladder Strut - Wing</v>
          </cell>
          <cell r="J502" t="str">
            <v>197</v>
          </cell>
          <cell r="K502" t="str">
            <v>Transparant</v>
          </cell>
          <cell r="L502" t="str">
            <v>W-S250</v>
          </cell>
          <cell r="M502" t="str">
            <v>New sizes</v>
          </cell>
          <cell r="N502" t="str">
            <v xml:space="preserve">Bridles &amp; Bladders </v>
          </cell>
          <cell r="P502" t="str">
            <v>85006.250205197W-S250</v>
          </cell>
          <cell r="Q502">
            <v>487</v>
          </cell>
          <cell r="R502" t="e">
            <v>#VALUE!</v>
          </cell>
          <cell r="S502" t="e">
            <v>#VALUE!</v>
          </cell>
          <cell r="T502" t="str">
            <v/>
          </cell>
          <cell r="U502" t="str">
            <v/>
          </cell>
          <cell r="V502">
            <v>51.666666666666664</v>
          </cell>
          <cell r="W502">
            <v>77.5</v>
          </cell>
          <cell r="X502">
            <v>51.7</v>
          </cell>
          <cell r="Y502">
            <v>1.4990328820116052</v>
          </cell>
          <cell r="Z502">
            <v>36.166666666666664</v>
          </cell>
          <cell r="AA502">
            <v>36.200000000000003</v>
          </cell>
          <cell r="AB502">
            <v>43.761666666666663</v>
          </cell>
          <cell r="AC502">
            <v>43.800000000000004</v>
          </cell>
        </row>
        <row r="503">
          <cell r="H503" t="str">
            <v>8715738910836</v>
          </cell>
          <cell r="I503" t="str">
            <v>Bladder Strut - Wing</v>
          </cell>
          <cell r="J503" t="str">
            <v>197</v>
          </cell>
          <cell r="K503" t="str">
            <v>Transparant</v>
          </cell>
          <cell r="L503" t="str">
            <v>W-S270</v>
          </cell>
          <cell r="M503" t="str">
            <v>New sizes</v>
          </cell>
          <cell r="N503" t="str">
            <v xml:space="preserve">Bridles &amp; Bladders </v>
          </cell>
          <cell r="P503" t="str">
            <v>85006.250205197W-S270</v>
          </cell>
          <cell r="Q503">
            <v>488</v>
          </cell>
          <cell r="R503" t="e">
            <v>#VALUE!</v>
          </cell>
          <cell r="S503" t="e">
            <v>#VALUE!</v>
          </cell>
          <cell r="T503" t="str">
            <v/>
          </cell>
          <cell r="U503" t="str">
            <v/>
          </cell>
          <cell r="V503">
            <v>53.333333333333336</v>
          </cell>
          <cell r="W503">
            <v>80</v>
          </cell>
          <cell r="X503">
            <v>53.4</v>
          </cell>
          <cell r="Y503">
            <v>1.4981273408239701</v>
          </cell>
          <cell r="Z503">
            <v>37.333333333333336</v>
          </cell>
          <cell r="AA503">
            <v>37.4</v>
          </cell>
          <cell r="AB503">
            <v>45.173333333333332</v>
          </cell>
          <cell r="AC503">
            <v>45.2</v>
          </cell>
        </row>
        <row r="504">
          <cell r="H504" t="str">
            <v>8715738889989</v>
          </cell>
          <cell r="I504" t="str">
            <v>Bladder Strut - Wing</v>
          </cell>
          <cell r="J504" t="str">
            <v>197</v>
          </cell>
          <cell r="K504" t="str">
            <v>Transparant</v>
          </cell>
          <cell r="L504" t="str">
            <v>W-S290</v>
          </cell>
          <cell r="M504" t="str">
            <v xml:space="preserve">Carry Over </v>
          </cell>
          <cell r="N504" t="str">
            <v xml:space="preserve">Bridles &amp; Bladders </v>
          </cell>
          <cell r="P504" t="str">
            <v>85006.250205197W-S290</v>
          </cell>
          <cell r="Q504">
            <v>489</v>
          </cell>
          <cell r="R504">
            <v>-32.5</v>
          </cell>
          <cell r="S504">
            <v>-32.5</v>
          </cell>
          <cell r="T504">
            <v>117.5</v>
          </cell>
          <cell r="U504">
            <v>78.399999999999991</v>
          </cell>
          <cell r="V504">
            <v>56.666666666666664</v>
          </cell>
          <cell r="W504">
            <v>85</v>
          </cell>
          <cell r="X504">
            <v>56.7</v>
          </cell>
          <cell r="Y504">
            <v>1.4991181657848325</v>
          </cell>
          <cell r="Z504">
            <v>39.666666666666664</v>
          </cell>
          <cell r="AA504">
            <v>39.700000000000003</v>
          </cell>
          <cell r="AB504">
            <v>47.996666666666663</v>
          </cell>
          <cell r="AC504">
            <v>48</v>
          </cell>
        </row>
        <row r="505">
          <cell r="H505" t="str">
            <v>8715738910843</v>
          </cell>
          <cell r="I505" t="str">
            <v>Bladder Strut - Wing</v>
          </cell>
          <cell r="J505" t="str">
            <v>197</v>
          </cell>
          <cell r="K505" t="str">
            <v>Transparant</v>
          </cell>
          <cell r="L505" t="str">
            <v>W-S310</v>
          </cell>
          <cell r="M505" t="str">
            <v>New sizes</v>
          </cell>
          <cell r="N505" t="str">
            <v xml:space="preserve">Bridles &amp; Bladders </v>
          </cell>
          <cell r="P505" t="str">
            <v>85006.250205197W-S310</v>
          </cell>
          <cell r="Q505">
            <v>490</v>
          </cell>
          <cell r="R505" t="e">
            <v>#VALUE!</v>
          </cell>
          <cell r="S505" t="e">
            <v>#VALUE!</v>
          </cell>
          <cell r="T505" t="str">
            <v/>
          </cell>
          <cell r="U505" t="str">
            <v/>
          </cell>
          <cell r="V505">
            <v>60</v>
          </cell>
          <cell r="W505">
            <v>90</v>
          </cell>
          <cell r="X505">
            <v>60</v>
          </cell>
          <cell r="Y505">
            <v>1.5</v>
          </cell>
          <cell r="Z505">
            <v>42</v>
          </cell>
          <cell r="AA505">
            <v>42</v>
          </cell>
          <cell r="AB505">
            <v>50.82</v>
          </cell>
          <cell r="AC505">
            <v>50.9</v>
          </cell>
        </row>
        <row r="506">
          <cell r="H506" t="str">
            <v>8715738889996</v>
          </cell>
          <cell r="I506" t="str">
            <v>Bladder Leading Edge - Wing</v>
          </cell>
          <cell r="J506" t="str">
            <v>197</v>
          </cell>
          <cell r="K506" t="str">
            <v>Transparant</v>
          </cell>
          <cell r="L506" t="str">
            <v>W-LE370</v>
          </cell>
          <cell r="M506" t="str">
            <v xml:space="preserve">Carry Over </v>
          </cell>
          <cell r="N506" t="str">
            <v xml:space="preserve">Bridles &amp; Bladders </v>
          </cell>
          <cell r="P506" t="str">
            <v>85006.250206197W-LE370</v>
          </cell>
          <cell r="Q506">
            <v>491</v>
          </cell>
          <cell r="R506">
            <v>0</v>
          </cell>
          <cell r="S506">
            <v>0</v>
          </cell>
          <cell r="T506">
            <v>92.5</v>
          </cell>
          <cell r="U506">
            <v>61.7</v>
          </cell>
          <cell r="V506">
            <v>61.666666666666664</v>
          </cell>
          <cell r="W506">
            <v>92.5</v>
          </cell>
          <cell r="X506">
            <v>61.7</v>
          </cell>
          <cell r="Y506">
            <v>1.499189627228525</v>
          </cell>
          <cell r="Z506">
            <v>43.166666666666664</v>
          </cell>
          <cell r="AA506">
            <v>43.2</v>
          </cell>
          <cell r="AB506">
            <v>52.231666666666662</v>
          </cell>
          <cell r="AC506">
            <v>52.300000000000004</v>
          </cell>
        </row>
        <row r="507">
          <cell r="H507" t="str">
            <v>8715738890008</v>
          </cell>
          <cell r="I507" t="str">
            <v>Bladder Leading Edge - Wing</v>
          </cell>
          <cell r="J507" t="str">
            <v>197</v>
          </cell>
          <cell r="K507" t="str">
            <v>Transparant</v>
          </cell>
          <cell r="L507" t="str">
            <v>W-LE425</v>
          </cell>
          <cell r="M507" t="str">
            <v xml:space="preserve">Carry Over </v>
          </cell>
          <cell r="N507" t="str">
            <v xml:space="preserve">Bridles &amp; Bladders </v>
          </cell>
          <cell r="P507" t="str">
            <v>85006.250206197W-LE425</v>
          </cell>
          <cell r="Q507">
            <v>492</v>
          </cell>
          <cell r="R507">
            <v>0</v>
          </cell>
          <cell r="S507">
            <v>0</v>
          </cell>
          <cell r="T507">
            <v>97.5</v>
          </cell>
          <cell r="U507">
            <v>65</v>
          </cell>
          <cell r="V507">
            <v>65</v>
          </cell>
          <cell r="W507">
            <v>97.5</v>
          </cell>
          <cell r="X507">
            <v>65</v>
          </cell>
          <cell r="Y507">
            <v>1.5</v>
          </cell>
          <cell r="Z507">
            <v>45.5</v>
          </cell>
          <cell r="AA507">
            <v>45.5</v>
          </cell>
          <cell r="AB507">
            <v>55.055</v>
          </cell>
          <cell r="AC507">
            <v>55.1</v>
          </cell>
        </row>
        <row r="508">
          <cell r="H508" t="str">
            <v>8715738890015</v>
          </cell>
          <cell r="I508" t="str">
            <v>Bladder Leading Edge - Wing</v>
          </cell>
          <cell r="J508" t="str">
            <v>197</v>
          </cell>
          <cell r="K508" t="str">
            <v>Transparant</v>
          </cell>
          <cell r="L508" t="str">
            <v>W-LE465</v>
          </cell>
          <cell r="M508" t="str">
            <v xml:space="preserve">Carry Over </v>
          </cell>
          <cell r="N508" t="str">
            <v xml:space="preserve">Bridles &amp; Bladders </v>
          </cell>
          <cell r="P508" t="str">
            <v>85006.250206197W-LE465</v>
          </cell>
          <cell r="Q508">
            <v>493</v>
          </cell>
          <cell r="R508">
            <v>0</v>
          </cell>
          <cell r="S508">
            <v>0</v>
          </cell>
          <cell r="T508">
            <v>102.5</v>
          </cell>
          <cell r="U508">
            <v>68.399999999999991</v>
          </cell>
          <cell r="V508">
            <v>68.333333333333329</v>
          </cell>
          <cell r="W508">
            <v>102.5</v>
          </cell>
          <cell r="X508">
            <v>68.399999999999991</v>
          </cell>
          <cell r="Y508">
            <v>1.4985380116959066</v>
          </cell>
          <cell r="Z508">
            <v>47.833333333333329</v>
          </cell>
          <cell r="AA508">
            <v>47.9</v>
          </cell>
          <cell r="AB508">
            <v>57.878333333333323</v>
          </cell>
          <cell r="AC508">
            <v>57.9</v>
          </cell>
        </row>
        <row r="509">
          <cell r="H509" t="str">
            <v>8715738910850</v>
          </cell>
          <cell r="I509" t="str">
            <v>Bladder Leading Edge - Wing</v>
          </cell>
          <cell r="J509" t="str">
            <v>197</v>
          </cell>
          <cell r="K509" t="str">
            <v>Transparant</v>
          </cell>
          <cell r="L509" t="str">
            <v>W-LE500</v>
          </cell>
          <cell r="M509" t="str">
            <v>New sizes</v>
          </cell>
          <cell r="N509" t="str">
            <v xml:space="preserve">Bridles &amp; Bladders </v>
          </cell>
          <cell r="P509" t="str">
            <v>85006.250206197W-LE500</v>
          </cell>
          <cell r="Q509">
            <v>494</v>
          </cell>
          <cell r="R509" t="e">
            <v>#VALUE!</v>
          </cell>
          <cell r="S509" t="e">
            <v>#VALUE!</v>
          </cell>
          <cell r="T509" t="str">
            <v/>
          </cell>
          <cell r="U509" t="str">
            <v/>
          </cell>
          <cell r="V509">
            <v>71.666666666666671</v>
          </cell>
          <cell r="W509">
            <v>107.5</v>
          </cell>
          <cell r="X509">
            <v>71.699999999999989</v>
          </cell>
          <cell r="Y509">
            <v>1.4993026499302653</v>
          </cell>
          <cell r="Z509">
            <v>50.166666666666664</v>
          </cell>
          <cell r="AA509">
            <v>50.2</v>
          </cell>
          <cell r="AB509">
            <v>60.701666666666661</v>
          </cell>
          <cell r="AC509">
            <v>60.800000000000004</v>
          </cell>
        </row>
        <row r="510">
          <cell r="H510" t="str">
            <v>8715738890022</v>
          </cell>
          <cell r="I510" t="str">
            <v>Bladder Leading Edge - Wing</v>
          </cell>
          <cell r="J510" t="str">
            <v>197</v>
          </cell>
          <cell r="K510" t="str">
            <v>Transparant</v>
          </cell>
          <cell r="L510" t="str">
            <v>W-LE515</v>
          </cell>
          <cell r="M510" t="str">
            <v xml:space="preserve">Carry Over </v>
          </cell>
          <cell r="N510" t="str">
            <v xml:space="preserve">Bridles &amp; Bladders </v>
          </cell>
          <cell r="P510" t="str">
            <v>85006.250206197W-LE515</v>
          </cell>
          <cell r="Q510">
            <v>495</v>
          </cell>
          <cell r="R510">
            <v>5</v>
          </cell>
          <cell r="S510">
            <v>5</v>
          </cell>
          <cell r="T510">
            <v>107.5</v>
          </cell>
          <cell r="U510">
            <v>71.699999999999989</v>
          </cell>
          <cell r="V510">
            <v>75</v>
          </cell>
          <cell r="W510">
            <v>112.5</v>
          </cell>
          <cell r="X510">
            <v>75</v>
          </cell>
          <cell r="Y510">
            <v>1.5</v>
          </cell>
          <cell r="Z510">
            <v>52.5</v>
          </cell>
          <cell r="AA510">
            <v>52.5</v>
          </cell>
          <cell r="AB510">
            <v>63.524999999999999</v>
          </cell>
          <cell r="AC510">
            <v>63.6</v>
          </cell>
        </row>
        <row r="511">
          <cell r="H511" t="str">
            <v>8715738890039</v>
          </cell>
          <cell r="I511" t="str">
            <v>Bladder Leading Edge - Wing</v>
          </cell>
          <cell r="J511" t="str">
            <v>197</v>
          </cell>
          <cell r="K511" t="str">
            <v>Transparant</v>
          </cell>
          <cell r="L511" t="str">
            <v>W-LE535</v>
          </cell>
          <cell r="M511" t="str">
            <v xml:space="preserve">Carry Over </v>
          </cell>
          <cell r="N511" t="str">
            <v xml:space="preserve">Bridles &amp; Bladders </v>
          </cell>
          <cell r="P511" t="str">
            <v>85006.250206197W-LE535</v>
          </cell>
          <cell r="Q511">
            <v>496</v>
          </cell>
          <cell r="R511">
            <v>5</v>
          </cell>
          <cell r="S511">
            <v>5</v>
          </cell>
          <cell r="T511">
            <v>112.5</v>
          </cell>
          <cell r="U511">
            <v>75</v>
          </cell>
          <cell r="V511">
            <v>78.333333333333329</v>
          </cell>
          <cell r="W511">
            <v>117.5</v>
          </cell>
          <cell r="X511">
            <v>78.399999999999991</v>
          </cell>
          <cell r="Y511">
            <v>1.4987244897959184</v>
          </cell>
          <cell r="Z511">
            <v>54.833333333333329</v>
          </cell>
          <cell r="AA511">
            <v>54.9</v>
          </cell>
          <cell r="AB511">
            <v>66.348333333333329</v>
          </cell>
          <cell r="AC511">
            <v>66.399999999999991</v>
          </cell>
        </row>
        <row r="512">
          <cell r="H512" t="str">
            <v>8715738910867</v>
          </cell>
          <cell r="I512" t="str">
            <v>Bladder Leading Edge - Wing</v>
          </cell>
          <cell r="J512" t="str">
            <v>197</v>
          </cell>
          <cell r="K512" t="str">
            <v>Transparant</v>
          </cell>
          <cell r="L512" t="str">
            <v>W-LE545</v>
          </cell>
          <cell r="M512" t="str">
            <v>New sizes</v>
          </cell>
          <cell r="N512" t="str">
            <v xml:space="preserve">Bridles &amp; Bladders </v>
          </cell>
          <cell r="P512" t="str">
            <v>85006.250206197W-LE545</v>
          </cell>
          <cell r="Q512">
            <v>497</v>
          </cell>
          <cell r="R512" t="e">
            <v>#VALUE!</v>
          </cell>
          <cell r="S512" t="e">
            <v>#VALUE!</v>
          </cell>
          <cell r="T512" t="str">
            <v/>
          </cell>
          <cell r="U512" t="str">
            <v/>
          </cell>
          <cell r="V512">
            <v>81.666666666666671</v>
          </cell>
          <cell r="W512">
            <v>122.5</v>
          </cell>
          <cell r="X512">
            <v>81.699999999999989</v>
          </cell>
          <cell r="Y512">
            <v>1.4993880048959611</v>
          </cell>
          <cell r="Z512">
            <v>57.166666666666664</v>
          </cell>
          <cell r="AA512">
            <v>57.2</v>
          </cell>
          <cell r="AB512">
            <v>69.171666666666667</v>
          </cell>
          <cell r="AC512">
            <v>69.199999999999989</v>
          </cell>
        </row>
        <row r="513">
          <cell r="H513" t="str">
            <v>8715738890046</v>
          </cell>
          <cell r="I513" t="str">
            <v>Bladder Leading Edge - Wing</v>
          </cell>
          <cell r="J513" t="str">
            <v>197</v>
          </cell>
          <cell r="K513" t="str">
            <v>Transparant</v>
          </cell>
          <cell r="L513" t="str">
            <v>W-LE565</v>
          </cell>
          <cell r="M513" t="str">
            <v xml:space="preserve">Carry Over </v>
          </cell>
          <cell r="N513" t="str">
            <v xml:space="preserve">Bridles &amp; Bladders </v>
          </cell>
          <cell r="P513" t="str">
            <v>85006.250206197W-LE565</v>
          </cell>
          <cell r="Q513">
            <v>498</v>
          </cell>
          <cell r="R513">
            <v>5</v>
          </cell>
          <cell r="S513">
            <v>5</v>
          </cell>
          <cell r="T513">
            <v>122.5</v>
          </cell>
          <cell r="U513">
            <v>81.699999999999989</v>
          </cell>
          <cell r="V513">
            <v>85</v>
          </cell>
          <cell r="W513">
            <v>127.5</v>
          </cell>
          <cell r="X513">
            <v>85</v>
          </cell>
          <cell r="Y513">
            <v>1.5</v>
          </cell>
          <cell r="Z513">
            <v>59.499999999999993</v>
          </cell>
          <cell r="AA513">
            <v>59.5</v>
          </cell>
          <cell r="AB513">
            <v>71.99499999999999</v>
          </cell>
          <cell r="AC513">
            <v>72</v>
          </cell>
        </row>
        <row r="514">
          <cell r="H514" t="str">
            <v>8715738910904</v>
          </cell>
          <cell r="I514" t="str">
            <v>Bladder Leading Edge - Wing</v>
          </cell>
          <cell r="J514" t="str">
            <v>197</v>
          </cell>
          <cell r="K514" t="str">
            <v>Transparant</v>
          </cell>
          <cell r="L514" t="str">
            <v>W-LE585</v>
          </cell>
          <cell r="M514" t="str">
            <v>New sizes</v>
          </cell>
          <cell r="N514" t="str">
            <v xml:space="preserve">Bridles &amp; Bladders </v>
          </cell>
          <cell r="P514" t="str">
            <v>85006.250206197W-LE585</v>
          </cell>
          <cell r="Q514">
            <v>499</v>
          </cell>
          <cell r="R514" t="e">
            <v>#VALUE!</v>
          </cell>
          <cell r="S514" t="e">
            <v>#VALUE!</v>
          </cell>
          <cell r="T514" t="str">
            <v/>
          </cell>
          <cell r="U514" t="str">
            <v/>
          </cell>
          <cell r="V514">
            <v>88.333333333333329</v>
          </cell>
          <cell r="W514">
            <v>132.5</v>
          </cell>
          <cell r="X514">
            <v>88.399999999999991</v>
          </cell>
          <cell r="Y514">
            <v>1.4988687782805432</v>
          </cell>
          <cell r="Z514">
            <v>61.833333333333329</v>
          </cell>
          <cell r="AA514">
            <v>61.9</v>
          </cell>
          <cell r="AB514">
            <v>74.818333333333328</v>
          </cell>
          <cell r="AC514">
            <v>74.899999999999991</v>
          </cell>
        </row>
        <row r="515">
          <cell r="H515" t="str">
            <v>8715738889675</v>
          </cell>
          <cell r="I515" t="str">
            <v>Bladder Leading Edge - Wing</v>
          </cell>
          <cell r="J515" t="str">
            <v>197</v>
          </cell>
          <cell r="K515" t="str">
            <v>Transparant</v>
          </cell>
          <cell r="L515" t="str">
            <v>W-LE615</v>
          </cell>
          <cell r="M515" t="str">
            <v xml:space="preserve">Carry Over </v>
          </cell>
          <cell r="N515" t="str">
            <v xml:space="preserve">Bridles &amp; Bladders </v>
          </cell>
          <cell r="P515" t="str">
            <v>85006.250206197W-LE615</v>
          </cell>
          <cell r="Q515">
            <v>500</v>
          </cell>
          <cell r="R515">
            <v>5</v>
          </cell>
          <cell r="S515">
            <v>5</v>
          </cell>
          <cell r="T515">
            <v>132.5</v>
          </cell>
          <cell r="U515">
            <v>88.399999999999991</v>
          </cell>
          <cell r="V515">
            <v>91.666666666666671</v>
          </cell>
          <cell r="W515">
            <v>137.5</v>
          </cell>
          <cell r="X515">
            <v>91.699999999999989</v>
          </cell>
          <cell r="Y515">
            <v>1.4994547437295531</v>
          </cell>
          <cell r="Z515">
            <v>64.166666666666671</v>
          </cell>
          <cell r="AA515">
            <v>64.199999999999989</v>
          </cell>
          <cell r="AB515">
            <v>77.641666666666666</v>
          </cell>
          <cell r="AC515">
            <v>77.699999999999989</v>
          </cell>
        </row>
        <row r="516">
          <cell r="H516" t="str">
            <v>8715738910874</v>
          </cell>
          <cell r="I516" t="str">
            <v>Bladder Leading Edge - Wing</v>
          </cell>
          <cell r="J516" t="str">
            <v>197</v>
          </cell>
          <cell r="K516" t="str">
            <v>Transparant</v>
          </cell>
          <cell r="L516" t="str">
            <v>W-LE620</v>
          </cell>
          <cell r="M516" t="str">
            <v>New sizes</v>
          </cell>
          <cell r="N516" t="str">
            <v xml:space="preserve">Bridles &amp; Bladders </v>
          </cell>
          <cell r="P516" t="str">
            <v>85006.250206197W-LE620</v>
          </cell>
          <cell r="Q516">
            <v>501</v>
          </cell>
          <cell r="R516" t="e">
            <v>#VALUE!</v>
          </cell>
          <cell r="S516" t="e">
            <v>#VALUE!</v>
          </cell>
          <cell r="T516" t="str">
            <v/>
          </cell>
          <cell r="U516" t="str">
            <v/>
          </cell>
          <cell r="V516">
            <v>95.666666666666671</v>
          </cell>
          <cell r="W516">
            <v>143.5</v>
          </cell>
          <cell r="X516">
            <v>95.699999999999989</v>
          </cell>
          <cell r="Y516">
            <v>1.4994775339602928</v>
          </cell>
          <cell r="Z516">
            <v>66.966666666666669</v>
          </cell>
          <cell r="AA516">
            <v>67</v>
          </cell>
          <cell r="AB516">
            <v>81.029666666666671</v>
          </cell>
          <cell r="AC516">
            <v>81.099999999999994</v>
          </cell>
        </row>
        <row r="517">
          <cell r="H517" t="str">
            <v>8715738910881</v>
          </cell>
          <cell r="I517" t="str">
            <v>Bladder Leading Edge - Wing</v>
          </cell>
          <cell r="J517" t="str">
            <v>197</v>
          </cell>
          <cell r="K517" t="str">
            <v>Transparant</v>
          </cell>
          <cell r="L517" t="str">
            <v>W-LE695</v>
          </cell>
          <cell r="M517" t="str">
            <v>New sizes</v>
          </cell>
          <cell r="N517" t="str">
            <v xml:space="preserve">Bridles &amp; Bladders </v>
          </cell>
          <cell r="P517" t="str">
            <v>85006.250206197W-LE695</v>
          </cell>
          <cell r="Q517">
            <v>502</v>
          </cell>
          <cell r="R517" t="e">
            <v>#VALUE!</v>
          </cell>
          <cell r="S517" t="e">
            <v>#VALUE!</v>
          </cell>
          <cell r="T517" t="str">
            <v/>
          </cell>
          <cell r="U517" t="str">
            <v/>
          </cell>
          <cell r="V517">
            <v>99</v>
          </cell>
          <cell r="W517">
            <v>148.5</v>
          </cell>
          <cell r="X517">
            <v>99</v>
          </cell>
          <cell r="Y517">
            <v>1.5</v>
          </cell>
          <cell r="Z517">
            <v>69.3</v>
          </cell>
          <cell r="AA517">
            <v>69.3</v>
          </cell>
          <cell r="AB517">
            <v>83.852999999999994</v>
          </cell>
          <cell r="AC517">
            <v>83.899999999999991</v>
          </cell>
        </row>
        <row r="518">
          <cell r="H518" t="str">
            <v>8715738910898</v>
          </cell>
          <cell r="I518" t="str">
            <v>Bladder Leading Edge - Wing</v>
          </cell>
          <cell r="J518" t="str">
            <v>197</v>
          </cell>
          <cell r="K518" t="str">
            <v>Transparant</v>
          </cell>
          <cell r="L518" t="str">
            <v>W-LE730</v>
          </cell>
          <cell r="M518" t="str">
            <v>New sizes</v>
          </cell>
          <cell r="N518" t="str">
            <v xml:space="preserve">Bridles &amp; Bladders </v>
          </cell>
          <cell r="P518" t="str">
            <v>85006.250206197W-LE730</v>
          </cell>
          <cell r="Q518">
            <v>503</v>
          </cell>
          <cell r="R518" t="e">
            <v>#VALUE!</v>
          </cell>
          <cell r="S518" t="e">
            <v>#VALUE!</v>
          </cell>
          <cell r="T518" t="str">
            <v/>
          </cell>
          <cell r="U518" t="str">
            <v/>
          </cell>
          <cell r="V518">
            <v>96.666666666666671</v>
          </cell>
          <cell r="W518">
            <v>145</v>
          </cell>
          <cell r="X518">
            <v>96.699999999999989</v>
          </cell>
          <cell r="Y518">
            <v>1.4994829369183043</v>
          </cell>
          <cell r="Z518">
            <v>67.666666666666671</v>
          </cell>
          <cell r="AA518">
            <v>67.699999999999989</v>
          </cell>
          <cell r="AB518">
            <v>81.876666666666665</v>
          </cell>
          <cell r="AC518">
            <v>81.899999999999991</v>
          </cell>
        </row>
        <row r="519">
          <cell r="H519" t="str">
            <v>8715738825277</v>
          </cell>
          <cell r="I519" t="str">
            <v>2024 Wing Dacron Repair Material</v>
          </cell>
          <cell r="J519" t="str">
            <v>900</v>
          </cell>
          <cell r="K519" t="str">
            <v>Black</v>
          </cell>
          <cell r="L519" t="str">
            <v>2mx1.42m</v>
          </cell>
          <cell r="M519" t="str">
            <v xml:space="preserve">Carry Over </v>
          </cell>
          <cell r="N519" t="str">
            <v xml:space="preserve">Bridles &amp; Bladders </v>
          </cell>
          <cell r="P519" t="str">
            <v>85015.2401259002mx1.42m</v>
          </cell>
          <cell r="Q519">
            <v>504</v>
          </cell>
          <cell r="R519">
            <v>0</v>
          </cell>
          <cell r="S519">
            <v>0</v>
          </cell>
          <cell r="T519">
            <v>92.5</v>
          </cell>
          <cell r="U519">
            <v>61.7</v>
          </cell>
          <cell r="V519">
            <v>61.666666666666664</v>
          </cell>
          <cell r="W519">
            <v>92.5</v>
          </cell>
          <cell r="X519">
            <v>61.7</v>
          </cell>
          <cell r="Y519">
            <v>1.499189627228525</v>
          </cell>
          <cell r="Z519">
            <v>43.166666666666664</v>
          </cell>
          <cell r="AA519">
            <v>43.2</v>
          </cell>
          <cell r="AB519">
            <v>52.231666666666662</v>
          </cell>
          <cell r="AC519">
            <v>52.300000000000004</v>
          </cell>
        </row>
        <row r="520">
          <cell r="H520" t="str">
            <v>8715738887022</v>
          </cell>
          <cell r="I520" t="str">
            <v>Canopy Repair Material N-X6</v>
          </cell>
          <cell r="J520" t="str">
            <v>900</v>
          </cell>
          <cell r="K520" t="str">
            <v>Black</v>
          </cell>
          <cell r="L520" t="str">
            <v>3m x1.5m</v>
          </cell>
          <cell r="M520" t="str">
            <v xml:space="preserve">Carry Over </v>
          </cell>
          <cell r="N520" t="str">
            <v xml:space="preserve">Bridles &amp; Bladders </v>
          </cell>
          <cell r="P520" t="str">
            <v>85015.2401309003m x1.5m</v>
          </cell>
          <cell r="Q520">
            <v>505</v>
          </cell>
          <cell r="R520">
            <v>0</v>
          </cell>
          <cell r="S520">
            <v>0</v>
          </cell>
          <cell r="T520">
            <v>92</v>
          </cell>
          <cell r="U520">
            <v>61.4</v>
          </cell>
          <cell r="V520">
            <v>61.333333333333336</v>
          </cell>
          <cell r="W520">
            <v>92</v>
          </cell>
          <cell r="X520">
            <v>61.4</v>
          </cell>
          <cell r="Y520">
            <v>1.498371335504886</v>
          </cell>
          <cell r="Z520">
            <v>42.93333333333333</v>
          </cell>
          <cell r="AA520">
            <v>43</v>
          </cell>
          <cell r="AB520">
            <v>51.949333333333328</v>
          </cell>
          <cell r="AC520">
            <v>52</v>
          </cell>
        </row>
        <row r="521">
          <cell r="H521" t="str">
            <v>8715738824393</v>
          </cell>
          <cell r="I521" t="str">
            <v>Hyperflow Inflation Valve Cover</v>
          </cell>
          <cell r="J521" t="str">
            <v>900</v>
          </cell>
          <cell r="K521" t="str">
            <v>Black</v>
          </cell>
          <cell r="L521" t="str">
            <v>O/S</v>
          </cell>
          <cell r="M521" t="str">
            <v xml:space="preserve">Carry Over </v>
          </cell>
          <cell r="N521" t="str">
            <v xml:space="preserve">Spare Parts </v>
          </cell>
          <cell r="P521" t="str">
            <v>85006.240052900O/S</v>
          </cell>
          <cell r="Q521">
            <v>506</v>
          </cell>
          <cell r="R521">
            <v>0</v>
          </cell>
          <cell r="S521">
            <v>0</v>
          </cell>
          <cell r="T521">
            <v>7.25</v>
          </cell>
          <cell r="U521">
            <v>4.8999999999999995</v>
          </cell>
          <cell r="V521">
            <v>4.833333333333333</v>
          </cell>
          <cell r="W521">
            <v>7.25</v>
          </cell>
          <cell r="X521">
            <v>4.8999999999999995</v>
          </cell>
          <cell r="Y521">
            <v>1.4795918367346941</v>
          </cell>
          <cell r="Z521">
            <v>3.3833333333333329</v>
          </cell>
          <cell r="AA521">
            <v>3.4</v>
          </cell>
          <cell r="AB521">
            <v>4.0938333333333325</v>
          </cell>
          <cell r="AC521">
            <v>4.0999999999999996</v>
          </cell>
        </row>
        <row r="522">
          <cell r="H522" t="str">
            <v>8715738824218</v>
          </cell>
          <cell r="I522" t="str">
            <v>Hyperflow Pinch Clamp set of 5</v>
          </cell>
          <cell r="J522" t="str">
            <v>900</v>
          </cell>
          <cell r="K522" t="str">
            <v>Black</v>
          </cell>
          <cell r="L522" t="str">
            <v>O/S</v>
          </cell>
          <cell r="M522" t="str">
            <v xml:space="preserve">Carry Over </v>
          </cell>
          <cell r="N522" t="str">
            <v xml:space="preserve">Spare Parts </v>
          </cell>
          <cell r="P522" t="str">
            <v>85006.240054900O/S</v>
          </cell>
          <cell r="Q522">
            <v>507</v>
          </cell>
          <cell r="R522">
            <v>0</v>
          </cell>
          <cell r="S522">
            <v>0</v>
          </cell>
          <cell r="T522">
            <v>7.25</v>
          </cell>
          <cell r="U522">
            <v>4.8999999999999995</v>
          </cell>
          <cell r="V522">
            <v>4.833333333333333</v>
          </cell>
          <cell r="W522">
            <v>7.25</v>
          </cell>
          <cell r="X522">
            <v>4.8999999999999995</v>
          </cell>
          <cell r="Y522">
            <v>1.4795918367346941</v>
          </cell>
          <cell r="Z522">
            <v>3.3833333333333329</v>
          </cell>
          <cell r="AA522">
            <v>3.4</v>
          </cell>
          <cell r="AB522">
            <v>4.0938333333333325</v>
          </cell>
          <cell r="AC522">
            <v>4.0999999999999996</v>
          </cell>
        </row>
        <row r="523">
          <cell r="H523" t="str">
            <v>8715738824225</v>
          </cell>
          <cell r="I523" t="str">
            <v>Hyperflow Pinch Clamp Cover set of 5</v>
          </cell>
          <cell r="J523" t="str">
            <v>900</v>
          </cell>
          <cell r="K523" t="str">
            <v>Black</v>
          </cell>
          <cell r="L523" t="str">
            <v>O/S</v>
          </cell>
          <cell r="M523" t="str">
            <v xml:space="preserve">Carry Over </v>
          </cell>
          <cell r="N523" t="str">
            <v xml:space="preserve">Spare Parts </v>
          </cell>
          <cell r="P523" t="str">
            <v>85006.240055900O/S</v>
          </cell>
          <cell r="Q523">
            <v>508</v>
          </cell>
          <cell r="R523">
            <v>0</v>
          </cell>
          <cell r="S523">
            <v>0</v>
          </cell>
          <cell r="T523">
            <v>12.5</v>
          </cell>
          <cell r="U523">
            <v>8.4</v>
          </cell>
          <cell r="V523">
            <v>8.3333333333333339</v>
          </cell>
          <cell r="W523">
            <v>12.5</v>
          </cell>
          <cell r="X523">
            <v>8.4</v>
          </cell>
          <cell r="Y523">
            <v>1.4880952380952381</v>
          </cell>
          <cell r="Z523">
            <v>5.833333333333333</v>
          </cell>
          <cell r="AA523">
            <v>5.8999999999999995</v>
          </cell>
          <cell r="AB523">
            <v>7.0583333333333327</v>
          </cell>
          <cell r="AC523">
            <v>7.1</v>
          </cell>
        </row>
        <row r="524">
          <cell r="H524" t="str">
            <v>8715738887312</v>
          </cell>
          <cell r="I524" t="str">
            <v>Hyperflow Inflation Valve Ring Seal Pack - Set of 25</v>
          </cell>
          <cell r="J524" t="str">
            <v>900</v>
          </cell>
          <cell r="K524" t="str">
            <v>Black</v>
          </cell>
          <cell r="L524" t="str">
            <v>O/S</v>
          </cell>
          <cell r="M524" t="str">
            <v xml:space="preserve">Carry Over </v>
          </cell>
          <cell r="N524" t="str">
            <v xml:space="preserve">Spare Parts </v>
          </cell>
          <cell r="P524" t="str">
            <v>85006.250270900O/S</v>
          </cell>
          <cell r="Q524">
            <v>509</v>
          </cell>
          <cell r="R524">
            <v>0</v>
          </cell>
          <cell r="S524">
            <v>0</v>
          </cell>
          <cell r="T524">
            <v>35.5</v>
          </cell>
          <cell r="U524">
            <v>23.700000000000003</v>
          </cell>
          <cell r="V524">
            <v>23.666666666666668</v>
          </cell>
          <cell r="W524">
            <v>35.5</v>
          </cell>
          <cell r="X524">
            <v>23.700000000000003</v>
          </cell>
          <cell r="Y524">
            <v>1.4978902953586497</v>
          </cell>
          <cell r="Z524">
            <v>16.566666666666666</v>
          </cell>
          <cell r="AA524">
            <v>16.600000000000001</v>
          </cell>
          <cell r="AB524">
            <v>20.045666666666666</v>
          </cell>
          <cell r="AC524">
            <v>20.100000000000001</v>
          </cell>
        </row>
        <row r="525">
          <cell r="H525" t="str">
            <v>8715738742741</v>
          </cell>
          <cell r="I525" t="str">
            <v>Short Freeride Loop with Finger</v>
          </cell>
          <cell r="J525" t="str">
            <v>900</v>
          </cell>
          <cell r="K525" t="str">
            <v>Black</v>
          </cell>
          <cell r="L525" t="str">
            <v>O/S</v>
          </cell>
          <cell r="M525" t="str">
            <v xml:space="preserve">Carry Over </v>
          </cell>
          <cell r="N525" t="str">
            <v xml:space="preserve">Spare Parts </v>
          </cell>
          <cell r="P525" t="str">
            <v>85007.220022900O/S</v>
          </cell>
          <cell r="Q525">
            <v>510</v>
          </cell>
          <cell r="R525">
            <v>0</v>
          </cell>
          <cell r="S525">
            <v>0</v>
          </cell>
          <cell r="T525">
            <v>41.5</v>
          </cell>
          <cell r="U525">
            <v>27.700000000000003</v>
          </cell>
          <cell r="V525">
            <v>27.666666666666668</v>
          </cell>
          <cell r="W525">
            <v>41.5</v>
          </cell>
          <cell r="X525">
            <v>27.700000000000003</v>
          </cell>
          <cell r="Y525">
            <v>1.4981949458483752</v>
          </cell>
          <cell r="Z525">
            <v>19.366666666666667</v>
          </cell>
          <cell r="AA525">
            <v>19.400000000000002</v>
          </cell>
          <cell r="AB525">
            <v>23.433666666666667</v>
          </cell>
          <cell r="AC525">
            <v>23.5</v>
          </cell>
        </row>
        <row r="526">
          <cell r="H526" t="str">
            <v>8715738742758</v>
          </cell>
          <cell r="I526" t="str">
            <v>Standard Freeride Loop with Finger</v>
          </cell>
          <cell r="J526" t="str">
            <v>900</v>
          </cell>
          <cell r="K526" t="str">
            <v>Black</v>
          </cell>
          <cell r="L526" t="str">
            <v>O/S</v>
          </cell>
          <cell r="M526" t="str">
            <v xml:space="preserve">Carry Over </v>
          </cell>
          <cell r="N526" t="str">
            <v xml:space="preserve">Spare Parts </v>
          </cell>
          <cell r="P526" t="str">
            <v>85007.220023900O/S</v>
          </cell>
          <cell r="Q526">
            <v>511</v>
          </cell>
          <cell r="R526">
            <v>0</v>
          </cell>
          <cell r="S526">
            <v>0</v>
          </cell>
          <cell r="T526">
            <v>41.5</v>
          </cell>
          <cell r="U526">
            <v>27.700000000000003</v>
          </cell>
          <cell r="V526">
            <v>27.666666666666668</v>
          </cell>
          <cell r="W526">
            <v>41.5</v>
          </cell>
          <cell r="X526">
            <v>27.700000000000003</v>
          </cell>
          <cell r="Y526">
            <v>1.4981949458483752</v>
          </cell>
          <cell r="Z526">
            <v>19.366666666666667</v>
          </cell>
          <cell r="AA526">
            <v>19.400000000000002</v>
          </cell>
          <cell r="AB526">
            <v>23.433666666666667</v>
          </cell>
          <cell r="AC526">
            <v>23.5</v>
          </cell>
        </row>
        <row r="527">
          <cell r="H527" t="str">
            <v>8715738742796</v>
          </cell>
          <cell r="I527" t="str">
            <v>Standard Freestyle Loop with Finger</v>
          </cell>
          <cell r="J527" t="str">
            <v>900</v>
          </cell>
          <cell r="K527" t="str">
            <v>Black</v>
          </cell>
          <cell r="L527" t="str">
            <v>O/S</v>
          </cell>
          <cell r="M527" t="str">
            <v xml:space="preserve">Carry Over </v>
          </cell>
          <cell r="N527" t="str">
            <v xml:space="preserve">Spare Parts </v>
          </cell>
          <cell r="P527" t="str">
            <v>85007.220030900O/S</v>
          </cell>
          <cell r="Q527">
            <v>512</v>
          </cell>
          <cell r="R527">
            <v>0</v>
          </cell>
          <cell r="S527">
            <v>0</v>
          </cell>
          <cell r="T527">
            <v>46</v>
          </cell>
          <cell r="U527">
            <v>30.700000000000003</v>
          </cell>
          <cell r="V527">
            <v>30.666666666666668</v>
          </cell>
          <cell r="W527">
            <v>46</v>
          </cell>
          <cell r="X527">
            <v>30.700000000000003</v>
          </cell>
          <cell r="Y527">
            <v>1.4983713355048858</v>
          </cell>
          <cell r="Z527">
            <v>21.466666666666665</v>
          </cell>
          <cell r="AA527">
            <v>21.5</v>
          </cell>
          <cell r="AB527">
            <v>25.974666666666664</v>
          </cell>
          <cell r="AC527">
            <v>26</v>
          </cell>
        </row>
        <row r="528">
          <cell r="H528" t="str">
            <v>8715738848818</v>
          </cell>
          <cell r="I528" t="str">
            <v>Freeride Loop</v>
          </cell>
          <cell r="J528" t="str">
            <v>900</v>
          </cell>
          <cell r="K528" t="str">
            <v>Black</v>
          </cell>
          <cell r="L528" t="str">
            <v>O/S</v>
          </cell>
          <cell r="M528" t="str">
            <v xml:space="preserve">Carry Over </v>
          </cell>
          <cell r="N528" t="str">
            <v xml:space="preserve">Spare Parts </v>
          </cell>
          <cell r="P528" t="str">
            <v>85007.240024900O/S</v>
          </cell>
          <cell r="Q528">
            <v>513</v>
          </cell>
          <cell r="R528">
            <v>0</v>
          </cell>
          <cell r="S528">
            <v>0</v>
          </cell>
          <cell r="T528">
            <v>40</v>
          </cell>
          <cell r="U528">
            <v>26.700000000000003</v>
          </cell>
          <cell r="V528">
            <v>26.666666666666668</v>
          </cell>
          <cell r="W528">
            <v>40</v>
          </cell>
          <cell r="X528">
            <v>26.700000000000003</v>
          </cell>
          <cell r="Y528">
            <v>1.4981273408239699</v>
          </cell>
          <cell r="Z528">
            <v>18.666666666666668</v>
          </cell>
          <cell r="AA528">
            <v>18.700000000000003</v>
          </cell>
          <cell r="AB528">
            <v>22.586666666666666</v>
          </cell>
          <cell r="AC528">
            <v>22.6</v>
          </cell>
        </row>
        <row r="529">
          <cell r="H529" t="str">
            <v>8715738848832</v>
          </cell>
          <cell r="I529" t="str">
            <v>Freestyle Loop</v>
          </cell>
          <cell r="J529" t="str">
            <v>900</v>
          </cell>
          <cell r="K529" t="str">
            <v>Black</v>
          </cell>
          <cell r="L529" t="str">
            <v>O/S</v>
          </cell>
          <cell r="M529" t="str">
            <v xml:space="preserve">Carry Over </v>
          </cell>
          <cell r="N529" t="str">
            <v xml:space="preserve">Spare Parts </v>
          </cell>
          <cell r="P529" t="str">
            <v>85007.240026900O/S</v>
          </cell>
          <cell r="Q529">
            <v>514</v>
          </cell>
          <cell r="R529">
            <v>0</v>
          </cell>
          <cell r="S529">
            <v>0</v>
          </cell>
          <cell r="T529">
            <v>466</v>
          </cell>
          <cell r="U529">
            <v>310.70000000000005</v>
          </cell>
          <cell r="V529">
            <v>310.66666666666669</v>
          </cell>
          <cell r="W529">
            <v>466</v>
          </cell>
          <cell r="X529">
            <v>310.70000000000005</v>
          </cell>
          <cell r="Y529">
            <v>1.4998390730608302</v>
          </cell>
          <cell r="Z529">
            <v>217.46666666666667</v>
          </cell>
          <cell r="AA529">
            <v>217.5</v>
          </cell>
          <cell r="AB529">
            <v>263.13466666666665</v>
          </cell>
          <cell r="AC529">
            <v>263.20000000000005</v>
          </cell>
        </row>
        <row r="530">
          <cell r="H530" t="str">
            <v>8715738864320</v>
          </cell>
          <cell r="I530" t="str">
            <v>5th Line Kit</v>
          </cell>
          <cell r="J530" t="str">
            <v>999</v>
          </cell>
          <cell r="K530" t="str">
            <v>Multiple Color</v>
          </cell>
          <cell r="L530" t="str">
            <v>O/S</v>
          </cell>
          <cell r="M530" t="str">
            <v xml:space="preserve">Carry Over </v>
          </cell>
          <cell r="N530" t="str">
            <v xml:space="preserve">Spare Parts </v>
          </cell>
          <cell r="P530" t="str">
            <v>85007.250064999O/S</v>
          </cell>
          <cell r="Q530">
            <v>515</v>
          </cell>
          <cell r="R530">
            <v>0</v>
          </cell>
          <cell r="S530">
            <v>0</v>
          </cell>
          <cell r="T530">
            <v>102.5</v>
          </cell>
          <cell r="U530">
            <v>68.399999999999991</v>
          </cell>
          <cell r="V530">
            <v>68.333333333333329</v>
          </cell>
          <cell r="W530">
            <v>102.5</v>
          </cell>
          <cell r="X530">
            <v>68.399999999999991</v>
          </cell>
          <cell r="Y530">
            <v>1.4985380116959066</v>
          </cell>
          <cell r="Z530">
            <v>47.833333333333329</v>
          </cell>
          <cell r="AA530">
            <v>47.9</v>
          </cell>
          <cell r="AB530">
            <v>57.878333333333323</v>
          </cell>
          <cell r="AC530">
            <v>57.9</v>
          </cell>
        </row>
        <row r="531">
          <cell r="H531" t="str">
            <v>8715738824447</v>
          </cell>
          <cell r="I531" t="str">
            <v>Grub Screw Kit (FCS)</v>
          </cell>
          <cell r="J531" t="str">
            <v>909</v>
          </cell>
          <cell r="K531" t="str">
            <v>Steel Grey</v>
          </cell>
          <cell r="L531" t="str">
            <v>O/S</v>
          </cell>
          <cell r="M531" t="str">
            <v xml:space="preserve">Carry Over </v>
          </cell>
          <cell r="N531" t="str">
            <v xml:space="preserve">Spare Parts </v>
          </cell>
          <cell r="P531" t="str">
            <v>85008.240073909O/S</v>
          </cell>
          <cell r="Q531">
            <v>516</v>
          </cell>
          <cell r="R531">
            <v>0</v>
          </cell>
          <cell r="S531">
            <v>0</v>
          </cell>
          <cell r="T531">
            <v>12.5</v>
          </cell>
          <cell r="U531">
            <v>8.4</v>
          </cell>
          <cell r="V531">
            <v>8.3333333333333339</v>
          </cell>
          <cell r="W531">
            <v>12.5</v>
          </cell>
          <cell r="X531">
            <v>8.4</v>
          </cell>
          <cell r="Y531">
            <v>1.4880952380952381</v>
          </cell>
          <cell r="Z531">
            <v>5.833333333333333</v>
          </cell>
          <cell r="AA531">
            <v>5.8999999999999995</v>
          </cell>
          <cell r="AB531">
            <v>7.0583333333333327</v>
          </cell>
          <cell r="AC531">
            <v>7.1</v>
          </cell>
        </row>
        <row r="532">
          <cell r="H532" t="str">
            <v>8715738824386</v>
          </cell>
          <cell r="I532" t="str">
            <v>Flare Twintip Accessory Kit</v>
          </cell>
          <cell r="J532" t="str">
            <v>900</v>
          </cell>
          <cell r="K532" t="str">
            <v>Black</v>
          </cell>
          <cell r="L532" t="str">
            <v>20mm</v>
          </cell>
          <cell r="M532" t="str">
            <v xml:space="preserve">Carry Over </v>
          </cell>
          <cell r="N532" t="str">
            <v xml:space="preserve">Spare Parts </v>
          </cell>
          <cell r="P532" t="str">
            <v>85008.24011690020mm</v>
          </cell>
          <cell r="Q532">
            <v>517</v>
          </cell>
          <cell r="R532">
            <v>0</v>
          </cell>
          <cell r="S532">
            <v>0</v>
          </cell>
          <cell r="T532">
            <v>45</v>
          </cell>
          <cell r="U532">
            <v>30</v>
          </cell>
          <cell r="V532">
            <v>30</v>
          </cell>
          <cell r="W532">
            <v>45</v>
          </cell>
          <cell r="X532">
            <v>30</v>
          </cell>
          <cell r="Y532">
            <v>1.5</v>
          </cell>
          <cell r="Z532">
            <v>21</v>
          </cell>
          <cell r="AA532">
            <v>21</v>
          </cell>
          <cell r="AB532">
            <v>25.41</v>
          </cell>
          <cell r="AC532">
            <v>25.5</v>
          </cell>
        </row>
        <row r="533">
          <cell r="H533" t="str">
            <v>8715738861442</v>
          </cell>
          <cell r="I533" t="str">
            <v>Twintip Handle set of 5</v>
          </cell>
          <cell r="J533" t="str">
            <v>900</v>
          </cell>
          <cell r="K533" t="str">
            <v>Black</v>
          </cell>
          <cell r="L533" t="str">
            <v>O/S</v>
          </cell>
          <cell r="M533" t="str">
            <v xml:space="preserve">Carry Over </v>
          </cell>
          <cell r="N533" t="str">
            <v xml:space="preserve">Spare Parts </v>
          </cell>
          <cell r="P533" t="str">
            <v>85008.240117900O/S</v>
          </cell>
          <cell r="Q533">
            <v>518</v>
          </cell>
          <cell r="R533">
            <v>0</v>
          </cell>
          <cell r="S533">
            <v>0</v>
          </cell>
          <cell r="T533">
            <v>60</v>
          </cell>
          <cell r="U533">
            <v>40</v>
          </cell>
          <cell r="V533">
            <v>40</v>
          </cell>
          <cell r="W533">
            <v>60</v>
          </cell>
          <cell r="X533">
            <v>40</v>
          </cell>
          <cell r="Y533">
            <v>1.5</v>
          </cell>
          <cell r="Z533">
            <v>28</v>
          </cell>
          <cell r="AA533">
            <v>28</v>
          </cell>
          <cell r="AB533">
            <v>33.879999999999995</v>
          </cell>
          <cell r="AC533">
            <v>33.9</v>
          </cell>
        </row>
        <row r="534">
          <cell r="H534" t="str">
            <v>8715738825727</v>
          </cell>
          <cell r="I534" t="str">
            <v>TT handle extension</v>
          </cell>
          <cell r="J534" t="str">
            <v>900</v>
          </cell>
          <cell r="K534" t="str">
            <v>Black</v>
          </cell>
          <cell r="L534" t="str">
            <v>15mm</v>
          </cell>
          <cell r="M534" t="str">
            <v xml:space="preserve">Carry Over </v>
          </cell>
          <cell r="N534" t="str">
            <v xml:space="preserve">Spare Parts </v>
          </cell>
          <cell r="P534" t="str">
            <v>85008.24011890015mm</v>
          </cell>
          <cell r="Q534">
            <v>519</v>
          </cell>
          <cell r="R534">
            <v>0</v>
          </cell>
          <cell r="S534">
            <v>0</v>
          </cell>
          <cell r="T534">
            <v>15.5</v>
          </cell>
          <cell r="U534">
            <v>10.4</v>
          </cell>
          <cell r="V534">
            <v>10.333333333333334</v>
          </cell>
          <cell r="W534">
            <v>15.5</v>
          </cell>
          <cell r="X534">
            <v>10.4</v>
          </cell>
          <cell r="Y534">
            <v>1.4903846153846154</v>
          </cell>
          <cell r="Z534">
            <v>7.2333333333333334</v>
          </cell>
          <cell r="AA534">
            <v>7.3</v>
          </cell>
          <cell r="AB534">
            <v>8.7523333333333326</v>
          </cell>
          <cell r="AC534">
            <v>8.7999999999999989</v>
          </cell>
        </row>
        <row r="535">
          <cell r="H535" t="str">
            <v>8715738890107</v>
          </cell>
          <cell r="I535" t="str">
            <v>Hydro Thumbscrew Set</v>
          </cell>
          <cell r="J535" t="str">
            <v>900</v>
          </cell>
          <cell r="K535" t="str">
            <v>Black</v>
          </cell>
          <cell r="L535" t="str">
            <v>O/S</v>
          </cell>
          <cell r="M535" t="str">
            <v xml:space="preserve">Carry Over </v>
          </cell>
          <cell r="N535" t="str">
            <v xml:space="preserve">Spare Parts </v>
          </cell>
          <cell r="P535" t="str">
            <v>85009.250208900O/S</v>
          </cell>
          <cell r="Q535">
            <v>520</v>
          </cell>
          <cell r="R535">
            <v>0</v>
          </cell>
          <cell r="S535">
            <v>0</v>
          </cell>
          <cell r="T535">
            <v>102</v>
          </cell>
          <cell r="U535">
            <v>68</v>
          </cell>
          <cell r="V535">
            <v>68</v>
          </cell>
          <cell r="W535">
            <v>102</v>
          </cell>
          <cell r="X535">
            <v>68</v>
          </cell>
          <cell r="Y535">
            <v>1.5</v>
          </cell>
          <cell r="Z535">
            <v>47.599999999999994</v>
          </cell>
          <cell r="AA535">
            <v>47.6</v>
          </cell>
          <cell r="AB535">
            <v>57.595999999999989</v>
          </cell>
          <cell r="AC535">
            <v>57.6</v>
          </cell>
        </row>
        <row r="536">
          <cell r="H536" t="str">
            <v>8715738824263</v>
          </cell>
          <cell r="I536" t="str">
            <v>Free Strap M6 Screws (Sense) set of 5</v>
          </cell>
          <cell r="J536" t="str">
            <v>900</v>
          </cell>
          <cell r="K536" t="str">
            <v>Black</v>
          </cell>
          <cell r="L536" t="str">
            <v>O/S</v>
          </cell>
          <cell r="M536" t="str">
            <v xml:space="preserve">Carry Over </v>
          </cell>
          <cell r="N536" t="str">
            <v xml:space="preserve">Spare Parts </v>
          </cell>
          <cell r="P536" t="str">
            <v>85008.240110900O/S</v>
          </cell>
          <cell r="Q536">
            <v>521</v>
          </cell>
          <cell r="R536">
            <v>0</v>
          </cell>
          <cell r="S536">
            <v>0</v>
          </cell>
          <cell r="T536">
            <v>15.5</v>
          </cell>
          <cell r="U536">
            <v>10.4</v>
          </cell>
          <cell r="V536">
            <v>10.333333333333334</v>
          </cell>
          <cell r="W536">
            <v>15.5</v>
          </cell>
          <cell r="X536">
            <v>10.4</v>
          </cell>
          <cell r="Y536">
            <v>1.4903846153846154</v>
          </cell>
          <cell r="Z536">
            <v>7.2333333333333334</v>
          </cell>
          <cell r="AA536">
            <v>7.3</v>
          </cell>
          <cell r="AB536">
            <v>8.7523333333333326</v>
          </cell>
          <cell r="AC536">
            <v>8.7999999999999989</v>
          </cell>
        </row>
        <row r="537">
          <cell r="H537" t="str">
            <v>8715738824249</v>
          </cell>
          <cell r="I537" t="str">
            <v>Twintip Hardware Screws M6x16mm, set of 10</v>
          </cell>
          <cell r="J537" t="str">
            <v>900</v>
          </cell>
          <cell r="K537" t="str">
            <v>Black</v>
          </cell>
          <cell r="L537" t="str">
            <v>O/S</v>
          </cell>
          <cell r="M537" t="str">
            <v xml:space="preserve">Carry Over </v>
          </cell>
          <cell r="N537" t="str">
            <v xml:space="preserve">Spare Parts </v>
          </cell>
          <cell r="P537" t="str">
            <v>85008.240111900O/S</v>
          </cell>
          <cell r="Q537">
            <v>522</v>
          </cell>
          <cell r="R537">
            <v>0</v>
          </cell>
          <cell r="S537">
            <v>0</v>
          </cell>
          <cell r="T537">
            <v>35</v>
          </cell>
          <cell r="U537">
            <v>23.400000000000002</v>
          </cell>
          <cell r="V537">
            <v>23.333333333333332</v>
          </cell>
          <cell r="W537">
            <v>35</v>
          </cell>
          <cell r="X537">
            <v>23.400000000000002</v>
          </cell>
          <cell r="Y537">
            <v>1.4957264957264955</v>
          </cell>
          <cell r="Z537">
            <v>16.333333333333332</v>
          </cell>
          <cell r="AA537">
            <v>16.400000000000002</v>
          </cell>
          <cell r="AB537">
            <v>19.763333333333332</v>
          </cell>
          <cell r="AC537">
            <v>19.8</v>
          </cell>
        </row>
        <row r="538">
          <cell r="H538" t="str">
            <v>8715738824195</v>
          </cell>
          <cell r="I538" t="str">
            <v>Free Strap Self-Tapping Screws 6.3x25mm set of 5</v>
          </cell>
          <cell r="J538" t="str">
            <v>909</v>
          </cell>
          <cell r="K538" t="str">
            <v>Steel Grey</v>
          </cell>
          <cell r="L538" t="str">
            <v>O/S</v>
          </cell>
          <cell r="M538" t="str">
            <v xml:space="preserve">Carry Over </v>
          </cell>
          <cell r="N538" t="str">
            <v xml:space="preserve">Spare Parts </v>
          </cell>
          <cell r="P538" t="str">
            <v>85008.240112909O/S</v>
          </cell>
          <cell r="Q538">
            <v>523</v>
          </cell>
          <cell r="R538">
            <v>0</v>
          </cell>
          <cell r="S538">
            <v>0</v>
          </cell>
          <cell r="T538">
            <v>16.5</v>
          </cell>
          <cell r="U538">
            <v>11</v>
          </cell>
          <cell r="V538">
            <v>11</v>
          </cell>
          <cell r="W538">
            <v>16.5</v>
          </cell>
          <cell r="X538">
            <v>11</v>
          </cell>
          <cell r="Y538">
            <v>1.5</v>
          </cell>
          <cell r="Z538">
            <v>7.6999999999999993</v>
          </cell>
          <cell r="AA538">
            <v>7.7</v>
          </cell>
          <cell r="AB538">
            <v>9.3169999999999984</v>
          </cell>
          <cell r="AC538">
            <v>9.4</v>
          </cell>
        </row>
        <row r="539">
          <cell r="H539" t="str">
            <v>8715738824256</v>
          </cell>
          <cell r="I539" t="str">
            <v>Twintip Fin Washers set of 4</v>
          </cell>
          <cell r="J539" t="str">
            <v>900</v>
          </cell>
          <cell r="K539" t="str">
            <v>Black</v>
          </cell>
          <cell r="L539" t="str">
            <v>O/S</v>
          </cell>
          <cell r="M539" t="str">
            <v xml:space="preserve">Carry Over </v>
          </cell>
          <cell r="N539" t="str">
            <v xml:space="preserve">Spare Parts </v>
          </cell>
          <cell r="P539" t="str">
            <v>85008.240113900O/S</v>
          </cell>
          <cell r="Q539">
            <v>524</v>
          </cell>
          <cell r="R539">
            <v>0</v>
          </cell>
          <cell r="S539">
            <v>0</v>
          </cell>
          <cell r="T539">
            <v>10.5</v>
          </cell>
          <cell r="U539">
            <v>7</v>
          </cell>
          <cell r="V539">
            <v>7</v>
          </cell>
          <cell r="W539">
            <v>10.5</v>
          </cell>
          <cell r="X539">
            <v>7</v>
          </cell>
          <cell r="Y539">
            <v>1.5</v>
          </cell>
          <cell r="Z539">
            <v>4.8999999999999995</v>
          </cell>
          <cell r="AA539">
            <v>4.9000000000000004</v>
          </cell>
          <cell r="AB539">
            <v>5.9289999999999994</v>
          </cell>
          <cell r="AC539">
            <v>6</v>
          </cell>
        </row>
        <row r="540">
          <cell r="H540" t="str">
            <v>8715738824270</v>
          </cell>
          <cell r="I540" t="str">
            <v>Free Surf Strap Washers set of 5</v>
          </cell>
          <cell r="J540" t="str">
            <v>900</v>
          </cell>
          <cell r="K540" t="str">
            <v>Black</v>
          </cell>
          <cell r="L540" t="str">
            <v>O/S</v>
          </cell>
          <cell r="M540" t="str">
            <v xml:space="preserve">Carry Over </v>
          </cell>
          <cell r="N540" t="str">
            <v xml:space="preserve">Spare Parts </v>
          </cell>
          <cell r="P540" t="str">
            <v>85008.240114900O/S</v>
          </cell>
          <cell r="Q540">
            <v>525</v>
          </cell>
          <cell r="R540">
            <v>0</v>
          </cell>
          <cell r="S540">
            <v>0</v>
          </cell>
          <cell r="T540">
            <v>15.5</v>
          </cell>
          <cell r="U540">
            <v>10.4</v>
          </cell>
          <cell r="V540">
            <v>10.333333333333334</v>
          </cell>
          <cell r="W540">
            <v>15.5</v>
          </cell>
          <cell r="X540">
            <v>10.4</v>
          </cell>
          <cell r="Y540">
            <v>1.4903846153846154</v>
          </cell>
          <cell r="Z540">
            <v>7.2333333333333334</v>
          </cell>
          <cell r="AA540">
            <v>7.3</v>
          </cell>
          <cell r="AB540">
            <v>8.7523333333333326</v>
          </cell>
          <cell r="AC540">
            <v>8.7999999999999989</v>
          </cell>
        </row>
        <row r="541">
          <cell r="H541" t="str">
            <v>8715738825239</v>
          </cell>
          <cell r="I541" t="str">
            <v>Free Foil Strap Washers set of 4</v>
          </cell>
          <cell r="J541" t="str">
            <v>900</v>
          </cell>
          <cell r="K541" t="str">
            <v>Black</v>
          </cell>
          <cell r="L541" t="str">
            <v>O/S</v>
          </cell>
          <cell r="M541" t="str">
            <v xml:space="preserve">Carry Over </v>
          </cell>
          <cell r="N541" t="str">
            <v xml:space="preserve">Spare Parts </v>
          </cell>
          <cell r="P541" t="str">
            <v>85008.240115900O/S</v>
          </cell>
          <cell r="Q541">
            <v>526</v>
          </cell>
          <cell r="R541">
            <v>0</v>
          </cell>
          <cell r="S541">
            <v>0</v>
          </cell>
          <cell r="T541">
            <v>15.5</v>
          </cell>
          <cell r="U541">
            <v>10.4</v>
          </cell>
          <cell r="V541">
            <v>10.333333333333334</v>
          </cell>
          <cell r="W541">
            <v>15.5</v>
          </cell>
          <cell r="X541">
            <v>10.4</v>
          </cell>
          <cell r="Y541">
            <v>1.4903846153846154</v>
          </cell>
          <cell r="Z541">
            <v>7.2333333333333334</v>
          </cell>
          <cell r="AA541">
            <v>7.3</v>
          </cell>
          <cell r="AB541">
            <v>8.7523333333333326</v>
          </cell>
          <cell r="AC541">
            <v>8.7999999999999989</v>
          </cell>
        </row>
        <row r="542">
          <cell r="H542" t="str">
            <v>8715738824201</v>
          </cell>
          <cell r="I542" t="str">
            <v>Free-V Foil Strap Washers set of 5</v>
          </cell>
          <cell r="J542" t="str">
            <v>900</v>
          </cell>
          <cell r="K542" t="str">
            <v>Black</v>
          </cell>
          <cell r="L542" t="str">
            <v>O/S</v>
          </cell>
          <cell r="M542" t="str">
            <v xml:space="preserve">Carry Over </v>
          </cell>
          <cell r="N542" t="str">
            <v xml:space="preserve">Spare Parts </v>
          </cell>
          <cell r="P542" t="str">
            <v>85008.240120900O/S</v>
          </cell>
          <cell r="Q542">
            <v>527</v>
          </cell>
          <cell r="R542">
            <v>0</v>
          </cell>
          <cell r="S542">
            <v>0</v>
          </cell>
          <cell r="T542">
            <v>15.5</v>
          </cell>
          <cell r="U542">
            <v>10.4</v>
          </cell>
          <cell r="V542">
            <v>10.333333333333334</v>
          </cell>
          <cell r="W542">
            <v>15.5</v>
          </cell>
          <cell r="X542">
            <v>10.4</v>
          </cell>
          <cell r="Y542">
            <v>1.4903846153846154</v>
          </cell>
          <cell r="Z542">
            <v>7.2333333333333334</v>
          </cell>
          <cell r="AA542">
            <v>7.3</v>
          </cell>
          <cell r="AB542">
            <v>8.7523333333333326</v>
          </cell>
          <cell r="AC542">
            <v>8.7999999999999989</v>
          </cell>
        </row>
        <row r="543">
          <cell r="H543" t="str">
            <v>8715738700284</v>
          </cell>
          <cell r="I543" t="str">
            <v>Depower Main Line complete with Tubing</v>
          </cell>
          <cell r="J543" t="str">
            <v>900</v>
          </cell>
          <cell r="K543" t="str">
            <v>Black</v>
          </cell>
          <cell r="L543" t="str">
            <v>O/S</v>
          </cell>
          <cell r="M543" t="str">
            <v xml:space="preserve">Carry Over </v>
          </cell>
          <cell r="N543" t="str">
            <v xml:space="preserve">Spare Parts </v>
          </cell>
          <cell r="P543" t="str">
            <v>85007.210044900O/S</v>
          </cell>
          <cell r="Q543">
            <v>528</v>
          </cell>
          <cell r="R543">
            <v>0</v>
          </cell>
          <cell r="S543">
            <v>0</v>
          </cell>
          <cell r="T543">
            <v>24.5</v>
          </cell>
          <cell r="U543">
            <v>16.400000000000002</v>
          </cell>
          <cell r="V543">
            <v>16.333333333333332</v>
          </cell>
          <cell r="W543">
            <v>24.5</v>
          </cell>
          <cell r="X543">
            <v>16.400000000000002</v>
          </cell>
          <cell r="Y543">
            <v>1.49390243902439</v>
          </cell>
          <cell r="Z543">
            <v>11.433333333333332</v>
          </cell>
          <cell r="AA543">
            <v>11.5</v>
          </cell>
          <cell r="AB543">
            <v>13.834333333333332</v>
          </cell>
          <cell r="AC543">
            <v>13.9</v>
          </cell>
        </row>
        <row r="544">
          <cell r="H544" t="str">
            <v>8715738700291</v>
          </cell>
          <cell r="I544" t="str">
            <v>Elasticised Trim Line</v>
          </cell>
          <cell r="J544" t="str">
            <v>900</v>
          </cell>
          <cell r="K544" t="str">
            <v>Black</v>
          </cell>
          <cell r="L544" t="str">
            <v>O/S</v>
          </cell>
          <cell r="M544" t="str">
            <v xml:space="preserve">Carry Over </v>
          </cell>
          <cell r="N544" t="str">
            <v xml:space="preserve">Spare Parts </v>
          </cell>
          <cell r="P544" t="str">
            <v>85007.210045900O/S</v>
          </cell>
          <cell r="Q544">
            <v>529</v>
          </cell>
          <cell r="R544">
            <v>0</v>
          </cell>
          <cell r="S544">
            <v>0</v>
          </cell>
          <cell r="T544">
            <v>19.5</v>
          </cell>
          <cell r="U544">
            <v>13</v>
          </cell>
          <cell r="V544">
            <v>13</v>
          </cell>
          <cell r="W544">
            <v>19.5</v>
          </cell>
          <cell r="X544">
            <v>13</v>
          </cell>
          <cell r="Y544">
            <v>1.5</v>
          </cell>
          <cell r="Z544">
            <v>9.1</v>
          </cell>
          <cell r="AA544">
            <v>9.1</v>
          </cell>
          <cell r="AB544">
            <v>11.010999999999999</v>
          </cell>
          <cell r="AC544">
            <v>11.1</v>
          </cell>
        </row>
        <row r="545">
          <cell r="H545" t="str">
            <v>8715738700307</v>
          </cell>
          <cell r="I545" t="str">
            <v>Landing Line</v>
          </cell>
          <cell r="J545" t="str">
            <v>800</v>
          </cell>
          <cell r="K545" t="str">
            <v>Grey</v>
          </cell>
          <cell r="L545" t="str">
            <v>O/S</v>
          </cell>
          <cell r="M545" t="str">
            <v xml:space="preserve">Carry Over </v>
          </cell>
          <cell r="N545" t="str">
            <v xml:space="preserve">Spare Parts </v>
          </cell>
          <cell r="P545" t="str">
            <v>85007.210046800O/S</v>
          </cell>
          <cell r="Q545">
            <v>530</v>
          </cell>
          <cell r="R545">
            <v>4.5</v>
          </cell>
          <cell r="S545">
            <v>4.5</v>
          </cell>
          <cell r="T545">
            <v>15.5</v>
          </cell>
          <cell r="U545">
            <v>10.4</v>
          </cell>
          <cell r="V545">
            <v>13.333333333333334</v>
          </cell>
          <cell r="W545">
            <v>20</v>
          </cell>
          <cell r="X545">
            <v>13.4</v>
          </cell>
          <cell r="Y545">
            <v>1.4925373134328357</v>
          </cell>
          <cell r="Z545">
            <v>9.3333333333333339</v>
          </cell>
          <cell r="AA545">
            <v>9.4</v>
          </cell>
          <cell r="AB545">
            <v>11.293333333333333</v>
          </cell>
          <cell r="AC545">
            <v>11.299999999999999</v>
          </cell>
        </row>
        <row r="546">
          <cell r="H546" t="str">
            <v>8715738700352</v>
          </cell>
          <cell r="I546" t="str">
            <v>Leader Line set of 2</v>
          </cell>
          <cell r="J546" t="str">
            <v>999</v>
          </cell>
          <cell r="K546" t="str">
            <v>Multiple color</v>
          </cell>
          <cell r="L546" t="str">
            <v>O/S</v>
          </cell>
          <cell r="M546" t="str">
            <v xml:space="preserve">Carry Over </v>
          </cell>
          <cell r="N546" t="str">
            <v xml:space="preserve">Spare Parts </v>
          </cell>
          <cell r="P546" t="str">
            <v>85007.210047999O/S</v>
          </cell>
          <cell r="Q546">
            <v>531</v>
          </cell>
          <cell r="R546">
            <v>0</v>
          </cell>
          <cell r="S546">
            <v>0</v>
          </cell>
          <cell r="T546">
            <v>22.5</v>
          </cell>
          <cell r="U546">
            <v>15</v>
          </cell>
          <cell r="V546">
            <v>15</v>
          </cell>
          <cell r="W546">
            <v>22.5</v>
          </cell>
          <cell r="X546">
            <v>15</v>
          </cell>
          <cell r="Y546">
            <v>1.5</v>
          </cell>
          <cell r="Z546">
            <v>10.5</v>
          </cell>
          <cell r="AA546">
            <v>10.5</v>
          </cell>
          <cell r="AB546">
            <v>12.705</v>
          </cell>
          <cell r="AC546">
            <v>12.799999999999999</v>
          </cell>
        </row>
        <row r="547">
          <cell r="H547" t="str">
            <v>8715738742802</v>
          </cell>
          <cell r="I547" t="str">
            <v>Short Connect Security Finger</v>
          </cell>
          <cell r="J547" t="str">
            <v>900</v>
          </cell>
          <cell r="K547" t="str">
            <v>Black</v>
          </cell>
          <cell r="L547" t="str">
            <v>O/S</v>
          </cell>
          <cell r="M547" t="str">
            <v xml:space="preserve">Carry Over </v>
          </cell>
          <cell r="N547" t="str">
            <v xml:space="preserve">Spare Parts </v>
          </cell>
          <cell r="P547" t="str">
            <v>85007.220032900O/S</v>
          </cell>
          <cell r="Q547">
            <v>532</v>
          </cell>
          <cell r="R547">
            <v>0</v>
          </cell>
          <cell r="S547">
            <v>0</v>
          </cell>
          <cell r="T547">
            <v>10.5</v>
          </cell>
          <cell r="U547">
            <v>7</v>
          </cell>
          <cell r="V547">
            <v>7</v>
          </cell>
          <cell r="W547">
            <v>10.5</v>
          </cell>
          <cell r="X547">
            <v>7</v>
          </cell>
          <cell r="Y547">
            <v>1.5</v>
          </cell>
          <cell r="Z547">
            <v>4.8999999999999995</v>
          </cell>
          <cell r="AA547">
            <v>4.9000000000000004</v>
          </cell>
          <cell r="AB547">
            <v>5.9289999999999994</v>
          </cell>
          <cell r="AC547">
            <v>6</v>
          </cell>
        </row>
        <row r="548">
          <cell r="H548" t="str">
            <v>8715738742819</v>
          </cell>
          <cell r="I548" t="str">
            <v>Standard Connect Security Finger</v>
          </cell>
          <cell r="J548" t="str">
            <v>900</v>
          </cell>
          <cell r="K548" t="str">
            <v>Black</v>
          </cell>
          <cell r="L548" t="str">
            <v>O/S</v>
          </cell>
          <cell r="M548" t="str">
            <v xml:space="preserve">Carry Over </v>
          </cell>
          <cell r="N548" t="str">
            <v xml:space="preserve">Spare Parts </v>
          </cell>
          <cell r="P548" t="str">
            <v>85007.220033900O/S</v>
          </cell>
          <cell r="Q548">
            <v>533</v>
          </cell>
          <cell r="R548">
            <v>0</v>
          </cell>
          <cell r="S548">
            <v>0</v>
          </cell>
          <cell r="T548">
            <v>10.5</v>
          </cell>
          <cell r="U548">
            <v>7</v>
          </cell>
          <cell r="V548">
            <v>7</v>
          </cell>
          <cell r="W548">
            <v>10.5</v>
          </cell>
          <cell r="X548">
            <v>7</v>
          </cell>
          <cell r="Y548">
            <v>1.5</v>
          </cell>
          <cell r="Z548">
            <v>4.8999999999999995</v>
          </cell>
          <cell r="AA548">
            <v>4.9000000000000004</v>
          </cell>
          <cell r="AB548">
            <v>5.9289999999999994</v>
          </cell>
          <cell r="AC548">
            <v>6</v>
          </cell>
        </row>
        <row r="549">
          <cell r="H549" t="str">
            <v>8715738741447</v>
          </cell>
          <cell r="I549" t="str">
            <v>Connect Quick Release</v>
          </cell>
          <cell r="J549" t="str">
            <v>965</v>
          </cell>
          <cell r="K549" t="str">
            <v>Black / Red</v>
          </cell>
          <cell r="L549" t="str">
            <v>O/S</v>
          </cell>
          <cell r="M549" t="str">
            <v xml:space="preserve">Carry Over </v>
          </cell>
          <cell r="N549" t="str">
            <v xml:space="preserve">Spare Parts </v>
          </cell>
          <cell r="P549" t="str">
            <v>85007.220038965O/S</v>
          </cell>
          <cell r="Q549">
            <v>534</v>
          </cell>
          <cell r="R549">
            <v>0</v>
          </cell>
          <cell r="S549">
            <v>0</v>
          </cell>
          <cell r="T549">
            <v>100</v>
          </cell>
          <cell r="U549">
            <v>66.699999999999989</v>
          </cell>
          <cell r="V549">
            <v>66.666666666666671</v>
          </cell>
          <cell r="W549">
            <v>100</v>
          </cell>
          <cell r="X549">
            <v>66.699999999999989</v>
          </cell>
          <cell r="Y549">
            <v>1.499250374812594</v>
          </cell>
          <cell r="Z549">
            <v>46.666666666666664</v>
          </cell>
          <cell r="AA549">
            <v>46.7</v>
          </cell>
          <cell r="AB549">
            <v>56.466666666666661</v>
          </cell>
          <cell r="AC549">
            <v>56.5</v>
          </cell>
        </row>
        <row r="550">
          <cell r="H550" t="str">
            <v>8715738741461</v>
          </cell>
          <cell r="I550" t="str">
            <v>2022 Bar width inserts</v>
          </cell>
          <cell r="J550" t="str">
            <v>999</v>
          </cell>
          <cell r="K550" t="str">
            <v>Multiple Color</v>
          </cell>
          <cell r="L550" t="str">
            <v>O/S</v>
          </cell>
          <cell r="M550" t="str">
            <v xml:space="preserve">Carry Over </v>
          </cell>
          <cell r="N550" t="str">
            <v xml:space="preserve">Spare Parts </v>
          </cell>
          <cell r="P550" t="str">
            <v>85007.220050999O/S</v>
          </cell>
          <cell r="Q550">
            <v>535</v>
          </cell>
          <cell r="R550">
            <v>0</v>
          </cell>
          <cell r="S550">
            <v>0</v>
          </cell>
          <cell r="T550">
            <v>18.5</v>
          </cell>
          <cell r="U550">
            <v>12.4</v>
          </cell>
          <cell r="V550">
            <v>12.333333333333334</v>
          </cell>
          <cell r="W550">
            <v>18.5</v>
          </cell>
          <cell r="X550">
            <v>12.4</v>
          </cell>
          <cell r="Y550">
            <v>1.4919354838709677</v>
          </cell>
          <cell r="Z550">
            <v>8.6333333333333329</v>
          </cell>
          <cell r="AA550">
            <v>8.6999999999999993</v>
          </cell>
          <cell r="AB550">
            <v>10.446333333333332</v>
          </cell>
          <cell r="AC550">
            <v>10.5</v>
          </cell>
        </row>
        <row r="551">
          <cell r="H551" t="str">
            <v>8715738741478</v>
          </cell>
          <cell r="I551" t="str">
            <v>Control Bar with Leaders</v>
          </cell>
          <cell r="J551" t="str">
            <v>999</v>
          </cell>
          <cell r="K551" t="str">
            <v>Multiple Color</v>
          </cell>
          <cell r="L551" t="str">
            <v>38-43cm</v>
          </cell>
          <cell r="M551" t="str">
            <v xml:space="preserve">Carry Over </v>
          </cell>
          <cell r="N551" t="str">
            <v xml:space="preserve">Spare Parts </v>
          </cell>
          <cell r="P551" t="str">
            <v>85007.22010799938-43cm</v>
          </cell>
          <cell r="Q551">
            <v>536</v>
          </cell>
          <cell r="R551">
            <v>0</v>
          </cell>
          <cell r="S551">
            <v>0</v>
          </cell>
          <cell r="T551">
            <v>172.5</v>
          </cell>
          <cell r="U551">
            <v>115</v>
          </cell>
          <cell r="V551">
            <v>115</v>
          </cell>
          <cell r="W551">
            <v>172.5</v>
          </cell>
          <cell r="X551">
            <v>115</v>
          </cell>
          <cell r="Y551">
            <v>1.5</v>
          </cell>
          <cell r="Z551">
            <v>80.5</v>
          </cell>
          <cell r="AA551">
            <v>80.5</v>
          </cell>
          <cell r="AB551">
            <v>97.405000000000001</v>
          </cell>
          <cell r="AC551">
            <v>97.5</v>
          </cell>
        </row>
        <row r="552">
          <cell r="H552" t="str">
            <v>8715738741485</v>
          </cell>
          <cell r="I552" t="str">
            <v>Control Bar with Leaders</v>
          </cell>
          <cell r="J552" t="str">
            <v>999</v>
          </cell>
          <cell r="K552" t="str">
            <v>Multiple Color</v>
          </cell>
          <cell r="L552" t="str">
            <v>45-50cm</v>
          </cell>
          <cell r="M552" t="str">
            <v xml:space="preserve">Carry Over </v>
          </cell>
          <cell r="N552" t="str">
            <v xml:space="preserve">Spare Parts </v>
          </cell>
          <cell r="P552" t="str">
            <v>85007.22010799945-50cm</v>
          </cell>
          <cell r="Q552">
            <v>537</v>
          </cell>
          <cell r="R552">
            <v>0</v>
          </cell>
          <cell r="S552">
            <v>0</v>
          </cell>
          <cell r="T552">
            <v>172.5</v>
          </cell>
          <cell r="U552">
            <v>115</v>
          </cell>
          <cell r="V552">
            <v>115</v>
          </cell>
          <cell r="W552">
            <v>172.5</v>
          </cell>
          <cell r="X552">
            <v>115</v>
          </cell>
          <cell r="Y552">
            <v>1.5</v>
          </cell>
          <cell r="Z552">
            <v>80.5</v>
          </cell>
          <cell r="AA552">
            <v>80.5</v>
          </cell>
          <cell r="AB552">
            <v>97.405000000000001</v>
          </cell>
          <cell r="AC552">
            <v>97.5</v>
          </cell>
        </row>
        <row r="553">
          <cell r="H553" t="str">
            <v>8715738741492</v>
          </cell>
          <cell r="I553" t="str">
            <v>Control Bar with Leaders</v>
          </cell>
          <cell r="J553" t="str">
            <v>999</v>
          </cell>
          <cell r="K553" t="str">
            <v>Multiple Color</v>
          </cell>
          <cell r="L553" t="str">
            <v>50-55cm</v>
          </cell>
          <cell r="M553" t="str">
            <v xml:space="preserve">Carry Over </v>
          </cell>
          <cell r="N553" t="str">
            <v xml:space="preserve">Spare Parts </v>
          </cell>
          <cell r="P553" t="str">
            <v>85007.22010799950-55cm</v>
          </cell>
          <cell r="Q553">
            <v>538</v>
          </cell>
          <cell r="R553">
            <v>0</v>
          </cell>
          <cell r="S553">
            <v>0</v>
          </cell>
          <cell r="T553">
            <v>172.5</v>
          </cell>
          <cell r="U553">
            <v>115</v>
          </cell>
          <cell r="V553">
            <v>115</v>
          </cell>
          <cell r="W553">
            <v>172.5</v>
          </cell>
          <cell r="X553">
            <v>115</v>
          </cell>
          <cell r="Y553">
            <v>1.5</v>
          </cell>
          <cell r="Z553">
            <v>80.5</v>
          </cell>
          <cell r="AA553">
            <v>80.5</v>
          </cell>
          <cell r="AB553">
            <v>97.405000000000001</v>
          </cell>
          <cell r="AC553">
            <v>97.5</v>
          </cell>
        </row>
        <row r="554">
          <cell r="H554" t="str">
            <v>8715738848849</v>
          </cell>
          <cell r="I554" t="str">
            <v>Security Finger</v>
          </cell>
          <cell r="J554" t="str">
            <v>900</v>
          </cell>
          <cell r="K554" t="str">
            <v>Black</v>
          </cell>
          <cell r="L554" t="str">
            <v>O/S</v>
          </cell>
          <cell r="M554" t="str">
            <v xml:space="preserve">Carry Over </v>
          </cell>
          <cell r="N554" t="str">
            <v xml:space="preserve">Spare Parts </v>
          </cell>
          <cell r="P554" t="str">
            <v>85007.240027900O/S</v>
          </cell>
          <cell r="Q554">
            <v>539</v>
          </cell>
          <cell r="R554">
            <v>0</v>
          </cell>
          <cell r="S554">
            <v>0</v>
          </cell>
          <cell r="T554">
            <v>8</v>
          </cell>
          <cell r="U554">
            <v>5.3999999999999995</v>
          </cell>
          <cell r="V554">
            <v>5.333333333333333</v>
          </cell>
          <cell r="W554">
            <v>8</v>
          </cell>
          <cell r="X554">
            <v>5.3999999999999995</v>
          </cell>
          <cell r="Y554">
            <v>1.4814814814814816</v>
          </cell>
          <cell r="Z554">
            <v>3.7333333333333329</v>
          </cell>
          <cell r="AA554">
            <v>3.8000000000000003</v>
          </cell>
          <cell r="AB554">
            <v>4.5173333333333323</v>
          </cell>
          <cell r="AC554">
            <v>4.5999999999999996</v>
          </cell>
        </row>
        <row r="555">
          <cell r="H555" t="str">
            <v>8715738848863</v>
          </cell>
          <cell r="I555" t="str">
            <v>Connect Quick Release - Pro</v>
          </cell>
          <cell r="J555" t="str">
            <v>965</v>
          </cell>
          <cell r="K555" t="str">
            <v>Black / Red</v>
          </cell>
          <cell r="L555" t="str">
            <v>O/S</v>
          </cell>
          <cell r="M555" t="str">
            <v xml:space="preserve">Carry Over </v>
          </cell>
          <cell r="N555" t="str">
            <v xml:space="preserve">Spare Parts </v>
          </cell>
          <cell r="P555" t="str">
            <v>85007.240038965O/S</v>
          </cell>
          <cell r="Q555">
            <v>540</v>
          </cell>
          <cell r="R555">
            <v>0</v>
          </cell>
          <cell r="S555">
            <v>0</v>
          </cell>
          <cell r="T555">
            <v>117.5</v>
          </cell>
          <cell r="U555">
            <v>78.399999999999991</v>
          </cell>
          <cell r="V555">
            <v>78.333333333333329</v>
          </cell>
          <cell r="W555">
            <v>117.5</v>
          </cell>
          <cell r="X555">
            <v>78.399999999999991</v>
          </cell>
          <cell r="Y555">
            <v>1.4987244897959184</v>
          </cell>
          <cell r="Z555">
            <v>54.833333333333329</v>
          </cell>
          <cell r="AA555">
            <v>54.9</v>
          </cell>
          <cell r="AB555">
            <v>66.348333333333329</v>
          </cell>
          <cell r="AC555">
            <v>66.399999999999991</v>
          </cell>
        </row>
        <row r="556">
          <cell r="H556" t="str">
            <v>8715738848948</v>
          </cell>
          <cell r="I556" t="str">
            <v>Depower Mainline with 5x8 Tube</v>
          </cell>
          <cell r="J556" t="str">
            <v>900</v>
          </cell>
          <cell r="K556" t="str">
            <v>Black</v>
          </cell>
          <cell r="L556" t="str">
            <v>O/S</v>
          </cell>
          <cell r="M556" t="str">
            <v xml:space="preserve">Carry Over </v>
          </cell>
          <cell r="N556" t="str">
            <v xml:space="preserve">Spare Parts </v>
          </cell>
          <cell r="P556" t="str">
            <v>85007.240044900O/S</v>
          </cell>
          <cell r="Q556">
            <v>541</v>
          </cell>
          <cell r="R556">
            <v>0</v>
          </cell>
          <cell r="S556">
            <v>0</v>
          </cell>
          <cell r="T556">
            <v>16.5</v>
          </cell>
          <cell r="U556">
            <v>11</v>
          </cell>
          <cell r="V556">
            <v>11</v>
          </cell>
          <cell r="W556">
            <v>16.5</v>
          </cell>
          <cell r="X556">
            <v>11</v>
          </cell>
          <cell r="Y556">
            <v>1.5</v>
          </cell>
          <cell r="Z556">
            <v>7.6999999999999993</v>
          </cell>
          <cell r="AA556">
            <v>7.7</v>
          </cell>
          <cell r="AB556">
            <v>9.3169999999999984</v>
          </cell>
          <cell r="AC556">
            <v>9.4</v>
          </cell>
        </row>
        <row r="557">
          <cell r="H557" t="str">
            <v>8715738833296</v>
          </cell>
          <cell r="I557" t="str">
            <v>Depower Main Line Complete with Tubing - Short Throw</v>
          </cell>
          <cell r="J557" t="str">
            <v>900</v>
          </cell>
          <cell r="K557" t="str">
            <v>Black</v>
          </cell>
          <cell r="L557" t="str">
            <v>O/S</v>
          </cell>
          <cell r="M557" t="str">
            <v xml:space="preserve">Carry Over </v>
          </cell>
          <cell r="N557" t="str">
            <v xml:space="preserve">Spare Parts </v>
          </cell>
          <cell r="P557" t="str">
            <v>85007.240048900O/S</v>
          </cell>
          <cell r="Q557">
            <v>542</v>
          </cell>
          <cell r="R557">
            <v>0</v>
          </cell>
          <cell r="S557">
            <v>0</v>
          </cell>
          <cell r="T557">
            <v>24.5</v>
          </cell>
          <cell r="U557">
            <v>16.400000000000002</v>
          </cell>
          <cell r="V557">
            <v>16.333333333333332</v>
          </cell>
          <cell r="W557">
            <v>24.5</v>
          </cell>
          <cell r="X557">
            <v>16.400000000000002</v>
          </cell>
          <cell r="Y557">
            <v>1.49390243902439</v>
          </cell>
          <cell r="Z557">
            <v>11.433333333333332</v>
          </cell>
          <cell r="AA557">
            <v>11.5</v>
          </cell>
          <cell r="AB557">
            <v>13.834333333333332</v>
          </cell>
          <cell r="AC557">
            <v>13.9</v>
          </cell>
        </row>
        <row r="558">
          <cell r="H558" t="str">
            <v>8715738833364</v>
          </cell>
          <cell r="I558" t="str">
            <v>Landing Line - Short Throw</v>
          </cell>
          <cell r="J558" t="str">
            <v>800</v>
          </cell>
          <cell r="K558" t="str">
            <v>Grey</v>
          </cell>
          <cell r="L558" t="str">
            <v>O/S</v>
          </cell>
          <cell r="M558" t="str">
            <v xml:space="preserve">Carry Over </v>
          </cell>
          <cell r="N558" t="str">
            <v xml:space="preserve">Spare Parts </v>
          </cell>
          <cell r="P558" t="str">
            <v>85007.240049800O/S</v>
          </cell>
          <cell r="Q558">
            <v>543</v>
          </cell>
          <cell r="R558">
            <v>4</v>
          </cell>
          <cell r="S558">
            <v>4</v>
          </cell>
          <cell r="T558">
            <v>14.5</v>
          </cell>
          <cell r="U558">
            <v>9.6999999999999993</v>
          </cell>
          <cell r="V558">
            <v>12.333333333333334</v>
          </cell>
          <cell r="W558">
            <v>18.5</v>
          </cell>
          <cell r="X558">
            <v>12.4</v>
          </cell>
          <cell r="Y558">
            <v>1.4919354838709677</v>
          </cell>
          <cell r="Z558">
            <v>8.6333333333333329</v>
          </cell>
          <cell r="AA558">
            <v>8.6999999999999993</v>
          </cell>
          <cell r="AB558">
            <v>10.446333333333332</v>
          </cell>
          <cell r="AC558">
            <v>10.5</v>
          </cell>
        </row>
        <row r="559">
          <cell r="H559" t="str">
            <v>8715738833302</v>
          </cell>
          <cell r="I559" t="str">
            <v>Bar Width Inserts + Leader Lines - Short Throw</v>
          </cell>
          <cell r="J559" t="str">
            <v>999</v>
          </cell>
          <cell r="K559" t="str">
            <v>Multiple Color</v>
          </cell>
          <cell r="L559" t="str">
            <v>O/S</v>
          </cell>
          <cell r="M559" t="str">
            <v xml:space="preserve">Carry Over </v>
          </cell>
          <cell r="N559" t="str">
            <v xml:space="preserve">Spare Parts </v>
          </cell>
          <cell r="P559" t="str">
            <v>85007.240051999O/S</v>
          </cell>
          <cell r="Q559">
            <v>544</v>
          </cell>
          <cell r="R559">
            <v>0</v>
          </cell>
          <cell r="S559">
            <v>0</v>
          </cell>
          <cell r="T559">
            <v>41.5</v>
          </cell>
          <cell r="U559">
            <v>27.700000000000003</v>
          </cell>
          <cell r="V559">
            <v>27.666666666666668</v>
          </cell>
          <cell r="W559">
            <v>41.5</v>
          </cell>
          <cell r="X559">
            <v>27.700000000000003</v>
          </cell>
          <cell r="Y559">
            <v>1.4981949458483752</v>
          </cell>
          <cell r="Z559">
            <v>19.366666666666667</v>
          </cell>
          <cell r="AA559">
            <v>19.400000000000002</v>
          </cell>
          <cell r="AB559">
            <v>23.433666666666667</v>
          </cell>
          <cell r="AC559">
            <v>23.5</v>
          </cell>
        </row>
        <row r="560">
          <cell r="H560" t="str">
            <v>8715738887039</v>
          </cell>
          <cell r="I560" t="str">
            <v>Line Winder Bungee set of 2</v>
          </cell>
          <cell r="J560" t="str">
            <v>900</v>
          </cell>
          <cell r="K560" t="str">
            <v>Black</v>
          </cell>
          <cell r="L560" t="str">
            <v>S</v>
          </cell>
          <cell r="M560" t="str">
            <v xml:space="preserve">Carry over </v>
          </cell>
          <cell r="N560" t="str">
            <v xml:space="preserve">Spare Parts </v>
          </cell>
          <cell r="P560" t="str">
            <v>85007.240052900S</v>
          </cell>
          <cell r="Q560">
            <v>545</v>
          </cell>
          <cell r="R560" t="e">
            <v>#VALUE!</v>
          </cell>
          <cell r="S560" t="e">
            <v>#VALUE!</v>
          </cell>
          <cell r="T560" t="str">
            <v/>
          </cell>
          <cell r="U560" t="str">
            <v/>
          </cell>
          <cell r="V560">
            <v>8.3333333333333339</v>
          </cell>
          <cell r="W560">
            <v>12.5</v>
          </cell>
          <cell r="X560">
            <v>8.4</v>
          </cell>
          <cell r="Y560">
            <v>1.4880952380952381</v>
          </cell>
          <cell r="Z560">
            <v>5.833333333333333</v>
          </cell>
          <cell r="AA560">
            <v>5.8999999999999995</v>
          </cell>
          <cell r="AB560">
            <v>7.0583333333333327</v>
          </cell>
          <cell r="AC560">
            <v>7.1</v>
          </cell>
        </row>
        <row r="561">
          <cell r="H561" t="str">
            <v>8715738849891</v>
          </cell>
          <cell r="I561" t="str">
            <v>Line Winder Bungee set of 2</v>
          </cell>
          <cell r="J561" t="str">
            <v>900</v>
          </cell>
          <cell r="K561" t="str">
            <v>Black</v>
          </cell>
          <cell r="L561" t="str">
            <v>M</v>
          </cell>
          <cell r="M561" t="str">
            <v xml:space="preserve">Carry Over </v>
          </cell>
          <cell r="N561" t="str">
            <v xml:space="preserve">Spare Parts </v>
          </cell>
          <cell r="P561" t="str">
            <v>85007.240052900M</v>
          </cell>
          <cell r="Q561">
            <v>546</v>
          </cell>
          <cell r="R561">
            <v>0</v>
          </cell>
          <cell r="S561">
            <v>0</v>
          </cell>
          <cell r="T561">
            <v>12.5</v>
          </cell>
          <cell r="U561">
            <v>8.4</v>
          </cell>
          <cell r="V561">
            <v>8.3333333333333339</v>
          </cell>
          <cell r="W561">
            <v>12.5</v>
          </cell>
          <cell r="X561">
            <v>8.4</v>
          </cell>
          <cell r="Y561">
            <v>1.4880952380952381</v>
          </cell>
          <cell r="Z561">
            <v>5.833333333333333</v>
          </cell>
          <cell r="AA561">
            <v>5.8999999999999995</v>
          </cell>
          <cell r="AB561">
            <v>7.0583333333333327</v>
          </cell>
          <cell r="AC561">
            <v>7.1</v>
          </cell>
        </row>
        <row r="562">
          <cell r="H562" t="str">
            <v>8715738849907</v>
          </cell>
          <cell r="I562" t="str">
            <v>Line Winder Bungee set of 2</v>
          </cell>
          <cell r="J562" t="str">
            <v>900</v>
          </cell>
          <cell r="K562" t="str">
            <v>Black</v>
          </cell>
          <cell r="L562" t="str">
            <v>L</v>
          </cell>
          <cell r="M562" t="str">
            <v xml:space="preserve">Carry Over </v>
          </cell>
          <cell r="N562" t="str">
            <v xml:space="preserve">Spare Parts </v>
          </cell>
          <cell r="P562" t="str">
            <v>85007.240052900L</v>
          </cell>
          <cell r="Q562">
            <v>547</v>
          </cell>
          <cell r="R562">
            <v>0</v>
          </cell>
          <cell r="S562">
            <v>0</v>
          </cell>
          <cell r="T562">
            <v>12.5</v>
          </cell>
          <cell r="U562">
            <v>8.4</v>
          </cell>
          <cell r="V562">
            <v>8.3333333333333339</v>
          </cell>
          <cell r="W562">
            <v>12.5</v>
          </cell>
          <cell r="X562">
            <v>8.4</v>
          </cell>
          <cell r="Y562">
            <v>1.4880952380952381</v>
          </cell>
          <cell r="Z562">
            <v>5.833333333333333</v>
          </cell>
          <cell r="AA562">
            <v>5.8999999999999995</v>
          </cell>
          <cell r="AB562">
            <v>7.0583333333333327</v>
          </cell>
          <cell r="AC562">
            <v>7.1</v>
          </cell>
        </row>
        <row r="563">
          <cell r="H563" t="str">
            <v>8715738848900</v>
          </cell>
          <cell r="I563" t="str">
            <v>Bar Width Inserts + Leader Lines - PRO</v>
          </cell>
          <cell r="J563" t="str">
            <v>999</v>
          </cell>
          <cell r="K563" t="str">
            <v>Multiple Color</v>
          </cell>
          <cell r="L563" t="str">
            <v>O/S</v>
          </cell>
          <cell r="M563" t="str">
            <v xml:space="preserve">Carry Over </v>
          </cell>
          <cell r="N563" t="str">
            <v xml:space="preserve">Spare Parts </v>
          </cell>
          <cell r="P563" t="str">
            <v>85007.240053999O/S</v>
          </cell>
          <cell r="Q563">
            <v>548</v>
          </cell>
          <cell r="R563">
            <v>0</v>
          </cell>
          <cell r="S563">
            <v>0</v>
          </cell>
          <cell r="T563">
            <v>60.5</v>
          </cell>
          <cell r="U563">
            <v>40.4</v>
          </cell>
          <cell r="V563">
            <v>40.333333333333336</v>
          </cell>
          <cell r="W563">
            <v>60.5</v>
          </cell>
          <cell r="X563">
            <v>40.4</v>
          </cell>
          <cell r="Y563">
            <v>1.4975247524752475</v>
          </cell>
          <cell r="Z563">
            <v>28.233333333333334</v>
          </cell>
          <cell r="AA563">
            <v>28.3</v>
          </cell>
          <cell r="AB563">
            <v>34.162333333333336</v>
          </cell>
          <cell r="AC563">
            <v>34.200000000000003</v>
          </cell>
        </row>
        <row r="564">
          <cell r="H564" t="str">
            <v>8715738849914</v>
          </cell>
          <cell r="I564" t="str">
            <v>Landing Line - PRO</v>
          </cell>
          <cell r="J564" t="str">
            <v>999</v>
          </cell>
          <cell r="K564" t="str">
            <v>Multiple Color</v>
          </cell>
          <cell r="L564" t="str">
            <v>O/S</v>
          </cell>
          <cell r="M564" t="str">
            <v xml:space="preserve">Carry Over </v>
          </cell>
          <cell r="N564" t="str">
            <v xml:space="preserve">Spare Parts </v>
          </cell>
          <cell r="P564" t="str">
            <v>85007.240057999O/S</v>
          </cell>
          <cell r="Q564">
            <v>549</v>
          </cell>
          <cell r="R564">
            <v>3</v>
          </cell>
          <cell r="S564">
            <v>3</v>
          </cell>
          <cell r="T564">
            <v>15.5</v>
          </cell>
          <cell r="U564">
            <v>10.4</v>
          </cell>
          <cell r="V564">
            <v>12.333333333333334</v>
          </cell>
          <cell r="W564">
            <v>18.5</v>
          </cell>
          <cell r="X564">
            <v>12.4</v>
          </cell>
          <cell r="Y564">
            <v>1.4919354838709677</v>
          </cell>
          <cell r="Z564">
            <v>8.6333333333333329</v>
          </cell>
          <cell r="AA564">
            <v>8.6999999999999993</v>
          </cell>
          <cell r="AB564">
            <v>10.446333333333332</v>
          </cell>
          <cell r="AC564">
            <v>10.5</v>
          </cell>
        </row>
        <row r="565">
          <cell r="H565" t="str">
            <v>8715738849921</v>
          </cell>
          <cell r="I565" t="str">
            <v>Landing Line Tube with Inserts - PRO</v>
          </cell>
          <cell r="J565" t="str">
            <v>900</v>
          </cell>
          <cell r="K565" t="str">
            <v>Black</v>
          </cell>
          <cell r="L565" t="str">
            <v>O/S</v>
          </cell>
          <cell r="M565" t="str">
            <v xml:space="preserve">Carry Over </v>
          </cell>
          <cell r="N565" t="str">
            <v xml:space="preserve">Spare Parts </v>
          </cell>
          <cell r="P565" t="str">
            <v>85007.240058900O/S</v>
          </cell>
          <cell r="Q565">
            <v>550</v>
          </cell>
          <cell r="R565">
            <v>0</v>
          </cell>
          <cell r="S565">
            <v>0</v>
          </cell>
          <cell r="T565">
            <v>15.5</v>
          </cell>
          <cell r="U565">
            <v>10.4</v>
          </cell>
          <cell r="V565">
            <v>10.333333333333334</v>
          </cell>
          <cell r="W565">
            <v>15.5</v>
          </cell>
          <cell r="X565">
            <v>10.4</v>
          </cell>
          <cell r="Y565">
            <v>1.4903846153846154</v>
          </cell>
          <cell r="Z565">
            <v>7.2333333333333334</v>
          </cell>
          <cell r="AA565">
            <v>7.3</v>
          </cell>
          <cell r="AB565">
            <v>8.7523333333333326</v>
          </cell>
          <cell r="AC565">
            <v>8.7999999999999989</v>
          </cell>
        </row>
        <row r="566">
          <cell r="H566" t="str">
            <v>8715738849938</v>
          </cell>
          <cell r="I566" t="str">
            <v>Navigator Replacement Bearing</v>
          </cell>
          <cell r="J566" t="str">
            <v>999</v>
          </cell>
          <cell r="K566" t="str">
            <v>Multiple Color</v>
          </cell>
          <cell r="L566" t="str">
            <v>O/S</v>
          </cell>
          <cell r="M566" t="str">
            <v xml:space="preserve">Carry Over </v>
          </cell>
          <cell r="N566" t="str">
            <v xml:space="preserve">Spare Parts </v>
          </cell>
          <cell r="P566" t="str">
            <v>85007.240059999O/S</v>
          </cell>
          <cell r="Q566">
            <v>551</v>
          </cell>
          <cell r="R566">
            <v>0</v>
          </cell>
          <cell r="S566">
            <v>0</v>
          </cell>
          <cell r="T566">
            <v>30</v>
          </cell>
          <cell r="U566">
            <v>20</v>
          </cell>
          <cell r="V566">
            <v>20</v>
          </cell>
          <cell r="W566">
            <v>30</v>
          </cell>
          <cell r="X566">
            <v>20</v>
          </cell>
          <cell r="Y566">
            <v>1.5</v>
          </cell>
          <cell r="Z566">
            <v>14</v>
          </cell>
          <cell r="AA566">
            <v>14</v>
          </cell>
          <cell r="AB566">
            <v>16.939999999999998</v>
          </cell>
          <cell r="AC566">
            <v>17</v>
          </cell>
        </row>
        <row r="567">
          <cell r="H567" t="str">
            <v>8715738850125</v>
          </cell>
          <cell r="I567" t="str">
            <v>Trim handle &amp; Stopper ball - Pro</v>
          </cell>
          <cell r="J567" t="str">
            <v>999</v>
          </cell>
          <cell r="K567" t="str">
            <v>Multiple Color</v>
          </cell>
          <cell r="L567" t="str">
            <v>O/S</v>
          </cell>
          <cell r="M567" t="str">
            <v xml:space="preserve">Carry Over </v>
          </cell>
          <cell r="N567" t="str">
            <v xml:space="preserve">Spare Parts </v>
          </cell>
          <cell r="P567" t="str">
            <v>85007.240104999O/S</v>
          </cell>
          <cell r="Q567">
            <v>552</v>
          </cell>
          <cell r="R567">
            <v>0</v>
          </cell>
          <cell r="S567">
            <v>0</v>
          </cell>
          <cell r="T567">
            <v>15.5</v>
          </cell>
          <cell r="U567">
            <v>10.4</v>
          </cell>
          <cell r="V567">
            <v>10.333333333333334</v>
          </cell>
          <cell r="W567">
            <v>15.5</v>
          </cell>
          <cell r="X567">
            <v>10.4</v>
          </cell>
          <cell r="Y567">
            <v>1.4903846153846154</v>
          </cell>
          <cell r="Z567">
            <v>7.2333333333333334</v>
          </cell>
          <cell r="AA567">
            <v>7.3</v>
          </cell>
          <cell r="AB567">
            <v>8.7523333333333326</v>
          </cell>
          <cell r="AC567">
            <v>8.7999999999999989</v>
          </cell>
        </row>
        <row r="568">
          <cell r="H568" t="str">
            <v>8715738833289</v>
          </cell>
          <cell r="I568" t="str">
            <v>Trim handle and stopper ball - Short Throw</v>
          </cell>
          <cell r="J568" t="str">
            <v>999</v>
          </cell>
          <cell r="K568" t="str">
            <v>Multiple Color</v>
          </cell>
          <cell r="L568" t="str">
            <v>O/S</v>
          </cell>
          <cell r="M568" t="str">
            <v xml:space="preserve">Carry Over </v>
          </cell>
          <cell r="N568" t="str">
            <v xml:space="preserve">Spare Parts </v>
          </cell>
          <cell r="P568" t="str">
            <v>85007.240105999O/S</v>
          </cell>
          <cell r="Q568">
            <v>553</v>
          </cell>
          <cell r="R568">
            <v>0</v>
          </cell>
          <cell r="S568">
            <v>0</v>
          </cell>
          <cell r="T568">
            <v>15.5</v>
          </cell>
          <cell r="U568">
            <v>10.4</v>
          </cell>
          <cell r="V568">
            <v>10.333333333333334</v>
          </cell>
          <cell r="W568">
            <v>15.5</v>
          </cell>
          <cell r="X568">
            <v>10.4</v>
          </cell>
          <cell r="Y568">
            <v>1.4903846153846154</v>
          </cell>
          <cell r="Z568">
            <v>7.2333333333333334</v>
          </cell>
          <cell r="AA568">
            <v>7.3</v>
          </cell>
          <cell r="AB568">
            <v>8.7523333333333326</v>
          </cell>
          <cell r="AC568">
            <v>8.7999999999999989</v>
          </cell>
        </row>
        <row r="569">
          <cell r="H569" t="str">
            <v>8715738848955</v>
          </cell>
          <cell r="I569" t="str">
            <v>Cleat Kit - PRO</v>
          </cell>
          <cell r="J569" t="str">
            <v>999</v>
          </cell>
          <cell r="K569" t="str">
            <v>Multiple color</v>
          </cell>
          <cell r="L569" t="str">
            <v>O/S</v>
          </cell>
          <cell r="M569" t="str">
            <v xml:space="preserve">Carry Over </v>
          </cell>
          <cell r="N569" t="str">
            <v xml:space="preserve">Spare Parts </v>
          </cell>
          <cell r="P569" t="str">
            <v>85007.240109999O/S</v>
          </cell>
          <cell r="Q569">
            <v>554</v>
          </cell>
          <cell r="R569">
            <v>0</v>
          </cell>
          <cell r="S569">
            <v>0</v>
          </cell>
          <cell r="T569">
            <v>30</v>
          </cell>
          <cell r="U569">
            <v>20</v>
          </cell>
          <cell r="V569">
            <v>20</v>
          </cell>
          <cell r="W569">
            <v>30</v>
          </cell>
          <cell r="X569">
            <v>20</v>
          </cell>
          <cell r="Y569">
            <v>1.5</v>
          </cell>
          <cell r="Z569">
            <v>14</v>
          </cell>
          <cell r="AA569">
            <v>14</v>
          </cell>
          <cell r="AB569">
            <v>16.939999999999998</v>
          </cell>
          <cell r="AC569">
            <v>17</v>
          </cell>
        </row>
        <row r="570">
          <cell r="H570" t="str">
            <v>8715738824232</v>
          </cell>
          <cell r="I570" t="str">
            <v>LockGuard Safety Ring with pull tab set 2</v>
          </cell>
          <cell r="J570" t="str">
            <v>900</v>
          </cell>
          <cell r="K570" t="str">
            <v>Black</v>
          </cell>
          <cell r="L570" t="str">
            <v>O/S</v>
          </cell>
          <cell r="M570" t="str">
            <v xml:space="preserve">Carry Over </v>
          </cell>
          <cell r="N570" t="str">
            <v xml:space="preserve">Spare Parts </v>
          </cell>
          <cell r="P570" t="str">
            <v>85007.240119900O/S</v>
          </cell>
          <cell r="Q570">
            <v>555</v>
          </cell>
          <cell r="R570">
            <v>0</v>
          </cell>
          <cell r="S570">
            <v>0</v>
          </cell>
          <cell r="T570">
            <v>10.25</v>
          </cell>
          <cell r="U570">
            <v>6.8999999999999995</v>
          </cell>
          <cell r="V570">
            <v>6.833333333333333</v>
          </cell>
          <cell r="W570">
            <v>10.25</v>
          </cell>
          <cell r="X570">
            <v>6.8999999999999995</v>
          </cell>
          <cell r="Y570">
            <v>1.4855072463768118</v>
          </cell>
          <cell r="Z570">
            <v>4.7833333333333332</v>
          </cell>
          <cell r="AA570">
            <v>4.8</v>
          </cell>
          <cell r="AB570">
            <v>5.7878333333333334</v>
          </cell>
          <cell r="AC570">
            <v>5.8</v>
          </cell>
        </row>
        <row r="571">
          <cell r="H571" t="str">
            <v>8715738910546</v>
          </cell>
          <cell r="I571" t="str">
            <v>Trim Handle and stopper ball - PRO Short Throw</v>
          </cell>
          <cell r="J571" t="str">
            <v>999</v>
          </cell>
          <cell r="K571" t="str">
            <v>Multiple Color</v>
          </cell>
          <cell r="L571" t="str">
            <v>O/S</v>
          </cell>
          <cell r="M571" t="str">
            <v>New</v>
          </cell>
          <cell r="N571" t="str">
            <v xml:space="preserve">Spare Parts </v>
          </cell>
          <cell r="Q571">
            <v>556</v>
          </cell>
          <cell r="R571" t="e">
            <v>#VALUE!</v>
          </cell>
          <cell r="S571" t="e">
            <v>#VALUE!</v>
          </cell>
          <cell r="T571" t="str">
            <v/>
          </cell>
          <cell r="U571" t="str">
            <v/>
          </cell>
          <cell r="V571">
            <v>10</v>
          </cell>
          <cell r="W571">
            <v>15</v>
          </cell>
          <cell r="X571">
            <v>10</v>
          </cell>
          <cell r="Y571">
            <v>1.5</v>
          </cell>
          <cell r="Z571">
            <v>7</v>
          </cell>
          <cell r="AA571">
            <v>7</v>
          </cell>
          <cell r="AB571">
            <v>8.4699999999999989</v>
          </cell>
          <cell r="AC571">
            <v>8.5</v>
          </cell>
        </row>
        <row r="572">
          <cell r="H572" t="str">
            <v>8715738866461</v>
          </cell>
          <cell r="I572" t="str">
            <v>Fixed Line Stopper - Bag of 5</v>
          </cell>
          <cell r="J572" t="str">
            <v>800</v>
          </cell>
          <cell r="K572" t="str">
            <v>Grey</v>
          </cell>
          <cell r="L572" t="str">
            <v>O/S</v>
          </cell>
          <cell r="M572" t="str">
            <v xml:space="preserve">Carry Over </v>
          </cell>
          <cell r="N572" t="str">
            <v xml:space="preserve">Spare Parts </v>
          </cell>
          <cell r="P572" t="str">
            <v>85007.250107800O/S</v>
          </cell>
          <cell r="Q572">
            <v>557</v>
          </cell>
          <cell r="R572">
            <v>0</v>
          </cell>
          <cell r="S572">
            <v>0</v>
          </cell>
          <cell r="T572">
            <v>46</v>
          </cell>
          <cell r="U572">
            <v>30.700000000000003</v>
          </cell>
          <cell r="V572">
            <v>30.666666666666668</v>
          </cell>
          <cell r="W572">
            <v>46</v>
          </cell>
          <cell r="X572">
            <v>30.700000000000003</v>
          </cell>
          <cell r="Y572">
            <v>1.4983713355048858</v>
          </cell>
          <cell r="Z572">
            <v>21.466666666666665</v>
          </cell>
          <cell r="AA572">
            <v>21.5</v>
          </cell>
          <cell r="AB572">
            <v>25.974666666666664</v>
          </cell>
          <cell r="AC572">
            <v>26</v>
          </cell>
        </row>
        <row r="573">
          <cell r="H573" t="str">
            <v>8715738821651</v>
          </cell>
          <cell r="I573" t="str">
            <v>Horizon Quick Dry S/S Tee</v>
          </cell>
          <cell r="J573" t="str">
            <v>910</v>
          </cell>
          <cell r="K573" t="str">
            <v>Caviar</v>
          </cell>
          <cell r="L573" t="str">
            <v>XS</v>
          </cell>
          <cell r="M573" t="str">
            <v xml:space="preserve">Carry over </v>
          </cell>
          <cell r="N573" t="str">
            <v>Apparel &amp; POS</v>
          </cell>
          <cell r="P573" t="str">
            <v>85105.240023910XS</v>
          </cell>
          <cell r="Q573">
            <v>558</v>
          </cell>
          <cell r="R573" t="e">
            <v>#VALUE!</v>
          </cell>
          <cell r="S573" t="e">
            <v>#VALUE!</v>
          </cell>
          <cell r="T573" t="str">
            <v/>
          </cell>
          <cell r="U573" t="str">
            <v/>
          </cell>
          <cell r="V573">
            <v>27.495000000000001</v>
          </cell>
          <cell r="W573">
            <v>54.99</v>
          </cell>
          <cell r="X573">
            <v>27.5</v>
          </cell>
          <cell r="Y573">
            <v>1.9996363636363637</v>
          </cell>
          <cell r="Z573">
            <v>19.246500000000001</v>
          </cell>
          <cell r="AA573">
            <v>19.3</v>
          </cell>
          <cell r="AB573">
            <v>23.288264999999999</v>
          </cell>
          <cell r="AC573">
            <v>23.3</v>
          </cell>
        </row>
        <row r="574">
          <cell r="H574" t="str">
            <v>8715738821668</v>
          </cell>
          <cell r="I574" t="str">
            <v>Horizon Quick Dry S/S Tee</v>
          </cell>
          <cell r="J574" t="str">
            <v>910</v>
          </cell>
          <cell r="K574" t="str">
            <v>Caviar</v>
          </cell>
          <cell r="L574" t="str">
            <v>S</v>
          </cell>
          <cell r="M574" t="str">
            <v xml:space="preserve">Carry over </v>
          </cell>
          <cell r="N574" t="str">
            <v>Apparel &amp; POS</v>
          </cell>
          <cell r="P574" t="str">
            <v>85105.240023910S</v>
          </cell>
          <cell r="Q574">
            <v>559</v>
          </cell>
          <cell r="R574" t="e">
            <v>#VALUE!</v>
          </cell>
          <cell r="S574" t="e">
            <v>#VALUE!</v>
          </cell>
          <cell r="T574" t="str">
            <v/>
          </cell>
          <cell r="U574" t="str">
            <v/>
          </cell>
          <cell r="V574">
            <v>27.495000000000001</v>
          </cell>
          <cell r="W574">
            <v>54.99</v>
          </cell>
          <cell r="X574">
            <v>27.5</v>
          </cell>
          <cell r="Y574">
            <v>1.9996363636363637</v>
          </cell>
          <cell r="Z574">
            <v>19.246500000000001</v>
          </cell>
          <cell r="AA574">
            <v>19.3</v>
          </cell>
          <cell r="AB574">
            <v>23.288264999999999</v>
          </cell>
          <cell r="AC574">
            <v>23.3</v>
          </cell>
        </row>
        <row r="575">
          <cell r="H575" t="str">
            <v>8715738821675</v>
          </cell>
          <cell r="I575" t="str">
            <v>Horizon Quick Dry S/S Tee</v>
          </cell>
          <cell r="J575" t="str">
            <v>910</v>
          </cell>
          <cell r="K575" t="str">
            <v>Caviar</v>
          </cell>
          <cell r="L575" t="str">
            <v>M</v>
          </cell>
          <cell r="M575" t="str">
            <v xml:space="preserve">Carry over </v>
          </cell>
          <cell r="N575" t="str">
            <v>Apparel &amp; POS</v>
          </cell>
          <cell r="P575" t="str">
            <v>85105.240023910M</v>
          </cell>
          <cell r="Q575">
            <v>560</v>
          </cell>
          <cell r="R575" t="e">
            <v>#VALUE!</v>
          </cell>
          <cell r="S575" t="e">
            <v>#VALUE!</v>
          </cell>
          <cell r="T575" t="str">
            <v/>
          </cell>
          <cell r="U575" t="str">
            <v/>
          </cell>
          <cell r="V575">
            <v>27.495000000000001</v>
          </cell>
          <cell r="W575">
            <v>54.99</v>
          </cell>
          <cell r="X575">
            <v>27.5</v>
          </cell>
          <cell r="Y575">
            <v>1.9996363636363637</v>
          </cell>
          <cell r="Z575">
            <v>19.246500000000001</v>
          </cell>
          <cell r="AA575">
            <v>19.3</v>
          </cell>
          <cell r="AB575">
            <v>23.288264999999999</v>
          </cell>
          <cell r="AC575">
            <v>23.3</v>
          </cell>
        </row>
        <row r="576">
          <cell r="H576" t="str">
            <v>8715738821682</v>
          </cell>
          <cell r="I576" t="str">
            <v>Horizon Quick Dry S/S Tee</v>
          </cell>
          <cell r="J576" t="str">
            <v>910</v>
          </cell>
          <cell r="K576" t="str">
            <v>Caviar</v>
          </cell>
          <cell r="L576" t="str">
            <v>L</v>
          </cell>
          <cell r="M576" t="str">
            <v xml:space="preserve">Carry over </v>
          </cell>
          <cell r="N576" t="str">
            <v>Apparel &amp; POS</v>
          </cell>
          <cell r="P576" t="str">
            <v>85105.240023910L</v>
          </cell>
          <cell r="Q576">
            <v>561</v>
          </cell>
          <cell r="R576" t="e">
            <v>#VALUE!</v>
          </cell>
          <cell r="S576" t="e">
            <v>#VALUE!</v>
          </cell>
          <cell r="T576" t="str">
            <v/>
          </cell>
          <cell r="U576" t="str">
            <v/>
          </cell>
          <cell r="V576">
            <v>27.495000000000001</v>
          </cell>
          <cell r="W576">
            <v>54.99</v>
          </cell>
          <cell r="X576">
            <v>27.5</v>
          </cell>
          <cell r="Y576">
            <v>1.9996363636363637</v>
          </cell>
          <cell r="Z576">
            <v>19.246500000000001</v>
          </cell>
          <cell r="AA576">
            <v>19.3</v>
          </cell>
          <cell r="AB576">
            <v>23.288264999999999</v>
          </cell>
          <cell r="AC576">
            <v>23.3</v>
          </cell>
        </row>
        <row r="577">
          <cell r="H577" t="str">
            <v>8715738821699</v>
          </cell>
          <cell r="I577" t="str">
            <v>Horizon Quick Dry S/S Tee</v>
          </cell>
          <cell r="J577" t="str">
            <v>910</v>
          </cell>
          <cell r="K577" t="str">
            <v>Caviar</v>
          </cell>
          <cell r="L577" t="str">
            <v>XL</v>
          </cell>
          <cell r="M577" t="str">
            <v xml:space="preserve">Carry over </v>
          </cell>
          <cell r="N577" t="str">
            <v>Apparel &amp; POS</v>
          </cell>
          <cell r="P577" t="str">
            <v>85105.240023910XL</v>
          </cell>
          <cell r="Q577">
            <v>562</v>
          </cell>
          <cell r="R577" t="e">
            <v>#VALUE!</v>
          </cell>
          <cell r="S577" t="e">
            <v>#VALUE!</v>
          </cell>
          <cell r="T577" t="str">
            <v/>
          </cell>
          <cell r="U577" t="str">
            <v/>
          </cell>
          <cell r="V577">
            <v>27.495000000000001</v>
          </cell>
          <cell r="W577">
            <v>54.99</v>
          </cell>
          <cell r="X577">
            <v>27.5</v>
          </cell>
          <cell r="Y577">
            <v>1.9996363636363637</v>
          </cell>
          <cell r="Z577">
            <v>19.246500000000001</v>
          </cell>
          <cell r="AA577">
            <v>19.3</v>
          </cell>
          <cell r="AB577">
            <v>23.288264999999999</v>
          </cell>
          <cell r="AC577">
            <v>23.3</v>
          </cell>
        </row>
        <row r="578">
          <cell r="H578" t="str">
            <v>8715738821705</v>
          </cell>
          <cell r="I578" t="str">
            <v>Horizon Quick Dry S/S Tee</v>
          </cell>
          <cell r="J578" t="str">
            <v>910</v>
          </cell>
          <cell r="K578" t="str">
            <v>Caviar</v>
          </cell>
          <cell r="L578" t="str">
            <v>XXL</v>
          </cell>
          <cell r="M578" t="str">
            <v xml:space="preserve">Carry over </v>
          </cell>
          <cell r="N578" t="str">
            <v>Apparel &amp; POS</v>
          </cell>
          <cell r="P578" t="str">
            <v>85105.240023910XXL</v>
          </cell>
          <cell r="Q578">
            <v>563</v>
          </cell>
          <cell r="R578" t="e">
            <v>#VALUE!</v>
          </cell>
          <cell r="S578" t="e">
            <v>#VALUE!</v>
          </cell>
          <cell r="T578" t="str">
            <v/>
          </cell>
          <cell r="U578" t="str">
            <v/>
          </cell>
          <cell r="V578">
            <v>27.495000000000001</v>
          </cell>
          <cell r="W578">
            <v>54.99</v>
          </cell>
          <cell r="X578">
            <v>27.5</v>
          </cell>
          <cell r="Y578">
            <v>1.9996363636363637</v>
          </cell>
          <cell r="Z578">
            <v>19.246500000000001</v>
          </cell>
          <cell r="AA578">
            <v>19.3</v>
          </cell>
          <cell r="AB578">
            <v>23.288264999999999</v>
          </cell>
          <cell r="AC578">
            <v>23.3</v>
          </cell>
        </row>
        <row r="579">
          <cell r="H579" t="str">
            <v>8715738861763</v>
          </cell>
          <cell r="I579" t="str">
            <v>Brand Crew Sweat</v>
          </cell>
          <cell r="J579" t="str">
            <v>900</v>
          </cell>
          <cell r="K579" t="str">
            <v>Black</v>
          </cell>
          <cell r="L579" t="str">
            <v>XS</v>
          </cell>
          <cell r="M579" t="str">
            <v xml:space="preserve">Carry Over </v>
          </cell>
          <cell r="N579" t="str">
            <v>Apparel &amp; POS</v>
          </cell>
          <cell r="P579" t="str">
            <v>85104.250001900XS</v>
          </cell>
          <cell r="Q579">
            <v>564</v>
          </cell>
          <cell r="R579">
            <v>0.19999999999999574</v>
          </cell>
          <cell r="S579">
            <v>0.19999999999999574</v>
          </cell>
          <cell r="T579">
            <v>89.99</v>
          </cell>
          <cell r="U579">
            <v>44.800000000000004</v>
          </cell>
          <cell r="V579">
            <v>44.994999999999997</v>
          </cell>
          <cell r="W579">
            <v>89.99</v>
          </cell>
          <cell r="X579">
            <v>45</v>
          </cell>
          <cell r="Y579">
            <v>1.9997777777777777</v>
          </cell>
          <cell r="Z579">
            <v>31.496499999999997</v>
          </cell>
          <cell r="AA579">
            <v>31.5</v>
          </cell>
          <cell r="AB579">
            <v>38.110764999999994</v>
          </cell>
          <cell r="AC579">
            <v>38.200000000000003</v>
          </cell>
        </row>
        <row r="580">
          <cell r="H580" t="str">
            <v>8715738861770</v>
          </cell>
          <cell r="I580" t="str">
            <v>Brand Crew Sweat</v>
          </cell>
          <cell r="J580" t="str">
            <v>900</v>
          </cell>
          <cell r="K580" t="str">
            <v>Black</v>
          </cell>
          <cell r="L580" t="str">
            <v>S</v>
          </cell>
          <cell r="M580" t="str">
            <v xml:space="preserve">Carry Over </v>
          </cell>
          <cell r="N580" t="str">
            <v>Apparel &amp; POS</v>
          </cell>
          <cell r="P580" t="str">
            <v>85104.250001900S</v>
          </cell>
          <cell r="Q580">
            <v>565</v>
          </cell>
          <cell r="R580">
            <v>0.19999999999999574</v>
          </cell>
          <cell r="S580">
            <v>0.19999999999999574</v>
          </cell>
          <cell r="T580">
            <v>89.99</v>
          </cell>
          <cell r="U580">
            <v>44.800000000000004</v>
          </cell>
          <cell r="V580">
            <v>44.994999999999997</v>
          </cell>
          <cell r="W580">
            <v>89.99</v>
          </cell>
          <cell r="X580">
            <v>45</v>
          </cell>
          <cell r="Y580">
            <v>1.9997777777777777</v>
          </cell>
          <cell r="Z580">
            <v>31.496499999999997</v>
          </cell>
          <cell r="AA580">
            <v>31.5</v>
          </cell>
          <cell r="AB580">
            <v>38.110764999999994</v>
          </cell>
          <cell r="AC580">
            <v>38.200000000000003</v>
          </cell>
        </row>
        <row r="581">
          <cell r="H581" t="str">
            <v>8715738861787</v>
          </cell>
          <cell r="I581" t="str">
            <v>Brand Crew Sweat</v>
          </cell>
          <cell r="J581" t="str">
            <v>900</v>
          </cell>
          <cell r="K581" t="str">
            <v>Black</v>
          </cell>
          <cell r="L581" t="str">
            <v>M</v>
          </cell>
          <cell r="M581" t="str">
            <v xml:space="preserve">Carry Over </v>
          </cell>
          <cell r="N581" t="str">
            <v>Apparel &amp; POS</v>
          </cell>
          <cell r="P581" t="str">
            <v>85104.250001900M</v>
          </cell>
          <cell r="Q581">
            <v>566</v>
          </cell>
          <cell r="R581">
            <v>0.19999999999999574</v>
          </cell>
          <cell r="S581">
            <v>0.19999999999999574</v>
          </cell>
          <cell r="T581">
            <v>89.99</v>
          </cell>
          <cell r="U581">
            <v>44.800000000000004</v>
          </cell>
          <cell r="V581">
            <v>44.994999999999997</v>
          </cell>
          <cell r="W581">
            <v>89.99</v>
          </cell>
          <cell r="X581">
            <v>45</v>
          </cell>
          <cell r="Y581">
            <v>1.9997777777777777</v>
          </cell>
          <cell r="Z581">
            <v>31.496499999999997</v>
          </cell>
          <cell r="AA581">
            <v>31.5</v>
          </cell>
          <cell r="AB581">
            <v>38.110764999999994</v>
          </cell>
          <cell r="AC581">
            <v>38.200000000000003</v>
          </cell>
        </row>
        <row r="582">
          <cell r="H582" t="str">
            <v>8715738861794</v>
          </cell>
          <cell r="I582" t="str">
            <v>Brand Crew Sweat</v>
          </cell>
          <cell r="J582" t="str">
            <v>900</v>
          </cell>
          <cell r="K582" t="str">
            <v>Black</v>
          </cell>
          <cell r="L582" t="str">
            <v>L</v>
          </cell>
          <cell r="M582" t="str">
            <v xml:space="preserve">Carry Over </v>
          </cell>
          <cell r="N582" t="str">
            <v>Apparel &amp; POS</v>
          </cell>
          <cell r="P582" t="str">
            <v>85104.250001900L</v>
          </cell>
          <cell r="Q582">
            <v>567</v>
          </cell>
          <cell r="R582">
            <v>0.19999999999999574</v>
          </cell>
          <cell r="S582">
            <v>0.19999999999999574</v>
          </cell>
          <cell r="T582">
            <v>89.99</v>
          </cell>
          <cell r="U582">
            <v>44.800000000000004</v>
          </cell>
          <cell r="V582">
            <v>44.994999999999997</v>
          </cell>
          <cell r="W582">
            <v>89.99</v>
          </cell>
          <cell r="X582">
            <v>45</v>
          </cell>
          <cell r="Y582">
            <v>1.9997777777777777</v>
          </cell>
          <cell r="Z582">
            <v>31.496499999999997</v>
          </cell>
          <cell r="AA582">
            <v>31.5</v>
          </cell>
          <cell r="AB582">
            <v>38.110764999999994</v>
          </cell>
          <cell r="AC582">
            <v>38.200000000000003</v>
          </cell>
        </row>
        <row r="583">
          <cell r="H583" t="str">
            <v>8715738861800</v>
          </cell>
          <cell r="I583" t="str">
            <v>Brand Crew Sweat</v>
          </cell>
          <cell r="J583" t="str">
            <v>900</v>
          </cell>
          <cell r="K583" t="str">
            <v>Black</v>
          </cell>
          <cell r="L583" t="str">
            <v>XL</v>
          </cell>
          <cell r="M583" t="str">
            <v xml:space="preserve">Carry Over </v>
          </cell>
          <cell r="N583" t="str">
            <v>Apparel &amp; POS</v>
          </cell>
          <cell r="P583" t="str">
            <v>85104.250001900XL</v>
          </cell>
          <cell r="Q583">
            <v>568</v>
          </cell>
          <cell r="R583">
            <v>0.19999999999999574</v>
          </cell>
          <cell r="S583">
            <v>0.19999999999999574</v>
          </cell>
          <cell r="T583">
            <v>89.99</v>
          </cell>
          <cell r="U583">
            <v>44.800000000000004</v>
          </cell>
          <cell r="V583">
            <v>44.994999999999997</v>
          </cell>
          <cell r="W583">
            <v>89.99</v>
          </cell>
          <cell r="X583">
            <v>45</v>
          </cell>
          <cell r="Y583">
            <v>1.9997777777777777</v>
          </cell>
          <cell r="Z583">
            <v>31.496499999999997</v>
          </cell>
          <cell r="AA583">
            <v>31.5</v>
          </cell>
          <cell r="AB583">
            <v>38.110764999999994</v>
          </cell>
          <cell r="AC583">
            <v>38.200000000000003</v>
          </cell>
        </row>
        <row r="584">
          <cell r="H584" t="str">
            <v>8715738861817</v>
          </cell>
          <cell r="I584" t="str">
            <v>Brand Crew Sweat</v>
          </cell>
          <cell r="J584" t="str">
            <v>900</v>
          </cell>
          <cell r="K584" t="str">
            <v>Black</v>
          </cell>
          <cell r="L584" t="str">
            <v>XXL</v>
          </cell>
          <cell r="M584" t="str">
            <v xml:space="preserve">Carry Over </v>
          </cell>
          <cell r="N584" t="str">
            <v>Apparel &amp; POS</v>
          </cell>
          <cell r="P584" t="str">
            <v>85104.250001900XXL</v>
          </cell>
          <cell r="Q584">
            <v>569</v>
          </cell>
          <cell r="R584">
            <v>0.19999999999999574</v>
          </cell>
          <cell r="S584">
            <v>0.19999999999999574</v>
          </cell>
          <cell r="T584">
            <v>89.99</v>
          </cell>
          <cell r="U584">
            <v>44.800000000000004</v>
          </cell>
          <cell r="V584">
            <v>44.994999999999997</v>
          </cell>
          <cell r="W584">
            <v>89.99</v>
          </cell>
          <cell r="X584">
            <v>45</v>
          </cell>
          <cell r="Y584">
            <v>1.9997777777777777</v>
          </cell>
          <cell r="Z584">
            <v>31.496499999999997</v>
          </cell>
          <cell r="AA584">
            <v>31.5</v>
          </cell>
          <cell r="AB584">
            <v>38.110764999999994</v>
          </cell>
          <cell r="AC584">
            <v>38.200000000000003</v>
          </cell>
        </row>
        <row r="585">
          <cell r="H585" t="str">
            <v>8715738824744</v>
          </cell>
          <cell r="I585" t="str">
            <v>Fly Tee</v>
          </cell>
          <cell r="J585" t="str">
            <v>100</v>
          </cell>
          <cell r="K585" t="str">
            <v>White</v>
          </cell>
          <cell r="L585" t="str">
            <v>S</v>
          </cell>
          <cell r="M585" t="str">
            <v xml:space="preserve">Carry Over </v>
          </cell>
          <cell r="N585" t="str">
            <v>Apparel &amp; POS</v>
          </cell>
          <cell r="P585" t="str">
            <v>85105.240013100S</v>
          </cell>
          <cell r="Q585">
            <v>570</v>
          </cell>
          <cell r="R585" t="e">
            <v>#VALUE!</v>
          </cell>
          <cell r="S585" t="e">
            <v>#VALUE!</v>
          </cell>
          <cell r="T585" t="str">
            <v/>
          </cell>
          <cell r="U585" t="str">
            <v/>
          </cell>
          <cell r="V585">
            <v>18.495000000000001</v>
          </cell>
          <cell r="W585">
            <v>36.99</v>
          </cell>
          <cell r="X585">
            <v>18.5</v>
          </cell>
          <cell r="Y585">
            <v>1.9994594594594595</v>
          </cell>
          <cell r="Z585">
            <v>12.9465</v>
          </cell>
          <cell r="AA585">
            <v>13</v>
          </cell>
          <cell r="AB585">
            <v>15.665265</v>
          </cell>
          <cell r="AC585">
            <v>15.7</v>
          </cell>
        </row>
        <row r="586">
          <cell r="H586" t="str">
            <v>8715738824751</v>
          </cell>
          <cell r="I586" t="str">
            <v>Fly Tee</v>
          </cell>
          <cell r="J586" t="str">
            <v>100</v>
          </cell>
          <cell r="K586" t="str">
            <v>White</v>
          </cell>
          <cell r="L586" t="str">
            <v>M</v>
          </cell>
          <cell r="M586" t="str">
            <v xml:space="preserve">Carry Over </v>
          </cell>
          <cell r="N586" t="str">
            <v>Apparel &amp; POS</v>
          </cell>
          <cell r="P586" t="str">
            <v>85105.240013100M</v>
          </cell>
          <cell r="Q586">
            <v>571</v>
          </cell>
          <cell r="R586" t="e">
            <v>#VALUE!</v>
          </cell>
          <cell r="S586" t="e">
            <v>#VALUE!</v>
          </cell>
          <cell r="T586" t="str">
            <v/>
          </cell>
          <cell r="U586" t="str">
            <v/>
          </cell>
          <cell r="V586">
            <v>18.495000000000001</v>
          </cell>
          <cell r="W586">
            <v>36.99</v>
          </cell>
          <cell r="X586">
            <v>18.5</v>
          </cell>
          <cell r="Y586">
            <v>1.9994594594594595</v>
          </cell>
          <cell r="Z586">
            <v>12.9465</v>
          </cell>
          <cell r="AA586">
            <v>13</v>
          </cell>
          <cell r="AB586">
            <v>15.665265</v>
          </cell>
          <cell r="AC586">
            <v>15.7</v>
          </cell>
        </row>
        <row r="587">
          <cell r="H587" t="str">
            <v>8715738824768</v>
          </cell>
          <cell r="I587" t="str">
            <v>Fly Tee</v>
          </cell>
          <cell r="J587" t="str">
            <v>100</v>
          </cell>
          <cell r="K587" t="str">
            <v>White</v>
          </cell>
          <cell r="L587" t="str">
            <v>L</v>
          </cell>
          <cell r="M587" t="str">
            <v xml:space="preserve">Carry Over </v>
          </cell>
          <cell r="N587" t="str">
            <v>Apparel &amp; POS</v>
          </cell>
          <cell r="P587" t="str">
            <v>85105.240013100L</v>
          </cell>
          <cell r="Q587">
            <v>572</v>
          </cell>
          <cell r="R587" t="e">
            <v>#VALUE!</v>
          </cell>
          <cell r="S587" t="e">
            <v>#VALUE!</v>
          </cell>
          <cell r="T587" t="str">
            <v/>
          </cell>
          <cell r="U587" t="str">
            <v/>
          </cell>
          <cell r="V587">
            <v>18.495000000000001</v>
          </cell>
          <cell r="W587">
            <v>36.99</v>
          </cell>
          <cell r="X587">
            <v>18.5</v>
          </cell>
          <cell r="Y587">
            <v>1.9994594594594595</v>
          </cell>
          <cell r="Z587">
            <v>12.9465</v>
          </cell>
          <cell r="AA587">
            <v>13</v>
          </cell>
          <cell r="AB587">
            <v>15.665265</v>
          </cell>
          <cell r="AC587">
            <v>15.7</v>
          </cell>
        </row>
        <row r="588">
          <cell r="H588" t="str">
            <v>8715738824775</v>
          </cell>
          <cell r="I588" t="str">
            <v>Fly Tee</v>
          </cell>
          <cell r="J588" t="str">
            <v>100</v>
          </cell>
          <cell r="K588" t="str">
            <v>White</v>
          </cell>
          <cell r="L588" t="str">
            <v>XL</v>
          </cell>
          <cell r="M588" t="str">
            <v xml:space="preserve">Carry Over </v>
          </cell>
          <cell r="N588" t="str">
            <v>Apparel &amp; POS</v>
          </cell>
          <cell r="P588" t="str">
            <v>85105.240013100XL</v>
          </cell>
          <cell r="Q588">
            <v>573</v>
          </cell>
          <cell r="R588" t="e">
            <v>#VALUE!</v>
          </cell>
          <cell r="S588" t="e">
            <v>#VALUE!</v>
          </cell>
          <cell r="T588" t="str">
            <v/>
          </cell>
          <cell r="U588" t="str">
            <v/>
          </cell>
          <cell r="V588">
            <v>18.495000000000001</v>
          </cell>
          <cell r="W588">
            <v>36.99</v>
          </cell>
          <cell r="X588">
            <v>18.5</v>
          </cell>
          <cell r="Y588">
            <v>1.9994594594594595</v>
          </cell>
          <cell r="Z588">
            <v>12.9465</v>
          </cell>
          <cell r="AA588">
            <v>13</v>
          </cell>
          <cell r="AB588">
            <v>15.665265</v>
          </cell>
          <cell r="AC588">
            <v>15.7</v>
          </cell>
        </row>
        <row r="589">
          <cell r="H589" t="str">
            <v>8715738824782</v>
          </cell>
          <cell r="I589" t="str">
            <v>Fly Tee</v>
          </cell>
          <cell r="J589" t="str">
            <v>100</v>
          </cell>
          <cell r="K589" t="str">
            <v>White</v>
          </cell>
          <cell r="L589" t="str">
            <v>XXL</v>
          </cell>
          <cell r="M589" t="str">
            <v xml:space="preserve">Carry Over </v>
          </cell>
          <cell r="N589" t="str">
            <v>Apparel &amp; POS</v>
          </cell>
          <cell r="P589" t="str">
            <v>85105.240013100XXL</v>
          </cell>
          <cell r="Q589">
            <v>574</v>
          </cell>
          <cell r="R589" t="e">
            <v>#VALUE!</v>
          </cell>
          <cell r="S589" t="e">
            <v>#VALUE!</v>
          </cell>
          <cell r="T589" t="str">
            <v/>
          </cell>
          <cell r="U589" t="str">
            <v/>
          </cell>
          <cell r="V589">
            <v>18.495000000000001</v>
          </cell>
          <cell r="W589">
            <v>36.99</v>
          </cell>
          <cell r="X589">
            <v>18.5</v>
          </cell>
          <cell r="Y589">
            <v>1.9994594594594595</v>
          </cell>
          <cell r="Z589">
            <v>12.9465</v>
          </cell>
          <cell r="AA589">
            <v>13</v>
          </cell>
          <cell r="AB589">
            <v>15.665265</v>
          </cell>
          <cell r="AC589">
            <v>15.7</v>
          </cell>
        </row>
        <row r="590">
          <cell r="H590" t="str">
            <v>8715738917293</v>
          </cell>
          <cell r="I590" t="str">
            <v>Brand Tee</v>
          </cell>
          <cell r="J590" t="str">
            <v>900</v>
          </cell>
          <cell r="K590" t="str">
            <v>Black</v>
          </cell>
          <cell r="L590" t="str">
            <v>XS</v>
          </cell>
          <cell r="M590" t="str">
            <v>New</v>
          </cell>
          <cell r="N590" t="str">
            <v>Apparel &amp; POS</v>
          </cell>
          <cell r="P590" t="str">
            <v>85105.260019900XS</v>
          </cell>
          <cell r="Q590">
            <v>575</v>
          </cell>
          <cell r="R590" t="e">
            <v>#VALUE!</v>
          </cell>
          <cell r="S590" t="e">
            <v>#VALUE!</v>
          </cell>
          <cell r="T590" t="str">
            <v/>
          </cell>
          <cell r="U590" t="str">
            <v/>
          </cell>
          <cell r="V590">
            <v>18.495000000000001</v>
          </cell>
          <cell r="W590">
            <v>36.99</v>
          </cell>
          <cell r="X590">
            <v>18.5</v>
          </cell>
          <cell r="Y590">
            <v>1.9994594594594595</v>
          </cell>
          <cell r="Z590">
            <v>12.9465</v>
          </cell>
          <cell r="AA590">
            <v>13</v>
          </cell>
          <cell r="AB590">
            <v>15.665265</v>
          </cell>
          <cell r="AC590">
            <v>15.7</v>
          </cell>
        </row>
        <row r="591">
          <cell r="H591" t="str">
            <v>8715738917309</v>
          </cell>
          <cell r="I591" t="str">
            <v>Brand Tee</v>
          </cell>
          <cell r="J591" t="str">
            <v>900</v>
          </cell>
          <cell r="K591" t="str">
            <v>Black</v>
          </cell>
          <cell r="L591" t="str">
            <v>S</v>
          </cell>
          <cell r="M591" t="str">
            <v>New</v>
          </cell>
          <cell r="N591" t="str">
            <v>Apparel &amp; POS</v>
          </cell>
          <cell r="P591" t="str">
            <v>85105.260019900S</v>
          </cell>
          <cell r="Q591">
            <v>576</v>
          </cell>
          <cell r="R591" t="e">
            <v>#VALUE!</v>
          </cell>
          <cell r="S591" t="e">
            <v>#VALUE!</v>
          </cell>
          <cell r="T591" t="str">
            <v/>
          </cell>
          <cell r="U591" t="str">
            <v/>
          </cell>
          <cell r="V591">
            <v>18.495000000000001</v>
          </cell>
          <cell r="W591">
            <v>36.99</v>
          </cell>
          <cell r="X591">
            <v>18.5</v>
          </cell>
          <cell r="Y591">
            <v>1.9994594594594595</v>
          </cell>
          <cell r="Z591">
            <v>12.9465</v>
          </cell>
          <cell r="AA591">
            <v>13</v>
          </cell>
          <cell r="AB591">
            <v>15.665265</v>
          </cell>
          <cell r="AC591">
            <v>15.7</v>
          </cell>
        </row>
        <row r="592">
          <cell r="H592" t="str">
            <v>8715738917316</v>
          </cell>
          <cell r="I592" t="str">
            <v>Brand Tee</v>
          </cell>
          <cell r="J592" t="str">
            <v>900</v>
          </cell>
          <cell r="K592" t="str">
            <v>Black</v>
          </cell>
          <cell r="L592" t="str">
            <v>M</v>
          </cell>
          <cell r="M592" t="str">
            <v>New</v>
          </cell>
          <cell r="N592" t="str">
            <v>Apparel &amp; POS</v>
          </cell>
          <cell r="P592" t="str">
            <v>85105.260019900M</v>
          </cell>
          <cell r="Q592">
            <v>577</v>
          </cell>
          <cell r="R592" t="e">
            <v>#VALUE!</v>
          </cell>
          <cell r="S592" t="e">
            <v>#VALUE!</v>
          </cell>
          <cell r="T592" t="str">
            <v/>
          </cell>
          <cell r="U592" t="str">
            <v/>
          </cell>
          <cell r="V592">
            <v>18.495000000000001</v>
          </cell>
          <cell r="W592">
            <v>36.99</v>
          </cell>
          <cell r="X592">
            <v>18.5</v>
          </cell>
          <cell r="Y592">
            <v>1.9994594594594595</v>
          </cell>
          <cell r="Z592">
            <v>12.9465</v>
          </cell>
          <cell r="AA592">
            <v>13</v>
          </cell>
          <cell r="AB592">
            <v>15.665265</v>
          </cell>
          <cell r="AC592">
            <v>15.7</v>
          </cell>
        </row>
        <row r="593">
          <cell r="H593" t="str">
            <v>8715738917323</v>
          </cell>
          <cell r="I593" t="str">
            <v>Brand Tee</v>
          </cell>
          <cell r="J593" t="str">
            <v>900</v>
          </cell>
          <cell r="K593" t="str">
            <v>Black</v>
          </cell>
          <cell r="L593" t="str">
            <v>L</v>
          </cell>
          <cell r="M593" t="str">
            <v>New</v>
          </cell>
          <cell r="N593" t="str">
            <v>Apparel &amp; POS</v>
          </cell>
          <cell r="P593" t="str">
            <v>85105.260019900L</v>
          </cell>
          <cell r="Q593">
            <v>578</v>
          </cell>
          <cell r="R593" t="e">
            <v>#VALUE!</v>
          </cell>
          <cell r="S593" t="e">
            <v>#VALUE!</v>
          </cell>
          <cell r="T593" t="str">
            <v/>
          </cell>
          <cell r="U593" t="str">
            <v/>
          </cell>
          <cell r="V593">
            <v>18.495000000000001</v>
          </cell>
          <cell r="W593">
            <v>36.99</v>
          </cell>
          <cell r="X593">
            <v>18.5</v>
          </cell>
          <cell r="Y593">
            <v>1.9994594594594595</v>
          </cell>
          <cell r="Z593">
            <v>12.9465</v>
          </cell>
          <cell r="AA593">
            <v>13</v>
          </cell>
          <cell r="AB593">
            <v>15.665265</v>
          </cell>
          <cell r="AC593">
            <v>15.7</v>
          </cell>
        </row>
        <row r="594">
          <cell r="H594" t="str">
            <v>8715738917330</v>
          </cell>
          <cell r="I594" t="str">
            <v>Brand Tee</v>
          </cell>
          <cell r="J594" t="str">
            <v>900</v>
          </cell>
          <cell r="K594" t="str">
            <v>Black</v>
          </cell>
          <cell r="L594" t="str">
            <v>XL</v>
          </cell>
          <cell r="M594" t="str">
            <v>New</v>
          </cell>
          <cell r="N594" t="str">
            <v>Apparel &amp; POS</v>
          </cell>
          <cell r="P594" t="str">
            <v>85105.260019900XL</v>
          </cell>
          <cell r="Q594">
            <v>579</v>
          </cell>
          <cell r="R594" t="e">
            <v>#VALUE!</v>
          </cell>
          <cell r="S594" t="e">
            <v>#VALUE!</v>
          </cell>
          <cell r="T594" t="str">
            <v/>
          </cell>
          <cell r="U594" t="str">
            <v/>
          </cell>
          <cell r="V594">
            <v>18.495000000000001</v>
          </cell>
          <cell r="W594">
            <v>36.99</v>
          </cell>
          <cell r="X594">
            <v>18.5</v>
          </cell>
          <cell r="Y594">
            <v>1.9994594594594595</v>
          </cell>
          <cell r="Z594">
            <v>12.9465</v>
          </cell>
          <cell r="AA594">
            <v>13</v>
          </cell>
          <cell r="AB594">
            <v>15.665265</v>
          </cell>
          <cell r="AC594">
            <v>15.7</v>
          </cell>
        </row>
        <row r="595">
          <cell r="H595" t="str">
            <v>8715738917347</v>
          </cell>
          <cell r="I595" t="str">
            <v>Brand Tee</v>
          </cell>
          <cell r="J595" t="str">
            <v>900</v>
          </cell>
          <cell r="K595" t="str">
            <v>Black</v>
          </cell>
          <cell r="L595" t="str">
            <v>XXL</v>
          </cell>
          <cell r="M595" t="str">
            <v>New</v>
          </cell>
          <cell r="N595" t="str">
            <v>Apparel &amp; POS</v>
          </cell>
          <cell r="P595" t="str">
            <v>85105.260019900XXL</v>
          </cell>
          <cell r="Q595">
            <v>580</v>
          </cell>
          <cell r="R595" t="e">
            <v>#VALUE!</v>
          </cell>
          <cell r="S595" t="e">
            <v>#VALUE!</v>
          </cell>
          <cell r="T595" t="str">
            <v/>
          </cell>
          <cell r="U595" t="str">
            <v/>
          </cell>
          <cell r="V595">
            <v>18.495000000000001</v>
          </cell>
          <cell r="W595">
            <v>36.99</v>
          </cell>
          <cell r="X595">
            <v>18.5</v>
          </cell>
          <cell r="Y595">
            <v>1.9994594594594595</v>
          </cell>
          <cell r="Z595">
            <v>12.9465</v>
          </cell>
          <cell r="AA595">
            <v>13</v>
          </cell>
          <cell r="AB595">
            <v>15.665265</v>
          </cell>
          <cell r="AC595">
            <v>15.7</v>
          </cell>
        </row>
        <row r="596">
          <cell r="H596" t="str">
            <v>8715738861923</v>
          </cell>
          <cell r="I596" t="str">
            <v>Classic Tee</v>
          </cell>
          <cell r="J596" t="str">
            <v>707</v>
          </cell>
          <cell r="K596" t="str">
            <v>Sand Grey</v>
          </cell>
          <cell r="L596" t="str">
            <v>S</v>
          </cell>
          <cell r="M596" t="str">
            <v xml:space="preserve">Carry Over </v>
          </cell>
          <cell r="N596" t="str">
            <v>Apparel &amp; POS</v>
          </cell>
          <cell r="P596" t="str">
            <v>85105.250015707S</v>
          </cell>
          <cell r="Q596">
            <v>581</v>
          </cell>
          <cell r="R596">
            <v>0</v>
          </cell>
          <cell r="S596">
            <v>0</v>
          </cell>
          <cell r="T596">
            <v>36.99</v>
          </cell>
          <cell r="U596">
            <v>18.5</v>
          </cell>
          <cell r="V596">
            <v>18.495000000000001</v>
          </cell>
          <cell r="W596">
            <v>36.99</v>
          </cell>
          <cell r="X596">
            <v>18.5</v>
          </cell>
          <cell r="Y596">
            <v>1.9994594594594595</v>
          </cell>
          <cell r="Z596">
            <v>12.9465</v>
          </cell>
          <cell r="AA596">
            <v>13</v>
          </cell>
          <cell r="AB596">
            <v>15.665265</v>
          </cell>
          <cell r="AC596">
            <v>15.7</v>
          </cell>
        </row>
        <row r="597">
          <cell r="H597" t="str">
            <v>8715738861930</v>
          </cell>
          <cell r="I597" t="str">
            <v>Classic Tee</v>
          </cell>
          <cell r="J597" t="str">
            <v>707</v>
          </cell>
          <cell r="K597" t="str">
            <v>Sand Grey</v>
          </cell>
          <cell r="L597" t="str">
            <v>M</v>
          </cell>
          <cell r="M597" t="str">
            <v xml:space="preserve">Carry Over </v>
          </cell>
          <cell r="N597" t="str">
            <v>Apparel &amp; POS</v>
          </cell>
          <cell r="P597" t="str">
            <v>85105.250015707M</v>
          </cell>
          <cell r="Q597">
            <v>582</v>
          </cell>
          <cell r="R597">
            <v>0</v>
          </cell>
          <cell r="S597">
            <v>0</v>
          </cell>
          <cell r="T597">
            <v>36.99</v>
          </cell>
          <cell r="U597">
            <v>18.5</v>
          </cell>
          <cell r="V597">
            <v>18.495000000000001</v>
          </cell>
          <cell r="W597">
            <v>36.99</v>
          </cell>
          <cell r="X597">
            <v>18.5</v>
          </cell>
          <cell r="Y597">
            <v>1.9994594594594595</v>
          </cell>
          <cell r="Z597">
            <v>12.9465</v>
          </cell>
          <cell r="AA597">
            <v>13</v>
          </cell>
          <cell r="AB597">
            <v>15.665265</v>
          </cell>
          <cell r="AC597">
            <v>15.7</v>
          </cell>
        </row>
        <row r="598">
          <cell r="H598" t="str">
            <v>8715738861947</v>
          </cell>
          <cell r="I598" t="str">
            <v>Classic Tee</v>
          </cell>
          <cell r="J598" t="str">
            <v>707</v>
          </cell>
          <cell r="K598" t="str">
            <v>Sand Grey</v>
          </cell>
          <cell r="L598" t="str">
            <v>L</v>
          </cell>
          <cell r="M598" t="str">
            <v xml:space="preserve">Carry Over </v>
          </cell>
          <cell r="N598" t="str">
            <v>Apparel &amp; POS</v>
          </cell>
          <cell r="P598" t="str">
            <v>85105.250015707L</v>
          </cell>
          <cell r="Q598">
            <v>583</v>
          </cell>
          <cell r="R598">
            <v>0</v>
          </cell>
          <cell r="S598">
            <v>0</v>
          </cell>
          <cell r="T598">
            <v>36.99</v>
          </cell>
          <cell r="U598">
            <v>18.5</v>
          </cell>
          <cell r="V598">
            <v>18.495000000000001</v>
          </cell>
          <cell r="W598">
            <v>36.99</v>
          </cell>
          <cell r="X598">
            <v>18.5</v>
          </cell>
          <cell r="Y598">
            <v>1.9994594594594595</v>
          </cell>
          <cell r="Z598">
            <v>12.9465</v>
          </cell>
          <cell r="AA598">
            <v>13</v>
          </cell>
          <cell r="AB598">
            <v>15.665265</v>
          </cell>
          <cell r="AC598">
            <v>15.7</v>
          </cell>
        </row>
        <row r="599">
          <cell r="H599" t="str">
            <v>8715738861954</v>
          </cell>
          <cell r="I599" t="str">
            <v>Classic Tee</v>
          </cell>
          <cell r="J599" t="str">
            <v>707</v>
          </cell>
          <cell r="K599" t="str">
            <v>Sand Grey</v>
          </cell>
          <cell r="L599" t="str">
            <v>XL</v>
          </cell>
          <cell r="M599" t="str">
            <v xml:space="preserve">Carry Over </v>
          </cell>
          <cell r="N599" t="str">
            <v>Apparel &amp; POS</v>
          </cell>
          <cell r="P599" t="str">
            <v>85105.250015707XL</v>
          </cell>
          <cell r="Q599">
            <v>584</v>
          </cell>
          <cell r="R599">
            <v>0</v>
          </cell>
          <cell r="S599">
            <v>0</v>
          </cell>
          <cell r="T599">
            <v>36.99</v>
          </cell>
          <cell r="U599">
            <v>18.5</v>
          </cell>
          <cell r="V599">
            <v>18.495000000000001</v>
          </cell>
          <cell r="W599">
            <v>36.99</v>
          </cell>
          <cell r="X599">
            <v>18.5</v>
          </cell>
          <cell r="Y599">
            <v>1.9994594594594595</v>
          </cell>
          <cell r="Z599">
            <v>12.9465</v>
          </cell>
          <cell r="AA599">
            <v>13</v>
          </cell>
          <cell r="AB599">
            <v>15.665265</v>
          </cell>
          <cell r="AC599">
            <v>15.7</v>
          </cell>
        </row>
        <row r="600">
          <cell r="H600" t="str">
            <v>8715738861961</v>
          </cell>
          <cell r="I600" t="str">
            <v>Classic Tee</v>
          </cell>
          <cell r="J600" t="str">
            <v>707</v>
          </cell>
          <cell r="K600" t="str">
            <v>Sand Grey</v>
          </cell>
          <cell r="L600" t="str">
            <v>XXL</v>
          </cell>
          <cell r="M600" t="str">
            <v xml:space="preserve">Carry Over </v>
          </cell>
          <cell r="N600" t="str">
            <v>Apparel &amp; POS</v>
          </cell>
          <cell r="P600" t="str">
            <v>85105.250015707XXL</v>
          </cell>
          <cell r="Q600">
            <v>585</v>
          </cell>
          <cell r="R600">
            <v>0</v>
          </cell>
          <cell r="S600">
            <v>0</v>
          </cell>
          <cell r="T600">
            <v>36.99</v>
          </cell>
          <cell r="U600">
            <v>18.5</v>
          </cell>
          <cell r="V600">
            <v>18.495000000000001</v>
          </cell>
          <cell r="W600">
            <v>36.99</v>
          </cell>
          <cell r="X600">
            <v>18.5</v>
          </cell>
          <cell r="Y600">
            <v>1.9994594594594595</v>
          </cell>
          <cell r="Z600">
            <v>12.9465</v>
          </cell>
          <cell r="AA600">
            <v>13</v>
          </cell>
          <cell r="AB600">
            <v>15.665265</v>
          </cell>
          <cell r="AC600">
            <v>15.7</v>
          </cell>
        </row>
        <row r="601">
          <cell r="H601" t="str">
            <v>8715738861978</v>
          </cell>
          <cell r="I601" t="str">
            <v>Extreme Tee</v>
          </cell>
          <cell r="J601" t="str">
            <v>608</v>
          </cell>
          <cell r="K601" t="str">
            <v>Brave Green</v>
          </cell>
          <cell r="L601" t="str">
            <v>S</v>
          </cell>
          <cell r="M601" t="str">
            <v xml:space="preserve">Carry Over </v>
          </cell>
          <cell r="N601" t="str">
            <v>Apparel &amp; POS</v>
          </cell>
          <cell r="P601" t="str">
            <v>85105.250020608S</v>
          </cell>
          <cell r="Q601">
            <v>586</v>
          </cell>
          <cell r="R601">
            <v>0</v>
          </cell>
          <cell r="S601">
            <v>0</v>
          </cell>
          <cell r="T601">
            <v>36.99</v>
          </cell>
          <cell r="U601">
            <v>18.5</v>
          </cell>
          <cell r="V601">
            <v>18.495000000000001</v>
          </cell>
          <cell r="W601">
            <v>36.99</v>
          </cell>
          <cell r="X601">
            <v>18.5</v>
          </cell>
          <cell r="Y601">
            <v>1.9994594594594595</v>
          </cell>
          <cell r="Z601">
            <v>12.9465</v>
          </cell>
          <cell r="AA601">
            <v>13</v>
          </cell>
          <cell r="AB601">
            <v>15.665265</v>
          </cell>
          <cell r="AC601">
            <v>15.7</v>
          </cell>
        </row>
        <row r="602">
          <cell r="H602" t="str">
            <v>8715738861985</v>
          </cell>
          <cell r="I602" t="str">
            <v>Extreme Tee</v>
          </cell>
          <cell r="J602" t="str">
            <v>608</v>
          </cell>
          <cell r="K602" t="str">
            <v>Brave Green</v>
          </cell>
          <cell r="L602" t="str">
            <v>M</v>
          </cell>
          <cell r="M602" t="str">
            <v xml:space="preserve">Carry Over </v>
          </cell>
          <cell r="N602" t="str">
            <v>Apparel &amp; POS</v>
          </cell>
          <cell r="P602" t="str">
            <v>85105.250020608M</v>
          </cell>
          <cell r="Q602">
            <v>587</v>
          </cell>
          <cell r="R602">
            <v>0</v>
          </cell>
          <cell r="S602">
            <v>0</v>
          </cell>
          <cell r="T602">
            <v>36.99</v>
          </cell>
          <cell r="U602">
            <v>18.5</v>
          </cell>
          <cell r="V602">
            <v>18.495000000000001</v>
          </cell>
          <cell r="W602">
            <v>36.99</v>
          </cell>
          <cell r="X602">
            <v>18.5</v>
          </cell>
          <cell r="Y602">
            <v>1.9994594594594595</v>
          </cell>
          <cell r="Z602">
            <v>12.9465</v>
          </cell>
          <cell r="AA602">
            <v>13</v>
          </cell>
          <cell r="AB602">
            <v>15.665265</v>
          </cell>
          <cell r="AC602">
            <v>15.7</v>
          </cell>
        </row>
        <row r="603">
          <cell r="H603" t="str">
            <v>8715738861992</v>
          </cell>
          <cell r="I603" t="str">
            <v>Extreme Tee</v>
          </cell>
          <cell r="J603" t="str">
            <v>608</v>
          </cell>
          <cell r="K603" t="str">
            <v>Brave Green</v>
          </cell>
          <cell r="L603" t="str">
            <v>L</v>
          </cell>
          <cell r="M603" t="str">
            <v xml:space="preserve">Carry Over </v>
          </cell>
          <cell r="N603" t="str">
            <v>Apparel &amp; POS</v>
          </cell>
          <cell r="P603" t="str">
            <v>85105.250020608L</v>
          </cell>
          <cell r="Q603">
            <v>588</v>
          </cell>
          <cell r="R603">
            <v>0</v>
          </cell>
          <cell r="S603">
            <v>0</v>
          </cell>
          <cell r="T603">
            <v>36.99</v>
          </cell>
          <cell r="U603">
            <v>18.5</v>
          </cell>
          <cell r="V603">
            <v>18.495000000000001</v>
          </cell>
          <cell r="W603">
            <v>36.99</v>
          </cell>
          <cell r="X603">
            <v>18.5</v>
          </cell>
          <cell r="Y603">
            <v>1.9994594594594595</v>
          </cell>
          <cell r="Z603">
            <v>12.9465</v>
          </cell>
          <cell r="AA603">
            <v>13</v>
          </cell>
          <cell r="AB603">
            <v>15.665265</v>
          </cell>
          <cell r="AC603">
            <v>15.7</v>
          </cell>
        </row>
        <row r="604">
          <cell r="H604" t="str">
            <v>8715738862005</v>
          </cell>
          <cell r="I604" t="str">
            <v>Extreme Tee</v>
          </cell>
          <cell r="J604" t="str">
            <v>608</v>
          </cell>
          <cell r="K604" t="str">
            <v>Brave Green</v>
          </cell>
          <cell r="L604" t="str">
            <v>XL</v>
          </cell>
          <cell r="M604" t="str">
            <v xml:space="preserve">Carry Over </v>
          </cell>
          <cell r="N604" t="str">
            <v>Apparel &amp; POS</v>
          </cell>
          <cell r="P604" t="str">
            <v>85105.250020608XL</v>
          </cell>
          <cell r="Q604">
            <v>589</v>
          </cell>
          <cell r="R604">
            <v>0</v>
          </cell>
          <cell r="S604">
            <v>0</v>
          </cell>
          <cell r="T604">
            <v>36.99</v>
          </cell>
          <cell r="U604">
            <v>18.5</v>
          </cell>
          <cell r="V604">
            <v>18.495000000000001</v>
          </cell>
          <cell r="W604">
            <v>36.99</v>
          </cell>
          <cell r="X604">
            <v>18.5</v>
          </cell>
          <cell r="Y604">
            <v>1.9994594594594595</v>
          </cell>
          <cell r="Z604">
            <v>12.9465</v>
          </cell>
          <cell r="AA604">
            <v>13</v>
          </cell>
          <cell r="AB604">
            <v>15.665265</v>
          </cell>
          <cell r="AC604">
            <v>15.7</v>
          </cell>
        </row>
        <row r="605">
          <cell r="H605" t="str">
            <v>8715738862012</v>
          </cell>
          <cell r="I605" t="str">
            <v>Extreme Tee</v>
          </cell>
          <cell r="J605" t="str">
            <v>608</v>
          </cell>
          <cell r="K605" t="str">
            <v>Brave Green</v>
          </cell>
          <cell r="L605" t="str">
            <v>XXL</v>
          </cell>
          <cell r="M605" t="str">
            <v xml:space="preserve">Carry Over </v>
          </cell>
          <cell r="N605" t="str">
            <v>Apparel &amp; POS</v>
          </cell>
          <cell r="P605" t="str">
            <v>85105.250020608XXL</v>
          </cell>
          <cell r="Q605">
            <v>590</v>
          </cell>
          <cell r="R605">
            <v>0</v>
          </cell>
          <cell r="S605">
            <v>0</v>
          </cell>
          <cell r="T605">
            <v>36.99</v>
          </cell>
          <cell r="U605">
            <v>18.5</v>
          </cell>
          <cell r="V605">
            <v>18.495000000000001</v>
          </cell>
          <cell r="W605">
            <v>36.99</v>
          </cell>
          <cell r="X605">
            <v>18.5</v>
          </cell>
          <cell r="Y605">
            <v>1.9994594594594595</v>
          </cell>
          <cell r="Z605">
            <v>12.9465</v>
          </cell>
          <cell r="AA605">
            <v>13</v>
          </cell>
          <cell r="AB605">
            <v>15.665265</v>
          </cell>
          <cell r="AC605">
            <v>15.7</v>
          </cell>
        </row>
        <row r="606">
          <cell r="H606" t="str">
            <v>8715738862173</v>
          </cell>
          <cell r="I606" t="str">
            <v>Voyager Tee</v>
          </cell>
          <cell r="J606" t="str">
            <v>410</v>
          </cell>
          <cell r="K606" t="str">
            <v>Navy</v>
          </cell>
          <cell r="L606" t="str">
            <v>S</v>
          </cell>
          <cell r="M606" t="str">
            <v xml:space="preserve">Carry Over </v>
          </cell>
          <cell r="N606" t="str">
            <v>Apparel &amp; POS</v>
          </cell>
          <cell r="P606" t="str">
            <v>85105.250040410S</v>
          </cell>
          <cell r="Q606">
            <v>591</v>
          </cell>
          <cell r="R606">
            <v>0</v>
          </cell>
          <cell r="S606">
            <v>0</v>
          </cell>
          <cell r="T606">
            <v>36.99</v>
          </cell>
          <cell r="U606">
            <v>18.5</v>
          </cell>
          <cell r="V606">
            <v>18.495000000000001</v>
          </cell>
          <cell r="W606">
            <v>36.99</v>
          </cell>
          <cell r="X606">
            <v>18.5</v>
          </cell>
          <cell r="Y606">
            <v>1.9994594594594595</v>
          </cell>
          <cell r="Z606">
            <v>12.9465</v>
          </cell>
          <cell r="AA606">
            <v>13</v>
          </cell>
          <cell r="AB606">
            <v>15.665265</v>
          </cell>
          <cell r="AC606">
            <v>15.7</v>
          </cell>
        </row>
        <row r="607">
          <cell r="H607" t="str">
            <v>8715738862180</v>
          </cell>
          <cell r="I607" t="str">
            <v>Voyager Tee</v>
          </cell>
          <cell r="J607" t="str">
            <v>410</v>
          </cell>
          <cell r="K607" t="str">
            <v>Navy</v>
          </cell>
          <cell r="L607" t="str">
            <v>M</v>
          </cell>
          <cell r="M607" t="str">
            <v xml:space="preserve">Carry Over </v>
          </cell>
          <cell r="N607" t="str">
            <v>Apparel &amp; POS</v>
          </cell>
          <cell r="P607" t="str">
            <v>85105.250040410M</v>
          </cell>
          <cell r="Q607">
            <v>592</v>
          </cell>
          <cell r="R607">
            <v>0</v>
          </cell>
          <cell r="S607">
            <v>0</v>
          </cell>
          <cell r="T607">
            <v>36.99</v>
          </cell>
          <cell r="U607">
            <v>18.5</v>
          </cell>
          <cell r="V607">
            <v>18.495000000000001</v>
          </cell>
          <cell r="W607">
            <v>36.99</v>
          </cell>
          <cell r="X607">
            <v>18.5</v>
          </cell>
          <cell r="Y607">
            <v>1.9994594594594595</v>
          </cell>
          <cell r="Z607">
            <v>12.9465</v>
          </cell>
          <cell r="AA607">
            <v>13</v>
          </cell>
          <cell r="AB607">
            <v>15.665265</v>
          </cell>
          <cell r="AC607">
            <v>15.7</v>
          </cell>
        </row>
        <row r="608">
          <cell r="H608" t="str">
            <v>8715738862197</v>
          </cell>
          <cell r="I608" t="str">
            <v>Voyager Tee</v>
          </cell>
          <cell r="J608" t="str">
            <v>410</v>
          </cell>
          <cell r="K608" t="str">
            <v>Navy</v>
          </cell>
          <cell r="L608" t="str">
            <v>L</v>
          </cell>
          <cell r="M608" t="str">
            <v xml:space="preserve">Carry Over </v>
          </cell>
          <cell r="N608" t="str">
            <v>Apparel &amp; POS</v>
          </cell>
          <cell r="P608" t="str">
            <v>85105.250040410L</v>
          </cell>
          <cell r="Q608">
            <v>593</v>
          </cell>
          <cell r="R608">
            <v>0</v>
          </cell>
          <cell r="S608">
            <v>0</v>
          </cell>
          <cell r="T608">
            <v>36.99</v>
          </cell>
          <cell r="U608">
            <v>18.5</v>
          </cell>
          <cell r="V608">
            <v>18.495000000000001</v>
          </cell>
          <cell r="W608">
            <v>36.99</v>
          </cell>
          <cell r="X608">
            <v>18.5</v>
          </cell>
          <cell r="Y608">
            <v>1.9994594594594595</v>
          </cell>
          <cell r="Z608">
            <v>12.9465</v>
          </cell>
          <cell r="AA608">
            <v>13</v>
          </cell>
          <cell r="AB608">
            <v>15.665265</v>
          </cell>
          <cell r="AC608">
            <v>15.7</v>
          </cell>
        </row>
        <row r="609">
          <cell r="H609" t="str">
            <v>8715738862203</v>
          </cell>
          <cell r="I609" t="str">
            <v>Voyager Tee</v>
          </cell>
          <cell r="J609" t="str">
            <v>410</v>
          </cell>
          <cell r="K609" t="str">
            <v>Navy</v>
          </cell>
          <cell r="L609" t="str">
            <v>XL</v>
          </cell>
          <cell r="M609" t="str">
            <v xml:space="preserve">Carry Over </v>
          </cell>
          <cell r="N609" t="str">
            <v>Apparel &amp; POS</v>
          </cell>
          <cell r="P609" t="str">
            <v>85105.250040410XL</v>
          </cell>
          <cell r="Q609">
            <v>594</v>
          </cell>
          <cell r="R609">
            <v>0</v>
          </cell>
          <cell r="S609">
            <v>0</v>
          </cell>
          <cell r="T609">
            <v>36.99</v>
          </cell>
          <cell r="U609">
            <v>18.5</v>
          </cell>
          <cell r="V609">
            <v>18.495000000000001</v>
          </cell>
          <cell r="W609">
            <v>36.99</v>
          </cell>
          <cell r="X609">
            <v>18.5</v>
          </cell>
          <cell r="Y609">
            <v>1.9994594594594595</v>
          </cell>
          <cell r="Z609">
            <v>12.9465</v>
          </cell>
          <cell r="AA609">
            <v>13</v>
          </cell>
          <cell r="AB609">
            <v>15.665265</v>
          </cell>
          <cell r="AC609">
            <v>15.7</v>
          </cell>
        </row>
        <row r="610">
          <cell r="H610" t="str">
            <v>8715738862210</v>
          </cell>
          <cell r="I610" t="str">
            <v>Voyager Tee</v>
          </cell>
          <cell r="J610" t="str">
            <v>410</v>
          </cell>
          <cell r="K610" t="str">
            <v>Navy</v>
          </cell>
          <cell r="L610" t="str">
            <v>XXL</v>
          </cell>
          <cell r="M610" t="str">
            <v xml:space="preserve">Carry Over </v>
          </cell>
          <cell r="N610" t="str">
            <v>Apparel &amp; POS</v>
          </cell>
          <cell r="P610" t="str">
            <v>85105.250040410XXL</v>
          </cell>
          <cell r="Q610">
            <v>595</v>
          </cell>
          <cell r="R610">
            <v>0</v>
          </cell>
          <cell r="S610">
            <v>0</v>
          </cell>
          <cell r="T610">
            <v>36.99</v>
          </cell>
          <cell r="U610">
            <v>18.5</v>
          </cell>
          <cell r="V610">
            <v>18.495000000000001</v>
          </cell>
          <cell r="W610">
            <v>36.99</v>
          </cell>
          <cell r="X610">
            <v>18.5</v>
          </cell>
          <cell r="Y610">
            <v>1.9994594594594595</v>
          </cell>
          <cell r="Z610">
            <v>12.9465</v>
          </cell>
          <cell r="AA610">
            <v>13</v>
          </cell>
          <cell r="AB610">
            <v>15.665265</v>
          </cell>
          <cell r="AC610">
            <v>15.7</v>
          </cell>
        </row>
        <row r="611">
          <cell r="H611" t="str">
            <v>8715738821354</v>
          </cell>
          <cell r="I611" t="str">
            <v>Iconic Cap</v>
          </cell>
          <cell r="J611" t="str">
            <v>802</v>
          </cell>
          <cell r="K611" t="str">
            <v>Dark Grey</v>
          </cell>
          <cell r="L611" t="str">
            <v>O/S</v>
          </cell>
          <cell r="M611" t="str">
            <v xml:space="preserve">Carry Over </v>
          </cell>
          <cell r="N611" t="str">
            <v>Apparel &amp; POS</v>
          </cell>
          <cell r="P611" t="str">
            <v>85108.240025802O/S</v>
          </cell>
          <cell r="Q611">
            <v>596</v>
          </cell>
          <cell r="R611">
            <v>0</v>
          </cell>
          <cell r="S611">
            <v>0</v>
          </cell>
          <cell r="T611">
            <v>36</v>
          </cell>
          <cell r="U611">
            <v>19</v>
          </cell>
          <cell r="V611">
            <v>18.947368421052634</v>
          </cell>
          <cell r="W611">
            <v>36</v>
          </cell>
          <cell r="X611">
            <v>19</v>
          </cell>
          <cell r="Y611">
            <v>1.8947368421052631</v>
          </cell>
          <cell r="Z611">
            <v>14.210526315789476</v>
          </cell>
          <cell r="AA611">
            <v>14.299999999999999</v>
          </cell>
          <cell r="AB611">
            <v>17.194736842105264</v>
          </cell>
          <cell r="AC611">
            <v>17.200000000000003</v>
          </cell>
        </row>
        <row r="612">
          <cell r="H612" t="str">
            <v>8715738821361</v>
          </cell>
          <cell r="I612" t="str">
            <v>Wordmark Cap</v>
          </cell>
          <cell r="J612" t="str">
            <v>900</v>
          </cell>
          <cell r="K612" t="str">
            <v>Black</v>
          </cell>
          <cell r="L612" t="str">
            <v>O/S</v>
          </cell>
          <cell r="M612" t="str">
            <v xml:space="preserve">Carry Over </v>
          </cell>
          <cell r="N612" t="str">
            <v>Apparel &amp; POS</v>
          </cell>
          <cell r="P612" t="str">
            <v>85108.240026900O/S</v>
          </cell>
          <cell r="Q612">
            <v>597</v>
          </cell>
          <cell r="R612">
            <v>0</v>
          </cell>
          <cell r="S612">
            <v>0</v>
          </cell>
          <cell r="T612">
            <v>36</v>
          </cell>
          <cell r="U612">
            <v>19</v>
          </cell>
          <cell r="V612">
            <v>18.947368421052634</v>
          </cell>
          <cell r="W612">
            <v>36</v>
          </cell>
          <cell r="X612">
            <v>19</v>
          </cell>
          <cell r="Y612">
            <v>1.8947368421052631</v>
          </cell>
          <cell r="Z612">
            <v>14.210526315789476</v>
          </cell>
          <cell r="AA612">
            <v>14.299999999999999</v>
          </cell>
          <cell r="AB612">
            <v>17.194736842105264</v>
          </cell>
          <cell r="AC612">
            <v>17.200000000000003</v>
          </cell>
        </row>
        <row r="613">
          <cell r="H613" t="str">
            <v>8715738821378</v>
          </cell>
          <cell r="I613" t="str">
            <v>Brand Cap</v>
          </cell>
          <cell r="J613" t="str">
            <v>900</v>
          </cell>
          <cell r="K613" t="str">
            <v>Black</v>
          </cell>
          <cell r="L613" t="str">
            <v>O/S</v>
          </cell>
          <cell r="M613" t="str">
            <v xml:space="preserve">Carry Over </v>
          </cell>
          <cell r="N613" t="str">
            <v>Apparel &amp; POS</v>
          </cell>
          <cell r="P613" t="str">
            <v>85108.240027900O/S</v>
          </cell>
          <cell r="Q613">
            <v>598</v>
          </cell>
          <cell r="R613">
            <v>0</v>
          </cell>
          <cell r="S613">
            <v>0</v>
          </cell>
          <cell r="T613">
            <v>36</v>
          </cell>
          <cell r="U613">
            <v>19</v>
          </cell>
          <cell r="V613">
            <v>18.947368421052634</v>
          </cell>
          <cell r="W613">
            <v>36</v>
          </cell>
          <cell r="X613">
            <v>19</v>
          </cell>
          <cell r="Y613">
            <v>1.8947368421052631</v>
          </cell>
          <cell r="Z613">
            <v>14.210526315789476</v>
          </cell>
          <cell r="AA613">
            <v>14.299999999999999</v>
          </cell>
          <cell r="AB613">
            <v>17.194736842105264</v>
          </cell>
          <cell r="AC613">
            <v>17.200000000000003</v>
          </cell>
        </row>
        <row r="614">
          <cell r="H614" t="str">
            <v>8715738821385</v>
          </cell>
          <cell r="I614" t="str">
            <v>Ease Cap</v>
          </cell>
          <cell r="J614" t="str">
            <v>706</v>
          </cell>
          <cell r="K614" t="str">
            <v>Warm Sand</v>
          </cell>
          <cell r="L614" t="str">
            <v>O/S</v>
          </cell>
          <cell r="M614" t="str">
            <v xml:space="preserve">Carry Over </v>
          </cell>
          <cell r="N614" t="str">
            <v>Apparel &amp; POS</v>
          </cell>
          <cell r="P614" t="str">
            <v>85108.240028706O/S</v>
          </cell>
          <cell r="Q614">
            <v>599</v>
          </cell>
          <cell r="R614">
            <v>0</v>
          </cell>
          <cell r="S614">
            <v>0</v>
          </cell>
          <cell r="T614">
            <v>36</v>
          </cell>
          <cell r="U614">
            <v>19</v>
          </cell>
          <cell r="V614">
            <v>18.947368421052634</v>
          </cell>
          <cell r="W614">
            <v>36</v>
          </cell>
          <cell r="X614">
            <v>19</v>
          </cell>
          <cell r="Y614">
            <v>1.8947368421052631</v>
          </cell>
          <cell r="Z614">
            <v>14.210526315789476</v>
          </cell>
          <cell r="AA614">
            <v>14.299999999999999</v>
          </cell>
          <cell r="AB614">
            <v>17.194736842105264</v>
          </cell>
          <cell r="AC614">
            <v>17.200000000000003</v>
          </cell>
        </row>
        <row r="615">
          <cell r="H615" t="str">
            <v>8715738821392</v>
          </cell>
          <cell r="I615" t="str">
            <v>Horizon Cap</v>
          </cell>
          <cell r="J615" t="str">
            <v>640</v>
          </cell>
          <cell r="K615" t="str">
            <v>Olive Green</v>
          </cell>
          <cell r="L615" t="str">
            <v>O/S</v>
          </cell>
          <cell r="M615" t="str">
            <v xml:space="preserve">Carry Over </v>
          </cell>
          <cell r="N615" t="str">
            <v>Apparel &amp; POS</v>
          </cell>
          <cell r="P615" t="str">
            <v>85108.240029640O/S</v>
          </cell>
          <cell r="Q615">
            <v>600</v>
          </cell>
          <cell r="R615">
            <v>0</v>
          </cell>
          <cell r="S615">
            <v>0</v>
          </cell>
          <cell r="T615">
            <v>36</v>
          </cell>
          <cell r="U615">
            <v>19</v>
          </cell>
          <cell r="V615">
            <v>18.947368421052634</v>
          </cell>
          <cell r="W615">
            <v>36</v>
          </cell>
          <cell r="X615">
            <v>19</v>
          </cell>
          <cell r="Y615">
            <v>1.8947368421052631</v>
          </cell>
          <cell r="Z615">
            <v>14.210526315789476</v>
          </cell>
          <cell r="AA615">
            <v>14.299999999999999</v>
          </cell>
          <cell r="AB615">
            <v>17.194736842105264</v>
          </cell>
          <cell r="AC615">
            <v>17.200000000000003</v>
          </cell>
        </row>
        <row r="616">
          <cell r="H616" t="str">
            <v>8715738821408</v>
          </cell>
          <cell r="I616" t="str">
            <v>Horizon Cap</v>
          </cell>
          <cell r="J616" t="str">
            <v>842</v>
          </cell>
          <cell r="K616" t="str">
            <v>Carbon</v>
          </cell>
          <cell r="L616" t="str">
            <v>O/S</v>
          </cell>
          <cell r="M616" t="str">
            <v xml:space="preserve">Carry Over </v>
          </cell>
          <cell r="N616" t="str">
            <v>Apparel &amp; POS</v>
          </cell>
          <cell r="P616" t="str">
            <v>85108.240029842O/S</v>
          </cell>
          <cell r="Q616">
            <v>601</v>
          </cell>
          <cell r="R616">
            <v>0</v>
          </cell>
          <cell r="S616">
            <v>0</v>
          </cell>
          <cell r="T616">
            <v>36</v>
          </cell>
          <cell r="U616">
            <v>19</v>
          </cell>
          <cell r="V616">
            <v>18.947368421052634</v>
          </cell>
          <cell r="W616">
            <v>36</v>
          </cell>
          <cell r="X616">
            <v>19</v>
          </cell>
          <cell r="Y616">
            <v>1.8947368421052631</v>
          </cell>
          <cell r="Z616">
            <v>14.210526315789476</v>
          </cell>
          <cell r="AA616">
            <v>14.299999999999999</v>
          </cell>
          <cell r="AB616">
            <v>17.194736842105264</v>
          </cell>
          <cell r="AC616">
            <v>17.200000000000003</v>
          </cell>
        </row>
        <row r="617">
          <cell r="H617" t="str">
            <v>8715738821415</v>
          </cell>
          <cell r="I617" t="str">
            <v>Seeker Cap</v>
          </cell>
          <cell r="J617" t="str">
            <v>410</v>
          </cell>
          <cell r="K617" t="str">
            <v>Navy</v>
          </cell>
          <cell r="L617" t="str">
            <v>O/S</v>
          </cell>
          <cell r="M617" t="str">
            <v xml:space="preserve">Carry Over </v>
          </cell>
          <cell r="N617" t="str">
            <v>Apparel &amp; POS</v>
          </cell>
          <cell r="P617" t="str">
            <v>85108.240030410O/S</v>
          </cell>
          <cell r="Q617">
            <v>602</v>
          </cell>
          <cell r="R617">
            <v>0</v>
          </cell>
          <cell r="S617">
            <v>0</v>
          </cell>
          <cell r="T617">
            <v>41.5</v>
          </cell>
          <cell r="U617">
            <v>21.900000000000002</v>
          </cell>
          <cell r="V617">
            <v>21.842105263157897</v>
          </cell>
          <cell r="W617">
            <v>41.5</v>
          </cell>
          <cell r="X617">
            <v>21.900000000000002</v>
          </cell>
          <cell r="Y617">
            <v>1.8949771689497714</v>
          </cell>
          <cell r="Z617">
            <v>16.381578947368425</v>
          </cell>
          <cell r="AA617">
            <v>16.400000000000002</v>
          </cell>
          <cell r="AB617">
            <v>19.821710526315794</v>
          </cell>
          <cell r="AC617">
            <v>19.900000000000002</v>
          </cell>
        </row>
        <row r="618">
          <cell r="H618" t="str">
            <v>8715738821422</v>
          </cell>
          <cell r="I618" t="str">
            <v>Seeker Cap</v>
          </cell>
          <cell r="J618" t="str">
            <v>704</v>
          </cell>
          <cell r="K618" t="str">
            <v>Golden Brown</v>
          </cell>
          <cell r="L618" t="str">
            <v>O/S</v>
          </cell>
          <cell r="M618" t="str">
            <v xml:space="preserve">Carry Over </v>
          </cell>
          <cell r="N618" t="str">
            <v>Apparel &amp; POS</v>
          </cell>
          <cell r="P618" t="str">
            <v>85108.240030704O/S</v>
          </cell>
          <cell r="Q618">
            <v>603</v>
          </cell>
          <cell r="R618">
            <v>0</v>
          </cell>
          <cell r="S618">
            <v>0</v>
          </cell>
          <cell r="T618">
            <v>41.5</v>
          </cell>
          <cell r="U618">
            <v>21.900000000000002</v>
          </cell>
          <cell r="V618">
            <v>21.842105263157897</v>
          </cell>
          <cell r="W618">
            <v>41.5</v>
          </cell>
          <cell r="X618">
            <v>21.900000000000002</v>
          </cell>
          <cell r="Y618">
            <v>1.8949771689497714</v>
          </cell>
          <cell r="Z618">
            <v>16.381578947368425</v>
          </cell>
          <cell r="AA618">
            <v>16.400000000000002</v>
          </cell>
          <cell r="AB618">
            <v>19.821710526315794</v>
          </cell>
          <cell r="AC618">
            <v>19.900000000000002</v>
          </cell>
        </row>
        <row r="619">
          <cell r="H619" t="str">
            <v>8715738821439</v>
          </cell>
          <cell r="I619" t="str">
            <v>Heartfelt Cap</v>
          </cell>
          <cell r="J619" t="str">
            <v>900</v>
          </cell>
          <cell r="K619" t="str">
            <v>Black</v>
          </cell>
          <cell r="L619" t="str">
            <v>O/S</v>
          </cell>
          <cell r="M619" t="str">
            <v xml:space="preserve">Carry Over </v>
          </cell>
          <cell r="N619" t="str">
            <v>Apparel &amp; POS</v>
          </cell>
          <cell r="P619" t="str">
            <v>85108.240031900O/S</v>
          </cell>
          <cell r="Q619">
            <v>604</v>
          </cell>
          <cell r="R619">
            <v>0</v>
          </cell>
          <cell r="S619">
            <v>0</v>
          </cell>
          <cell r="T619">
            <v>41.5</v>
          </cell>
          <cell r="U619">
            <v>21.900000000000002</v>
          </cell>
          <cell r="V619">
            <v>21.842105263157897</v>
          </cell>
          <cell r="W619">
            <v>41.5</v>
          </cell>
          <cell r="X619">
            <v>21.900000000000002</v>
          </cell>
          <cell r="Y619">
            <v>1.8949771689497714</v>
          </cell>
          <cell r="Z619">
            <v>16.381578947368425</v>
          </cell>
          <cell r="AA619">
            <v>16.400000000000002</v>
          </cell>
          <cell r="AB619">
            <v>19.821710526315794</v>
          </cell>
          <cell r="AC619">
            <v>19.900000000000002</v>
          </cell>
        </row>
        <row r="620">
          <cell r="H620" t="str">
            <v>8715738845091</v>
          </cell>
          <cell r="I620" t="str">
            <v>Horizon Sun Hat</v>
          </cell>
          <cell r="J620" t="str">
            <v>900</v>
          </cell>
          <cell r="K620" t="str">
            <v>Black</v>
          </cell>
          <cell r="L620" t="str">
            <v>S/M</v>
          </cell>
          <cell r="M620" t="str">
            <v xml:space="preserve">Carry Over </v>
          </cell>
          <cell r="N620" t="str">
            <v>Apparel &amp; POS</v>
          </cell>
          <cell r="P620" t="str">
            <v>85108.240033900S/M</v>
          </cell>
          <cell r="Q620">
            <v>605</v>
          </cell>
          <cell r="R620">
            <v>0</v>
          </cell>
          <cell r="S620">
            <v>0</v>
          </cell>
          <cell r="T620">
            <v>36</v>
          </cell>
          <cell r="U620">
            <v>19</v>
          </cell>
          <cell r="V620">
            <v>18.947368421052634</v>
          </cell>
          <cell r="W620">
            <v>36</v>
          </cell>
          <cell r="X620">
            <v>19</v>
          </cell>
          <cell r="Y620">
            <v>1.8947368421052631</v>
          </cell>
          <cell r="Z620">
            <v>14.210526315789476</v>
          </cell>
          <cell r="AA620">
            <v>14.299999999999999</v>
          </cell>
          <cell r="AB620">
            <v>17.194736842105264</v>
          </cell>
          <cell r="AC620">
            <v>17.200000000000003</v>
          </cell>
        </row>
        <row r="621">
          <cell r="H621" t="str">
            <v>8715738845107</v>
          </cell>
          <cell r="I621" t="str">
            <v>Horizon Sun Hat</v>
          </cell>
          <cell r="J621" t="str">
            <v>900</v>
          </cell>
          <cell r="K621" t="str">
            <v>Black</v>
          </cell>
          <cell r="L621" t="str">
            <v>L/XL</v>
          </cell>
          <cell r="M621" t="str">
            <v xml:space="preserve">Carry Over </v>
          </cell>
          <cell r="N621" t="str">
            <v>Apparel &amp; POS</v>
          </cell>
          <cell r="P621" t="str">
            <v>85108.240033900L/XL</v>
          </cell>
          <cell r="Q621">
            <v>606</v>
          </cell>
          <cell r="R621">
            <v>0</v>
          </cell>
          <cell r="S621">
            <v>0</v>
          </cell>
          <cell r="T621">
            <v>36</v>
          </cell>
          <cell r="U621">
            <v>19</v>
          </cell>
          <cell r="V621">
            <v>18.947368421052634</v>
          </cell>
          <cell r="W621">
            <v>36</v>
          </cell>
          <cell r="X621">
            <v>19</v>
          </cell>
          <cell r="Y621">
            <v>1.8947368421052631</v>
          </cell>
          <cell r="Z621">
            <v>14.210526315789476</v>
          </cell>
          <cell r="AA621">
            <v>14.299999999999999</v>
          </cell>
          <cell r="AB621">
            <v>17.194736842105264</v>
          </cell>
          <cell r="AC621">
            <v>17.200000000000003</v>
          </cell>
        </row>
        <row r="622">
          <cell r="H622" t="str">
            <v>8715738821569</v>
          </cell>
          <cell r="I622" t="str">
            <v>Seaside Beanie</v>
          </cell>
          <cell r="J622" t="str">
            <v>410</v>
          </cell>
          <cell r="K622" t="str">
            <v>Navy</v>
          </cell>
          <cell r="L622" t="str">
            <v>O/S</v>
          </cell>
          <cell r="M622" t="str">
            <v xml:space="preserve">Carry Over </v>
          </cell>
          <cell r="N622" t="str">
            <v>Apparel &amp; POS</v>
          </cell>
          <cell r="P622" t="str">
            <v>85108.240034410O/S</v>
          </cell>
          <cell r="Q622">
            <v>607</v>
          </cell>
          <cell r="R622">
            <v>0</v>
          </cell>
          <cell r="S622">
            <v>0</v>
          </cell>
          <cell r="T622">
            <v>24.99</v>
          </cell>
          <cell r="U622">
            <v>13.2</v>
          </cell>
          <cell r="V622">
            <v>13.152631578947368</v>
          </cell>
          <cell r="W622">
            <v>24.99</v>
          </cell>
          <cell r="X622">
            <v>13.2</v>
          </cell>
          <cell r="Y622">
            <v>1.8931818181818181</v>
          </cell>
          <cell r="Z622">
            <v>9.8644736842105267</v>
          </cell>
          <cell r="AA622">
            <v>9.9</v>
          </cell>
          <cell r="AB622">
            <v>11.936013157894736</v>
          </cell>
          <cell r="AC622">
            <v>12</v>
          </cell>
        </row>
        <row r="623">
          <cell r="H623" t="str">
            <v>8715738821576</v>
          </cell>
          <cell r="I623" t="str">
            <v>Seaside Beanie</v>
          </cell>
          <cell r="J623" t="str">
            <v>870</v>
          </cell>
          <cell r="K623" t="str">
            <v>Pumice</v>
          </cell>
          <cell r="L623" t="str">
            <v>O/S</v>
          </cell>
          <cell r="M623" t="str">
            <v xml:space="preserve">Carry Over </v>
          </cell>
          <cell r="N623" t="str">
            <v>Apparel &amp; POS</v>
          </cell>
          <cell r="P623" t="str">
            <v>85108.240034870O/S</v>
          </cell>
          <cell r="Q623">
            <v>608</v>
          </cell>
          <cell r="R623">
            <v>0</v>
          </cell>
          <cell r="S623">
            <v>0</v>
          </cell>
          <cell r="T623">
            <v>24.99</v>
          </cell>
          <cell r="U623">
            <v>13.2</v>
          </cell>
          <cell r="V623">
            <v>13.152631578947368</v>
          </cell>
          <cell r="W623">
            <v>24.99</v>
          </cell>
          <cell r="X623">
            <v>13.2</v>
          </cell>
          <cell r="Y623">
            <v>1.8931818181818181</v>
          </cell>
          <cell r="Z623">
            <v>9.8644736842105267</v>
          </cell>
          <cell r="AA623">
            <v>9.9</v>
          </cell>
          <cell r="AB623">
            <v>11.936013157894736</v>
          </cell>
          <cell r="AC623">
            <v>12</v>
          </cell>
        </row>
        <row r="624">
          <cell r="H624" t="str">
            <v>8715738821453</v>
          </cell>
          <cell r="I624" t="str">
            <v>Passage Beanie</v>
          </cell>
          <cell r="J624" t="str">
            <v>420</v>
          </cell>
          <cell r="K624" t="str">
            <v>Sailor Blue</v>
          </cell>
          <cell r="L624" t="str">
            <v>O/S</v>
          </cell>
          <cell r="M624" t="str">
            <v xml:space="preserve">Carry Over </v>
          </cell>
          <cell r="N624" t="str">
            <v>Apparel &amp; POS</v>
          </cell>
          <cell r="P624" t="str">
            <v>85108.240035420O/S</v>
          </cell>
          <cell r="Q624">
            <v>609</v>
          </cell>
          <cell r="R624">
            <v>0</v>
          </cell>
          <cell r="S624">
            <v>0</v>
          </cell>
          <cell r="T624">
            <v>24.99</v>
          </cell>
          <cell r="U624">
            <v>13.2</v>
          </cell>
          <cell r="V624">
            <v>13.152631578947368</v>
          </cell>
          <cell r="W624">
            <v>24.99</v>
          </cell>
          <cell r="X624">
            <v>13.2</v>
          </cell>
          <cell r="Y624">
            <v>1.8931818181818181</v>
          </cell>
          <cell r="Z624">
            <v>9.8644736842105267</v>
          </cell>
          <cell r="AA624">
            <v>9.9</v>
          </cell>
          <cell r="AB624">
            <v>11.936013157894736</v>
          </cell>
          <cell r="AC624">
            <v>12</v>
          </cell>
        </row>
        <row r="625">
          <cell r="H625" t="str">
            <v>8715738821460</v>
          </cell>
          <cell r="I625" t="str">
            <v>Passage Beanie</v>
          </cell>
          <cell r="J625" t="str">
            <v>900</v>
          </cell>
          <cell r="K625" t="str">
            <v>Black</v>
          </cell>
          <cell r="L625" t="str">
            <v>O/S</v>
          </cell>
          <cell r="M625" t="str">
            <v xml:space="preserve">Carry Over </v>
          </cell>
          <cell r="N625" t="str">
            <v>Apparel &amp; POS</v>
          </cell>
          <cell r="P625" t="str">
            <v>85108.240035900O/S</v>
          </cell>
          <cell r="Q625">
            <v>610</v>
          </cell>
          <cell r="R625">
            <v>0</v>
          </cell>
          <cell r="S625">
            <v>0</v>
          </cell>
          <cell r="T625">
            <v>24.99</v>
          </cell>
          <cell r="U625">
            <v>13.2</v>
          </cell>
          <cell r="V625">
            <v>13.152631578947368</v>
          </cell>
          <cell r="W625">
            <v>24.99</v>
          </cell>
          <cell r="X625">
            <v>13.2</v>
          </cell>
          <cell r="Y625">
            <v>1.8931818181818181</v>
          </cell>
          <cell r="Z625">
            <v>9.8644736842105267</v>
          </cell>
          <cell r="AA625">
            <v>9.9</v>
          </cell>
          <cell r="AB625">
            <v>11.936013157894736</v>
          </cell>
          <cell r="AC625">
            <v>12</v>
          </cell>
        </row>
        <row r="626">
          <cell r="H626" t="str">
            <v>8715738863248</v>
          </cell>
          <cell r="I626" t="str">
            <v>Classic Cap</v>
          </cell>
          <cell r="J626" t="str">
            <v>400</v>
          </cell>
          <cell r="K626" t="str">
            <v>Blue</v>
          </cell>
          <cell r="L626" t="str">
            <v>O/S</v>
          </cell>
          <cell r="M626" t="str">
            <v xml:space="preserve">Carry Over </v>
          </cell>
          <cell r="N626" t="str">
            <v>Apparel &amp; POS</v>
          </cell>
          <cell r="P626" t="str">
            <v>85108.250050400O/S</v>
          </cell>
          <cell r="Q626">
            <v>611</v>
          </cell>
          <cell r="R626">
            <v>0</v>
          </cell>
          <cell r="S626">
            <v>0</v>
          </cell>
          <cell r="T626">
            <v>36</v>
          </cell>
          <cell r="U626">
            <v>19</v>
          </cell>
          <cell r="V626">
            <v>18.947368421052634</v>
          </cell>
          <cell r="W626">
            <v>36</v>
          </cell>
          <cell r="X626">
            <v>19</v>
          </cell>
          <cell r="Y626">
            <v>1.8947368421052631</v>
          </cell>
          <cell r="Z626">
            <v>14.210526315789476</v>
          </cell>
          <cell r="AA626">
            <v>14.299999999999999</v>
          </cell>
          <cell r="AB626">
            <v>17.194736842105264</v>
          </cell>
          <cell r="AC626">
            <v>17.200000000000003</v>
          </cell>
        </row>
        <row r="627">
          <cell r="H627" t="str">
            <v>8715738863255</v>
          </cell>
          <cell r="I627" t="str">
            <v>Extreme Cap</v>
          </cell>
          <cell r="J627" t="str">
            <v>643</v>
          </cell>
          <cell r="K627" t="str">
            <v>Dark Olive</v>
          </cell>
          <cell r="L627" t="str">
            <v>O/S</v>
          </cell>
          <cell r="M627" t="str">
            <v xml:space="preserve">Carry Over </v>
          </cell>
          <cell r="N627" t="str">
            <v>Apparel &amp; POS</v>
          </cell>
          <cell r="P627" t="str">
            <v>85108.250055643O/S</v>
          </cell>
          <cell r="Q627">
            <v>612</v>
          </cell>
          <cell r="R627">
            <v>0</v>
          </cell>
          <cell r="S627">
            <v>0</v>
          </cell>
          <cell r="T627">
            <v>36</v>
          </cell>
          <cell r="U627">
            <v>19</v>
          </cell>
          <cell r="V627">
            <v>18.947368421052634</v>
          </cell>
          <cell r="W627">
            <v>36</v>
          </cell>
          <cell r="X627">
            <v>19</v>
          </cell>
          <cell r="Y627">
            <v>1.8947368421052631</v>
          </cell>
          <cell r="Z627">
            <v>14.210526315789476</v>
          </cell>
          <cell r="AA627">
            <v>14.299999999999999</v>
          </cell>
          <cell r="AB627">
            <v>17.194736842105264</v>
          </cell>
          <cell r="AC627">
            <v>17.200000000000003</v>
          </cell>
        </row>
        <row r="628">
          <cell r="H628" t="str">
            <v>8715738863231</v>
          </cell>
          <cell r="I628" t="str">
            <v>Freedom Cap</v>
          </cell>
          <cell r="J628" t="str">
            <v>410</v>
          </cell>
          <cell r="K628" t="str">
            <v>Navy</v>
          </cell>
          <cell r="L628" t="str">
            <v>O/S</v>
          </cell>
          <cell r="M628" t="str">
            <v xml:space="preserve">Carry Over </v>
          </cell>
          <cell r="N628" t="str">
            <v>Apparel &amp; POS</v>
          </cell>
          <cell r="P628" t="str">
            <v>85108.250060410O/S</v>
          </cell>
          <cell r="Q628">
            <v>613</v>
          </cell>
          <cell r="R628">
            <v>0</v>
          </cell>
          <cell r="S628">
            <v>0</v>
          </cell>
          <cell r="T628">
            <v>36</v>
          </cell>
          <cell r="U628">
            <v>19</v>
          </cell>
          <cell r="V628">
            <v>18.947368421052634</v>
          </cell>
          <cell r="W628">
            <v>36</v>
          </cell>
          <cell r="X628">
            <v>19</v>
          </cell>
          <cell r="Y628">
            <v>1.8947368421052631</v>
          </cell>
          <cell r="Z628">
            <v>14.210526315789476</v>
          </cell>
          <cell r="AA628">
            <v>14.299999999999999</v>
          </cell>
          <cell r="AB628">
            <v>17.194736842105264</v>
          </cell>
          <cell r="AC628">
            <v>17.200000000000003</v>
          </cell>
        </row>
        <row r="629">
          <cell r="H629" t="str">
            <v>8715738863224</v>
          </cell>
          <cell r="I629" t="str">
            <v>Icon Cap</v>
          </cell>
          <cell r="J629" t="str">
            <v>900</v>
          </cell>
          <cell r="K629" t="str">
            <v>Black</v>
          </cell>
          <cell r="L629" t="str">
            <v>O/S</v>
          </cell>
          <cell r="M629" t="str">
            <v xml:space="preserve">Carry Over </v>
          </cell>
          <cell r="N629" t="str">
            <v>Apparel &amp; POS</v>
          </cell>
          <cell r="P629" t="str">
            <v>85108.250065900O/S</v>
          </cell>
          <cell r="Q629">
            <v>614</v>
          </cell>
          <cell r="R629">
            <v>0</v>
          </cell>
          <cell r="S629">
            <v>0</v>
          </cell>
          <cell r="T629">
            <v>36</v>
          </cell>
          <cell r="U629">
            <v>19</v>
          </cell>
          <cell r="V629">
            <v>18.947368421052634</v>
          </cell>
          <cell r="W629">
            <v>36</v>
          </cell>
          <cell r="X629">
            <v>19</v>
          </cell>
          <cell r="Y629">
            <v>1.8947368421052631</v>
          </cell>
          <cell r="Z629">
            <v>14.210526315789476</v>
          </cell>
          <cell r="AA629">
            <v>14.299999999999999</v>
          </cell>
          <cell r="AB629">
            <v>17.194736842105264</v>
          </cell>
          <cell r="AC629">
            <v>17.200000000000003</v>
          </cell>
        </row>
        <row r="630">
          <cell r="H630" t="str">
            <v>8715738863262</v>
          </cell>
          <cell r="I630" t="str">
            <v>Intuition Cap</v>
          </cell>
          <cell r="J630" t="str">
            <v>705</v>
          </cell>
          <cell r="K630" t="str">
            <v>Sand</v>
          </cell>
          <cell r="L630" t="str">
            <v>O/S</v>
          </cell>
          <cell r="M630" t="str">
            <v xml:space="preserve">Carry Over </v>
          </cell>
          <cell r="N630" t="str">
            <v>Apparel &amp; POS</v>
          </cell>
          <cell r="P630" t="str">
            <v>85108.250070705O/S</v>
          </cell>
          <cell r="Q630">
            <v>615</v>
          </cell>
          <cell r="R630">
            <v>0</v>
          </cell>
          <cell r="S630">
            <v>0</v>
          </cell>
          <cell r="T630">
            <v>36</v>
          </cell>
          <cell r="U630">
            <v>19</v>
          </cell>
          <cell r="V630">
            <v>18.947368421052634</v>
          </cell>
          <cell r="W630">
            <v>36</v>
          </cell>
          <cell r="X630">
            <v>19</v>
          </cell>
          <cell r="Y630">
            <v>1.8947368421052631</v>
          </cell>
          <cell r="Z630">
            <v>14.210526315789476</v>
          </cell>
          <cell r="AA630">
            <v>14.299999999999999</v>
          </cell>
          <cell r="AB630">
            <v>17.194736842105264</v>
          </cell>
          <cell r="AC630">
            <v>17.200000000000003</v>
          </cell>
        </row>
        <row r="631">
          <cell r="H631" t="str">
            <v>8715738863279</v>
          </cell>
          <cell r="I631" t="str">
            <v>Waterman Hat</v>
          </cell>
          <cell r="J631" t="str">
            <v>900</v>
          </cell>
          <cell r="K631" t="str">
            <v>Black</v>
          </cell>
          <cell r="L631" t="str">
            <v>O/S</v>
          </cell>
          <cell r="M631" t="str">
            <v xml:space="preserve">Carry Over </v>
          </cell>
          <cell r="N631" t="str">
            <v>Apparel &amp; POS</v>
          </cell>
          <cell r="P631" t="str">
            <v>85108.250080900O/S</v>
          </cell>
          <cell r="Q631">
            <v>616</v>
          </cell>
          <cell r="R631">
            <v>0</v>
          </cell>
          <cell r="S631">
            <v>0</v>
          </cell>
          <cell r="T631">
            <v>69.989999999999995</v>
          </cell>
          <cell r="U631">
            <v>36.9</v>
          </cell>
          <cell r="V631">
            <v>36.836842105263159</v>
          </cell>
          <cell r="W631">
            <v>69.989999999999995</v>
          </cell>
          <cell r="X631">
            <v>36.9</v>
          </cell>
          <cell r="Y631">
            <v>1.8967479674796748</v>
          </cell>
          <cell r="Z631">
            <v>27.627631578947369</v>
          </cell>
          <cell r="AA631">
            <v>27.700000000000003</v>
          </cell>
          <cell r="AB631">
            <v>33.429434210526317</v>
          </cell>
          <cell r="AC631">
            <v>33.5</v>
          </cell>
        </row>
        <row r="632">
          <cell r="H632" t="str">
            <v>8715738821484</v>
          </cell>
          <cell r="I632" t="str">
            <v>Brand Poncho</v>
          </cell>
          <cell r="J632" t="str">
            <v>626</v>
          </cell>
          <cell r="K632" t="str">
            <v>Seasalt Green</v>
          </cell>
          <cell r="L632" t="str">
            <v>O/S</v>
          </cell>
          <cell r="M632" t="str">
            <v xml:space="preserve">Carry Over </v>
          </cell>
          <cell r="N632" t="str">
            <v>Apparel &amp; POS</v>
          </cell>
          <cell r="P632" t="str">
            <v>85118.240040626O/S</v>
          </cell>
          <cell r="Q632">
            <v>617</v>
          </cell>
          <cell r="R632">
            <v>0</v>
          </cell>
          <cell r="S632">
            <v>0</v>
          </cell>
          <cell r="T632">
            <v>79.989999999999995</v>
          </cell>
          <cell r="U632">
            <v>42.1</v>
          </cell>
          <cell r="V632">
            <v>42.1</v>
          </cell>
          <cell r="W632">
            <v>79.989999999999995</v>
          </cell>
          <cell r="X632">
            <v>42.1</v>
          </cell>
          <cell r="Y632">
            <v>1.9</v>
          </cell>
          <cell r="Z632">
            <v>31.575000000000003</v>
          </cell>
          <cell r="AA632">
            <v>31.6</v>
          </cell>
          <cell r="AB632">
            <v>38.205750000000002</v>
          </cell>
          <cell r="AC632">
            <v>38.300000000000004</v>
          </cell>
        </row>
        <row r="633">
          <cell r="H633" t="str">
            <v>8715738821491</v>
          </cell>
          <cell r="I633" t="str">
            <v>Brand Poncho</v>
          </cell>
          <cell r="J633" t="str">
            <v>910</v>
          </cell>
          <cell r="K633" t="str">
            <v>Caviar</v>
          </cell>
          <cell r="L633" t="str">
            <v>O/S</v>
          </cell>
          <cell r="M633" t="str">
            <v xml:space="preserve">Carry Over </v>
          </cell>
          <cell r="N633" t="str">
            <v>Apparel &amp; POS</v>
          </cell>
          <cell r="P633" t="str">
            <v>85118.240040910O/S</v>
          </cell>
          <cell r="Q633">
            <v>618</v>
          </cell>
          <cell r="R633">
            <v>0</v>
          </cell>
          <cell r="S633">
            <v>0</v>
          </cell>
          <cell r="T633">
            <v>79.989999999999995</v>
          </cell>
          <cell r="U633">
            <v>42.1</v>
          </cell>
          <cell r="V633">
            <v>42.1</v>
          </cell>
          <cell r="W633">
            <v>79.989999999999995</v>
          </cell>
          <cell r="X633">
            <v>42.1</v>
          </cell>
          <cell r="Y633">
            <v>1.9</v>
          </cell>
          <cell r="Z633">
            <v>31.575000000000003</v>
          </cell>
          <cell r="AA633">
            <v>31.6</v>
          </cell>
          <cell r="AB633">
            <v>38.205750000000002</v>
          </cell>
          <cell r="AC633">
            <v>38.300000000000004</v>
          </cell>
        </row>
        <row r="634">
          <cell r="H634" t="str">
            <v>8715738912250</v>
          </cell>
          <cell r="I634" t="str">
            <v>ShiftLock Demo Strut</v>
          </cell>
          <cell r="J634" t="str">
            <v>999</v>
          </cell>
          <cell r="K634" t="str">
            <v>Multiple Color</v>
          </cell>
          <cell r="L634" t="str">
            <v>O/S</v>
          </cell>
          <cell r="M634" t="str">
            <v>New</v>
          </cell>
          <cell r="N634" t="str">
            <v>Apparel &amp; POS</v>
          </cell>
          <cell r="P634" t="str">
            <v>85005.260112999O/S</v>
          </cell>
          <cell r="Q634">
            <v>619</v>
          </cell>
          <cell r="R634" t="e">
            <v>#VALUE!</v>
          </cell>
          <cell r="S634" t="e">
            <v>#VALUE!</v>
          </cell>
          <cell r="T634" t="str">
            <v/>
          </cell>
          <cell r="U634" t="str">
            <v/>
          </cell>
          <cell r="V634">
            <v>100</v>
          </cell>
          <cell r="W634">
            <v>150</v>
          </cell>
          <cell r="X634">
            <v>100</v>
          </cell>
          <cell r="Y634">
            <v>1.5</v>
          </cell>
          <cell r="Z634">
            <v>70</v>
          </cell>
          <cell r="AA634">
            <v>70</v>
          </cell>
          <cell r="AB634">
            <v>84.7</v>
          </cell>
          <cell r="AC634">
            <v>84.7</v>
          </cell>
        </row>
        <row r="635">
          <cell r="H635" t="str">
            <v>8715738820890</v>
          </cell>
          <cell r="I635" t="str">
            <v>North Beach Tent</v>
          </cell>
          <cell r="J635" t="str">
            <v>900</v>
          </cell>
          <cell r="K635" t="str">
            <v>Black</v>
          </cell>
          <cell r="L635" t="str">
            <v>O/S</v>
          </cell>
          <cell r="M635" t="str">
            <v xml:space="preserve">Carry Over </v>
          </cell>
          <cell r="N635" t="str">
            <v>Apparel &amp; POS</v>
          </cell>
          <cell r="P635" t="str">
            <v>85011.241001900O/S</v>
          </cell>
          <cell r="Q635">
            <v>620</v>
          </cell>
          <cell r="R635">
            <v>1</v>
          </cell>
          <cell r="S635">
            <v>1</v>
          </cell>
          <cell r="T635">
            <v>0</v>
          </cell>
          <cell r="U635">
            <v>399</v>
          </cell>
          <cell r="V635">
            <v>400</v>
          </cell>
          <cell r="W635">
            <v>600</v>
          </cell>
          <cell r="X635">
            <v>400</v>
          </cell>
          <cell r="Y635">
            <v>1.5</v>
          </cell>
          <cell r="Z635">
            <v>400</v>
          </cell>
          <cell r="AA635">
            <v>400</v>
          </cell>
          <cell r="AB635">
            <v>484</v>
          </cell>
          <cell r="AC635">
            <v>484</v>
          </cell>
        </row>
        <row r="636">
          <cell r="H636" t="str">
            <v>8715738820876</v>
          </cell>
          <cell r="I636" t="str">
            <v>North Party Tent</v>
          </cell>
          <cell r="J636" t="str">
            <v>900</v>
          </cell>
          <cell r="K636" t="str">
            <v>Black</v>
          </cell>
          <cell r="L636" t="str">
            <v>O/S</v>
          </cell>
          <cell r="M636" t="str">
            <v xml:space="preserve">Carry Over </v>
          </cell>
          <cell r="N636" t="str">
            <v>Apparel &amp; POS</v>
          </cell>
          <cell r="P636" t="str">
            <v>85011.241002900O/S</v>
          </cell>
          <cell r="Q636">
            <v>621</v>
          </cell>
          <cell r="R636">
            <v>11.699999999999989</v>
          </cell>
          <cell r="S636">
            <v>11.699999999999989</v>
          </cell>
          <cell r="T636">
            <v>0</v>
          </cell>
          <cell r="U636">
            <v>155</v>
          </cell>
          <cell r="V636">
            <v>166.66666666666666</v>
          </cell>
          <cell r="W636">
            <v>250</v>
          </cell>
          <cell r="X636">
            <v>166.7</v>
          </cell>
          <cell r="Y636">
            <v>1.4997000599880026</v>
          </cell>
          <cell r="Z636">
            <v>166.66666666666666</v>
          </cell>
          <cell r="AA636">
            <v>166.7</v>
          </cell>
          <cell r="AB636">
            <v>201.66666666666666</v>
          </cell>
          <cell r="AC636">
            <v>201.7</v>
          </cell>
        </row>
        <row r="637">
          <cell r="H637" t="str">
            <v>8715738820951</v>
          </cell>
          <cell r="I637" t="str">
            <v>North Windsock set of 3</v>
          </cell>
          <cell r="J637" t="str">
            <v>900</v>
          </cell>
          <cell r="K637" t="str">
            <v>Black</v>
          </cell>
          <cell r="L637" t="str">
            <v>120cm</v>
          </cell>
          <cell r="M637" t="str">
            <v xml:space="preserve">Carry Over </v>
          </cell>
          <cell r="N637" t="str">
            <v>Apparel &amp; POS</v>
          </cell>
          <cell r="P637" t="str">
            <v>85011.241003900120cm</v>
          </cell>
          <cell r="Q637">
            <v>622</v>
          </cell>
          <cell r="R637">
            <v>1.4000000000000021</v>
          </cell>
          <cell r="S637">
            <v>1.4000000000000021</v>
          </cell>
          <cell r="T637">
            <v>0</v>
          </cell>
          <cell r="U637">
            <v>22</v>
          </cell>
          <cell r="V637">
            <v>23.333333333333332</v>
          </cell>
          <cell r="W637">
            <v>35</v>
          </cell>
          <cell r="X637">
            <v>23.400000000000002</v>
          </cell>
          <cell r="Y637">
            <v>1.4957264957264955</v>
          </cell>
          <cell r="Z637">
            <v>23.333333333333332</v>
          </cell>
          <cell r="AA637">
            <v>23.400000000000002</v>
          </cell>
          <cell r="AB637">
            <v>28.233333333333331</v>
          </cell>
          <cell r="AC637">
            <v>28.3</v>
          </cell>
        </row>
        <row r="638">
          <cell r="H638" t="str">
            <v>8715738820913</v>
          </cell>
          <cell r="I638" t="str">
            <v>North Beachflag</v>
          </cell>
          <cell r="J638" t="str">
            <v>900</v>
          </cell>
          <cell r="K638" t="str">
            <v>Black</v>
          </cell>
          <cell r="L638" t="str">
            <v>4m</v>
          </cell>
          <cell r="M638" t="str">
            <v xml:space="preserve">Carry Over </v>
          </cell>
          <cell r="N638" t="str">
            <v>Apparel &amp; POS</v>
          </cell>
          <cell r="P638" t="str">
            <v>85011.2410049004m</v>
          </cell>
          <cell r="Q638">
            <v>623</v>
          </cell>
          <cell r="R638">
            <v>8.3999999999999915</v>
          </cell>
          <cell r="S638">
            <v>8.3999999999999915</v>
          </cell>
          <cell r="T638">
            <v>0</v>
          </cell>
          <cell r="U638">
            <v>75</v>
          </cell>
          <cell r="V638">
            <v>83.333333333333329</v>
          </cell>
          <cell r="W638">
            <v>125</v>
          </cell>
          <cell r="X638">
            <v>83.399999999999991</v>
          </cell>
          <cell r="Y638">
            <v>1.4988009592326141</v>
          </cell>
          <cell r="Z638">
            <v>83.333333333333329</v>
          </cell>
          <cell r="AA638">
            <v>83.399999999999991</v>
          </cell>
          <cell r="AB638">
            <v>100.83333333333333</v>
          </cell>
          <cell r="AC638">
            <v>100.89999999999999</v>
          </cell>
        </row>
        <row r="639">
          <cell r="H639" t="str">
            <v>8715738820906</v>
          </cell>
          <cell r="I639" t="str">
            <v>North Beachflag (no poles)</v>
          </cell>
          <cell r="J639" t="str">
            <v>900</v>
          </cell>
          <cell r="K639" t="str">
            <v>Black</v>
          </cell>
          <cell r="L639" t="str">
            <v>4m</v>
          </cell>
          <cell r="M639" t="str">
            <v xml:space="preserve">Carry Over </v>
          </cell>
          <cell r="N639" t="str">
            <v>Apparel &amp; POS</v>
          </cell>
          <cell r="P639" t="str">
            <v>85011.2410059004m</v>
          </cell>
          <cell r="Q639">
            <v>624</v>
          </cell>
          <cell r="R639">
            <v>2</v>
          </cell>
          <cell r="S639">
            <v>2</v>
          </cell>
          <cell r="T639">
            <v>0</v>
          </cell>
          <cell r="U639">
            <v>28</v>
          </cell>
          <cell r="V639">
            <v>30</v>
          </cell>
          <cell r="W639">
            <v>45</v>
          </cell>
          <cell r="X639">
            <v>30</v>
          </cell>
          <cell r="Y639">
            <v>1.5</v>
          </cell>
          <cell r="Z639">
            <v>30</v>
          </cell>
          <cell r="AA639">
            <v>30</v>
          </cell>
          <cell r="AB639">
            <v>36.299999999999997</v>
          </cell>
          <cell r="AC639">
            <v>36.299999999999997</v>
          </cell>
        </row>
        <row r="640">
          <cell r="H640" t="str">
            <v>8715738820920</v>
          </cell>
          <cell r="I640" t="str">
            <v>North Banner set of 3</v>
          </cell>
          <cell r="J640" t="str">
            <v>900</v>
          </cell>
          <cell r="K640" t="str">
            <v>Black</v>
          </cell>
          <cell r="L640" t="str">
            <v>1 x 3m</v>
          </cell>
          <cell r="M640" t="str">
            <v xml:space="preserve">Carry Over </v>
          </cell>
          <cell r="N640" t="str">
            <v>Apparel &amp; POS</v>
          </cell>
          <cell r="P640" t="str">
            <v>85011.2410079001 x 3m</v>
          </cell>
          <cell r="Q640">
            <v>625</v>
          </cell>
          <cell r="R640">
            <v>0</v>
          </cell>
          <cell r="S640">
            <v>0</v>
          </cell>
          <cell r="T640">
            <v>0</v>
          </cell>
          <cell r="U640">
            <v>60</v>
          </cell>
          <cell r="V640">
            <v>60</v>
          </cell>
          <cell r="W640">
            <v>90</v>
          </cell>
          <cell r="X640">
            <v>60</v>
          </cell>
          <cell r="Y640">
            <v>1.5</v>
          </cell>
          <cell r="Z640">
            <v>60</v>
          </cell>
          <cell r="AA640">
            <v>60</v>
          </cell>
          <cell r="AB640">
            <v>72.599999999999994</v>
          </cell>
          <cell r="AC640">
            <v>72.599999999999994</v>
          </cell>
        </row>
        <row r="641">
          <cell r="H641" t="str">
            <v>8715738820982</v>
          </cell>
          <cell r="I641" t="str">
            <v>North Buoy</v>
          </cell>
          <cell r="J641" t="str">
            <v>250</v>
          </cell>
          <cell r="K641" t="str">
            <v>Yellow</v>
          </cell>
          <cell r="L641" t="str">
            <v>O/S</v>
          </cell>
          <cell r="M641" t="str">
            <v xml:space="preserve">Carry Over </v>
          </cell>
          <cell r="N641" t="str">
            <v>Apparel &amp; POS</v>
          </cell>
          <cell r="P641" t="str">
            <v>85011.241009250O/S</v>
          </cell>
          <cell r="Q641">
            <v>626</v>
          </cell>
          <cell r="R641">
            <v>5</v>
          </cell>
          <cell r="S641">
            <v>5</v>
          </cell>
          <cell r="T641">
            <v>0</v>
          </cell>
          <cell r="U641">
            <v>95</v>
          </cell>
          <cell r="V641">
            <v>100</v>
          </cell>
          <cell r="W641">
            <v>150</v>
          </cell>
          <cell r="X641">
            <v>100</v>
          </cell>
          <cell r="Y641">
            <v>1.5</v>
          </cell>
          <cell r="Z641">
            <v>100</v>
          </cell>
          <cell r="AA641">
            <v>100</v>
          </cell>
          <cell r="AB641">
            <v>121</v>
          </cell>
          <cell r="AC641">
            <v>121</v>
          </cell>
        </row>
        <row r="642">
          <cell r="H642" t="str">
            <v>8715738820883</v>
          </cell>
          <cell r="I642" t="str">
            <v>North Party Tent (no metal frame)</v>
          </cell>
          <cell r="J642" t="str">
            <v>900</v>
          </cell>
          <cell r="K642" t="str">
            <v>Black</v>
          </cell>
          <cell r="L642" t="str">
            <v>O/S</v>
          </cell>
          <cell r="M642" t="str">
            <v xml:space="preserve">Carry Over </v>
          </cell>
          <cell r="N642" t="str">
            <v>Apparel &amp; POS</v>
          </cell>
          <cell r="P642" t="str">
            <v>85011.241010900O/S</v>
          </cell>
          <cell r="Q642">
            <v>627</v>
          </cell>
          <cell r="R642">
            <v>6.6999999999999886</v>
          </cell>
          <cell r="S642">
            <v>6.6999999999999886</v>
          </cell>
          <cell r="T642">
            <v>0</v>
          </cell>
          <cell r="U642">
            <v>100</v>
          </cell>
          <cell r="V642">
            <v>106.66666666666667</v>
          </cell>
          <cell r="W642">
            <v>160</v>
          </cell>
          <cell r="X642">
            <v>106.69999999999999</v>
          </cell>
          <cell r="Y642">
            <v>1.499531396438613</v>
          </cell>
          <cell r="Z642">
            <v>106.66666666666667</v>
          </cell>
          <cell r="AA642">
            <v>106.69999999999999</v>
          </cell>
          <cell r="AB642">
            <v>129.06666666666666</v>
          </cell>
          <cell r="AC642">
            <v>129.1</v>
          </cell>
        </row>
        <row r="643">
          <cell r="H643" t="str">
            <v>8715738820937</v>
          </cell>
          <cell r="I643" t="str">
            <v>North Wordmark Flag Small set of 3</v>
          </cell>
          <cell r="J643" t="str">
            <v>900</v>
          </cell>
          <cell r="K643" t="str">
            <v>Black</v>
          </cell>
          <cell r="L643" t="str">
            <v>O/S</v>
          </cell>
          <cell r="M643" t="str">
            <v xml:space="preserve">Carry Over </v>
          </cell>
          <cell r="N643" t="str">
            <v>Apparel &amp; POS</v>
          </cell>
          <cell r="P643" t="str">
            <v>85011.241011900O/S</v>
          </cell>
          <cell r="Q643">
            <v>628</v>
          </cell>
          <cell r="R643">
            <v>0</v>
          </cell>
          <cell r="S643">
            <v>0</v>
          </cell>
          <cell r="T643">
            <v>0</v>
          </cell>
          <cell r="U643">
            <v>22</v>
          </cell>
          <cell r="V643">
            <v>22</v>
          </cell>
          <cell r="W643">
            <v>33</v>
          </cell>
          <cell r="X643">
            <v>22</v>
          </cell>
          <cell r="Y643">
            <v>1.5</v>
          </cell>
          <cell r="Z643">
            <v>22</v>
          </cell>
          <cell r="AA643">
            <v>22</v>
          </cell>
          <cell r="AB643">
            <v>26.619999999999997</v>
          </cell>
          <cell r="AC643">
            <v>26.700000000000003</v>
          </cell>
        </row>
        <row r="644">
          <cell r="H644" t="str">
            <v>8715738820944</v>
          </cell>
          <cell r="I644" t="str">
            <v>North Wordmark Flag Large set of 3</v>
          </cell>
          <cell r="J644" t="str">
            <v>900</v>
          </cell>
          <cell r="K644" t="str">
            <v>Black</v>
          </cell>
          <cell r="L644" t="str">
            <v>O/S</v>
          </cell>
          <cell r="M644" t="str">
            <v xml:space="preserve">Carry Over </v>
          </cell>
          <cell r="N644" t="str">
            <v>Apparel &amp; POS</v>
          </cell>
          <cell r="P644" t="str">
            <v>85011.241012900O/S</v>
          </cell>
          <cell r="Q644">
            <v>629</v>
          </cell>
          <cell r="R644">
            <v>1.7000000000000028</v>
          </cell>
          <cell r="S644">
            <v>1.7000000000000028</v>
          </cell>
          <cell r="T644">
            <v>0</v>
          </cell>
          <cell r="U644">
            <v>35</v>
          </cell>
          <cell r="V644">
            <v>36.666666666666664</v>
          </cell>
          <cell r="W644">
            <v>55</v>
          </cell>
          <cell r="X644">
            <v>36.700000000000003</v>
          </cell>
          <cell r="Y644">
            <v>1.4986376021798364</v>
          </cell>
          <cell r="Z644">
            <v>36.666666666666664</v>
          </cell>
          <cell r="AA644">
            <v>36.700000000000003</v>
          </cell>
          <cell r="AB644">
            <v>44.36666666666666</v>
          </cell>
          <cell r="AC644">
            <v>44.4</v>
          </cell>
        </row>
        <row r="645">
          <cell r="H645" t="str">
            <v>8715738820968</v>
          </cell>
          <cell r="I645" t="str">
            <v>North Logo Flag Small set of 3</v>
          </cell>
          <cell r="J645" t="str">
            <v>900</v>
          </cell>
          <cell r="K645" t="str">
            <v>Black</v>
          </cell>
          <cell r="L645" t="str">
            <v>O/S</v>
          </cell>
          <cell r="M645" t="str">
            <v xml:space="preserve">Carry Over </v>
          </cell>
          <cell r="N645" t="str">
            <v>Apparel &amp; POS</v>
          </cell>
          <cell r="P645" t="str">
            <v>85011.241013900O/S</v>
          </cell>
          <cell r="Q645">
            <v>630</v>
          </cell>
          <cell r="R645">
            <v>2</v>
          </cell>
          <cell r="S645">
            <v>2</v>
          </cell>
          <cell r="T645">
            <v>0</v>
          </cell>
          <cell r="U645">
            <v>20</v>
          </cell>
          <cell r="V645">
            <v>22</v>
          </cell>
          <cell r="W645">
            <v>33</v>
          </cell>
          <cell r="X645">
            <v>22</v>
          </cell>
          <cell r="Y645">
            <v>1.5</v>
          </cell>
          <cell r="Z645">
            <v>22</v>
          </cell>
          <cell r="AA645">
            <v>22</v>
          </cell>
          <cell r="AB645">
            <v>26.619999999999997</v>
          </cell>
          <cell r="AC645">
            <v>26.700000000000003</v>
          </cell>
        </row>
        <row r="646">
          <cell r="H646" t="str">
            <v>8715738820975</v>
          </cell>
          <cell r="I646" t="str">
            <v>North Logo Flag Large set of 3</v>
          </cell>
          <cell r="J646" t="str">
            <v>900</v>
          </cell>
          <cell r="K646" t="str">
            <v>Black</v>
          </cell>
          <cell r="L646" t="str">
            <v>O/S</v>
          </cell>
          <cell r="M646" t="str">
            <v xml:space="preserve">Carry Over </v>
          </cell>
          <cell r="N646" t="str">
            <v>Apparel &amp; POS</v>
          </cell>
          <cell r="P646" t="str">
            <v>85011.241014900O/S</v>
          </cell>
          <cell r="Q646">
            <v>631</v>
          </cell>
          <cell r="R646">
            <v>1.7000000000000028</v>
          </cell>
          <cell r="S646">
            <v>1.7000000000000028</v>
          </cell>
          <cell r="T646">
            <v>0</v>
          </cell>
          <cell r="U646">
            <v>35</v>
          </cell>
          <cell r="V646">
            <v>36.666666666666664</v>
          </cell>
          <cell r="W646">
            <v>55</v>
          </cell>
          <cell r="X646">
            <v>36.700000000000003</v>
          </cell>
          <cell r="Y646">
            <v>1.4986376021798364</v>
          </cell>
          <cell r="Z646">
            <v>36.666666666666664</v>
          </cell>
          <cell r="AA646">
            <v>36.700000000000003</v>
          </cell>
          <cell r="AB646">
            <v>44.36666666666666</v>
          </cell>
          <cell r="AC646">
            <v>44.4</v>
          </cell>
        </row>
        <row r="647">
          <cell r="H647" t="str">
            <v>8715738825499</v>
          </cell>
          <cell r="I647" t="str">
            <v>North Twin Tip Board Hanger set of 10</v>
          </cell>
          <cell r="J647" t="str">
            <v>900</v>
          </cell>
          <cell r="K647" t="str">
            <v>Black</v>
          </cell>
          <cell r="L647" t="str">
            <v>O/S</v>
          </cell>
          <cell r="M647" t="str">
            <v xml:space="preserve">Carry Over </v>
          </cell>
          <cell r="N647" t="str">
            <v>Apparel &amp; POS</v>
          </cell>
          <cell r="P647" t="str">
            <v>85011.241018900O/S</v>
          </cell>
          <cell r="Q647">
            <v>632</v>
          </cell>
          <cell r="R647">
            <v>0</v>
          </cell>
          <cell r="S647">
            <v>0</v>
          </cell>
          <cell r="T647">
            <v>0</v>
          </cell>
          <cell r="U647">
            <v>20</v>
          </cell>
          <cell r="V647">
            <v>20</v>
          </cell>
          <cell r="W647">
            <v>30</v>
          </cell>
          <cell r="X647">
            <v>20</v>
          </cell>
          <cell r="Y647">
            <v>1.5</v>
          </cell>
          <cell r="Z647">
            <v>20</v>
          </cell>
          <cell r="AA647">
            <v>20</v>
          </cell>
          <cell r="AB647">
            <v>24.2</v>
          </cell>
          <cell r="AC647">
            <v>24.2</v>
          </cell>
        </row>
        <row r="648">
          <cell r="H648" t="str">
            <v>8715738825505</v>
          </cell>
          <cell r="I648" t="str">
            <v>North Surf/Foil Board Hanger set of 10</v>
          </cell>
          <cell r="J648" t="str">
            <v>900</v>
          </cell>
          <cell r="K648" t="str">
            <v>Black</v>
          </cell>
          <cell r="L648" t="str">
            <v>O/S</v>
          </cell>
          <cell r="M648" t="str">
            <v xml:space="preserve">Carry Over </v>
          </cell>
          <cell r="N648" t="str">
            <v>Apparel &amp; POS</v>
          </cell>
          <cell r="P648" t="str">
            <v>85011.241019900O/S</v>
          </cell>
          <cell r="Q648">
            <v>633</v>
          </cell>
          <cell r="R648">
            <v>1.4000000000000021</v>
          </cell>
          <cell r="S648">
            <v>1.4000000000000021</v>
          </cell>
          <cell r="T648">
            <v>0</v>
          </cell>
          <cell r="U648">
            <v>20</v>
          </cell>
          <cell r="V648">
            <v>21.333333333333332</v>
          </cell>
          <cell r="W648">
            <v>32</v>
          </cell>
          <cell r="X648">
            <v>21.400000000000002</v>
          </cell>
          <cell r="Y648">
            <v>1.4953271028037383</v>
          </cell>
          <cell r="Z648">
            <v>21.333333333333332</v>
          </cell>
          <cell r="AA648">
            <v>21.400000000000002</v>
          </cell>
          <cell r="AB648">
            <v>25.813333333333333</v>
          </cell>
          <cell r="AC648">
            <v>25.900000000000002</v>
          </cell>
        </row>
        <row r="649">
          <cell r="H649" t="str">
            <v>8715738821026</v>
          </cell>
          <cell r="I649" t="str">
            <v>North Lanyard set of 10</v>
          </cell>
          <cell r="J649" t="str">
            <v>900</v>
          </cell>
          <cell r="K649" t="str">
            <v>Black</v>
          </cell>
          <cell r="L649" t="str">
            <v>O/S</v>
          </cell>
          <cell r="M649" t="str">
            <v xml:space="preserve">Carry Over </v>
          </cell>
          <cell r="N649" t="str">
            <v>Apparel &amp; POS</v>
          </cell>
          <cell r="P649" t="str">
            <v>85011.241029900O/S</v>
          </cell>
          <cell r="Q649">
            <v>634</v>
          </cell>
          <cell r="R649">
            <v>-0.30000000000000071</v>
          </cell>
          <cell r="S649">
            <v>-0.30000000000000071</v>
          </cell>
          <cell r="T649">
            <v>0</v>
          </cell>
          <cell r="U649">
            <v>15</v>
          </cell>
          <cell r="V649">
            <v>14.666666666666666</v>
          </cell>
          <cell r="W649">
            <v>22</v>
          </cell>
          <cell r="X649">
            <v>14.7</v>
          </cell>
          <cell r="Y649">
            <v>1.4965986394557824</v>
          </cell>
          <cell r="Z649">
            <v>14.666666666666666</v>
          </cell>
          <cell r="AA649">
            <v>14.7</v>
          </cell>
          <cell r="AB649">
            <v>17.746666666666666</v>
          </cell>
          <cell r="AC649">
            <v>17.8</v>
          </cell>
        </row>
        <row r="650">
          <cell r="H650" t="str">
            <v>8715738825536</v>
          </cell>
          <cell r="I650" t="str">
            <v>North Paper Bag Large set of 100</v>
          </cell>
          <cell r="J650" t="str">
            <v>700</v>
          </cell>
          <cell r="K650" t="str">
            <v>Brown</v>
          </cell>
          <cell r="L650" t="str">
            <v>O/S</v>
          </cell>
          <cell r="M650" t="str">
            <v xml:space="preserve">Carry Over </v>
          </cell>
          <cell r="N650" t="str">
            <v>Apparel &amp; POS</v>
          </cell>
          <cell r="P650" t="str">
            <v>85011.241033700O/S</v>
          </cell>
          <cell r="Q650">
            <v>635</v>
          </cell>
          <cell r="R650">
            <v>1.6999999999999886</v>
          </cell>
          <cell r="S650">
            <v>1.6999999999999886</v>
          </cell>
          <cell r="T650">
            <v>0</v>
          </cell>
          <cell r="U650">
            <v>85</v>
          </cell>
          <cell r="V650">
            <v>86.666666666666671</v>
          </cell>
          <cell r="W650">
            <v>130</v>
          </cell>
          <cell r="X650">
            <v>86.699999999999989</v>
          </cell>
          <cell r="Y650">
            <v>1.4994232987312575</v>
          </cell>
          <cell r="Z650">
            <v>86.666666666666671</v>
          </cell>
          <cell r="AA650">
            <v>86.699999999999989</v>
          </cell>
          <cell r="AB650">
            <v>104.86666666666667</v>
          </cell>
          <cell r="AC650">
            <v>104.89999999999999</v>
          </cell>
        </row>
        <row r="651">
          <cell r="H651" t="str">
            <v>8715738825543</v>
          </cell>
          <cell r="I651" t="str">
            <v>North Shelf Logo</v>
          </cell>
          <cell r="J651" t="str">
            <v>900</v>
          </cell>
          <cell r="K651" t="str">
            <v>Black</v>
          </cell>
          <cell r="L651" t="str">
            <v>O/S</v>
          </cell>
          <cell r="M651" t="str">
            <v xml:space="preserve">Carry Over </v>
          </cell>
          <cell r="N651" t="str">
            <v>Apparel &amp; POS</v>
          </cell>
          <cell r="P651" t="str">
            <v>85011.241035900O/S</v>
          </cell>
          <cell r="Q651">
            <v>636</v>
          </cell>
          <cell r="R651">
            <v>0</v>
          </cell>
          <cell r="S651">
            <v>0</v>
          </cell>
          <cell r="T651">
            <v>0</v>
          </cell>
          <cell r="U651">
            <v>5.5</v>
          </cell>
          <cell r="V651">
            <v>5.5</v>
          </cell>
          <cell r="W651">
            <v>8.25</v>
          </cell>
          <cell r="X651">
            <v>5.5</v>
          </cell>
          <cell r="Y651">
            <v>1.5</v>
          </cell>
          <cell r="Z651">
            <v>5.5</v>
          </cell>
          <cell r="AA651">
            <v>5.5</v>
          </cell>
          <cell r="AB651">
            <v>6.6549999999999994</v>
          </cell>
          <cell r="AC651">
            <v>6.6999999999999993</v>
          </cell>
        </row>
        <row r="652">
          <cell r="H652" t="str">
            <v>8715738825567</v>
          </cell>
          <cell r="I652" t="str">
            <v>North Logo Promo Sticker set of 10</v>
          </cell>
          <cell r="J652" t="str">
            <v>900</v>
          </cell>
          <cell r="K652" t="str">
            <v>Black</v>
          </cell>
          <cell r="L652" t="str">
            <v>O/S</v>
          </cell>
          <cell r="M652" t="str">
            <v xml:space="preserve">Carry Over </v>
          </cell>
          <cell r="N652" t="str">
            <v>Apparel &amp; POS</v>
          </cell>
          <cell r="P652" t="str">
            <v>85011.241038900O/S</v>
          </cell>
          <cell r="Q652">
            <v>637</v>
          </cell>
          <cell r="R652">
            <v>0</v>
          </cell>
          <cell r="S652">
            <v>0</v>
          </cell>
          <cell r="T652">
            <v>0</v>
          </cell>
          <cell r="U652">
            <v>2.5</v>
          </cell>
          <cell r="V652">
            <v>2.5</v>
          </cell>
          <cell r="W652">
            <v>3.75</v>
          </cell>
          <cell r="X652">
            <v>2.5</v>
          </cell>
          <cell r="Y652">
            <v>1.5</v>
          </cell>
          <cell r="Z652">
            <v>2.5</v>
          </cell>
          <cell r="AA652">
            <v>2.5</v>
          </cell>
          <cell r="AB652">
            <v>3.0249999999999999</v>
          </cell>
          <cell r="AC652">
            <v>3.1</v>
          </cell>
        </row>
        <row r="653">
          <cell r="H653" t="str">
            <v>8715738825581</v>
          </cell>
          <cell r="I653" t="str">
            <v>North Wordmark Promo Sticker Large set of 10</v>
          </cell>
          <cell r="J653" t="str">
            <v>900</v>
          </cell>
          <cell r="K653" t="str">
            <v>Black</v>
          </cell>
          <cell r="L653" t="str">
            <v>O/S</v>
          </cell>
          <cell r="M653" t="str">
            <v xml:space="preserve">Carry Over </v>
          </cell>
          <cell r="N653" t="str">
            <v>Apparel &amp; POS</v>
          </cell>
          <cell r="P653" t="str">
            <v>85011.241040900O/S</v>
          </cell>
          <cell r="Q653">
            <v>638</v>
          </cell>
          <cell r="R653">
            <v>0</v>
          </cell>
          <cell r="S653">
            <v>0</v>
          </cell>
          <cell r="T653">
            <v>0</v>
          </cell>
          <cell r="U653">
            <v>3</v>
          </cell>
          <cell r="V653">
            <v>3</v>
          </cell>
          <cell r="W653">
            <v>4.5</v>
          </cell>
          <cell r="X653">
            <v>3</v>
          </cell>
          <cell r="Y653">
            <v>1.5</v>
          </cell>
          <cell r="Z653">
            <v>3</v>
          </cell>
          <cell r="AA653">
            <v>3</v>
          </cell>
          <cell r="AB653">
            <v>3.63</v>
          </cell>
          <cell r="AC653">
            <v>3.7</v>
          </cell>
        </row>
        <row r="654">
          <cell r="H654" t="str">
            <v>8715738821040</v>
          </cell>
          <cell r="I654" t="str">
            <v>North Dealer Sticker set of 2</v>
          </cell>
          <cell r="J654" t="str">
            <v>900</v>
          </cell>
          <cell r="K654" t="str">
            <v>Black</v>
          </cell>
          <cell r="L654" t="str">
            <v>O/S</v>
          </cell>
          <cell r="M654" t="str">
            <v xml:space="preserve">Carry Over </v>
          </cell>
          <cell r="N654" t="str">
            <v>Apparel &amp; POS</v>
          </cell>
          <cell r="P654" t="str">
            <v>85011.241070900O/S</v>
          </cell>
          <cell r="Q654">
            <v>639</v>
          </cell>
          <cell r="R654">
            <v>-0.59999999999999987</v>
          </cell>
          <cell r="S654">
            <v>-0.59999999999999987</v>
          </cell>
          <cell r="T654">
            <v>0</v>
          </cell>
          <cell r="U654">
            <v>2</v>
          </cell>
          <cell r="V654">
            <v>1.3333333333333333</v>
          </cell>
          <cell r="W654">
            <v>2</v>
          </cell>
          <cell r="X654">
            <v>1.4000000000000001</v>
          </cell>
          <cell r="Y654">
            <v>1.4285714285714284</v>
          </cell>
          <cell r="Z654">
            <v>1.3333333333333333</v>
          </cell>
          <cell r="AA654">
            <v>1.4000000000000001</v>
          </cell>
          <cell r="AB654">
            <v>1.6133333333333333</v>
          </cell>
          <cell r="AC654">
            <v>1.7000000000000002</v>
          </cell>
        </row>
        <row r="655">
          <cell r="H655" t="str">
            <v>8715738821194</v>
          </cell>
          <cell r="I655" t="str">
            <v>North Wordmark Cut Out Sticker Large set of 25</v>
          </cell>
          <cell r="J655" t="str">
            <v>198</v>
          </cell>
          <cell r="K655" t="str">
            <v>Silver</v>
          </cell>
          <cell r="L655" t="str">
            <v>O/S</v>
          </cell>
          <cell r="M655" t="str">
            <v xml:space="preserve">Carry Over </v>
          </cell>
          <cell r="N655" t="str">
            <v>Apparel &amp; POS</v>
          </cell>
          <cell r="P655" t="str">
            <v>85011.241073198O/S</v>
          </cell>
          <cell r="Q655">
            <v>640</v>
          </cell>
          <cell r="R655">
            <v>0.19999999999999929</v>
          </cell>
          <cell r="S655">
            <v>0.19999999999999929</v>
          </cell>
          <cell r="T655">
            <v>0</v>
          </cell>
          <cell r="U655">
            <v>8.5</v>
          </cell>
          <cell r="V655">
            <v>8.6666666666666661</v>
          </cell>
          <cell r="W655">
            <v>13</v>
          </cell>
          <cell r="X655">
            <v>8.6999999999999993</v>
          </cell>
          <cell r="Y655">
            <v>1.4942528735632186</v>
          </cell>
          <cell r="Z655">
            <v>8.6666666666666661</v>
          </cell>
          <cell r="AA655">
            <v>8.6999999999999993</v>
          </cell>
          <cell r="AB655">
            <v>10.486666666666666</v>
          </cell>
          <cell r="AC655">
            <v>10.5</v>
          </cell>
        </row>
        <row r="656">
          <cell r="H656" t="str">
            <v>8715738821064</v>
          </cell>
          <cell r="I656" t="str">
            <v>North Wordmark Cut Out Sticker Large set of 25</v>
          </cell>
          <cell r="J656" t="str">
            <v>900</v>
          </cell>
          <cell r="K656" t="str">
            <v>Black</v>
          </cell>
          <cell r="L656" t="str">
            <v>O/S</v>
          </cell>
          <cell r="M656" t="str">
            <v xml:space="preserve">Carry Over </v>
          </cell>
          <cell r="N656" t="str">
            <v>Apparel &amp; POS</v>
          </cell>
          <cell r="P656" t="str">
            <v>85011.241073900O/S</v>
          </cell>
          <cell r="Q656">
            <v>641</v>
          </cell>
          <cell r="R656">
            <v>0.19999999999999929</v>
          </cell>
          <cell r="S656">
            <v>0.19999999999999929</v>
          </cell>
          <cell r="T656">
            <v>0</v>
          </cell>
          <cell r="U656">
            <v>8.5</v>
          </cell>
          <cell r="V656">
            <v>8.6666666666666661</v>
          </cell>
          <cell r="W656">
            <v>13</v>
          </cell>
          <cell r="X656">
            <v>8.6999999999999993</v>
          </cell>
          <cell r="Y656">
            <v>1.4942528735632186</v>
          </cell>
          <cell r="Z656">
            <v>8.6666666666666661</v>
          </cell>
          <cell r="AA656">
            <v>8.6999999999999993</v>
          </cell>
          <cell r="AB656">
            <v>10.486666666666666</v>
          </cell>
          <cell r="AC656">
            <v>10.5</v>
          </cell>
        </row>
        <row r="657">
          <cell r="H657" t="str">
            <v>8715738821095</v>
          </cell>
          <cell r="I657" t="str">
            <v>North Logo Cut Out Sticker set of 25</v>
          </cell>
          <cell r="J657" t="str">
            <v>198</v>
          </cell>
          <cell r="K657" t="str">
            <v>Silver</v>
          </cell>
          <cell r="L657" t="str">
            <v>O/S</v>
          </cell>
          <cell r="M657" t="str">
            <v xml:space="preserve">Carry Over </v>
          </cell>
          <cell r="N657" t="str">
            <v>Apparel &amp; POS</v>
          </cell>
          <cell r="P657" t="str">
            <v>85011.241074198O/S</v>
          </cell>
          <cell r="Q657">
            <v>642</v>
          </cell>
          <cell r="R657">
            <v>0.69999999999999929</v>
          </cell>
          <cell r="S657">
            <v>0.69999999999999929</v>
          </cell>
          <cell r="T657">
            <v>0</v>
          </cell>
          <cell r="U657">
            <v>6</v>
          </cell>
          <cell r="V657">
            <v>6.666666666666667</v>
          </cell>
          <cell r="W657">
            <v>10</v>
          </cell>
          <cell r="X657">
            <v>6.6999999999999993</v>
          </cell>
          <cell r="Y657">
            <v>1.4925373134328359</v>
          </cell>
          <cell r="Z657">
            <v>6.666666666666667</v>
          </cell>
          <cell r="AA657">
            <v>6.6999999999999993</v>
          </cell>
          <cell r="AB657">
            <v>8.0666666666666664</v>
          </cell>
          <cell r="AC657">
            <v>8.1</v>
          </cell>
        </row>
        <row r="658">
          <cell r="H658" t="str">
            <v>8715738821101</v>
          </cell>
          <cell r="I658" t="str">
            <v>North Logo Cut Out Sticker set of 25</v>
          </cell>
          <cell r="J658" t="str">
            <v>900</v>
          </cell>
          <cell r="K658" t="str">
            <v>Black</v>
          </cell>
          <cell r="L658" t="str">
            <v>O/S</v>
          </cell>
          <cell r="M658" t="str">
            <v xml:space="preserve">Carry Over </v>
          </cell>
          <cell r="N658" t="str">
            <v>Apparel &amp; POS</v>
          </cell>
          <cell r="P658" t="str">
            <v>85011.241074900O/S</v>
          </cell>
          <cell r="Q658">
            <v>643</v>
          </cell>
          <cell r="R658">
            <v>0.69999999999999929</v>
          </cell>
          <cell r="S658">
            <v>0.69999999999999929</v>
          </cell>
          <cell r="T658">
            <v>0</v>
          </cell>
          <cell r="U658">
            <v>6</v>
          </cell>
          <cell r="V658">
            <v>6.666666666666667</v>
          </cell>
          <cell r="W658">
            <v>10</v>
          </cell>
          <cell r="X658">
            <v>6.6999999999999993</v>
          </cell>
          <cell r="Y658">
            <v>1.4925373134328359</v>
          </cell>
          <cell r="Z658">
            <v>6.666666666666667</v>
          </cell>
          <cell r="AA658">
            <v>6.6999999999999993</v>
          </cell>
          <cell r="AB658">
            <v>8.0666666666666664</v>
          </cell>
          <cell r="AC658">
            <v>8.1</v>
          </cell>
        </row>
        <row r="659">
          <cell r="H659" t="str">
            <v>8715738821132</v>
          </cell>
          <cell r="I659" t="str">
            <v>North Wordmark Vehicle Sticker X-Large set of 2</v>
          </cell>
          <cell r="J659" t="str">
            <v>198</v>
          </cell>
          <cell r="K659" t="str">
            <v>Silver</v>
          </cell>
          <cell r="L659" t="str">
            <v>O/S</v>
          </cell>
          <cell r="M659" t="str">
            <v xml:space="preserve">Carry Over </v>
          </cell>
          <cell r="N659" t="str">
            <v>Apparel &amp; POS</v>
          </cell>
          <cell r="P659" t="str">
            <v>85011.241076198O/S</v>
          </cell>
          <cell r="Q659">
            <v>644</v>
          </cell>
          <cell r="R659">
            <v>0</v>
          </cell>
          <cell r="S659">
            <v>0</v>
          </cell>
          <cell r="T659">
            <v>0</v>
          </cell>
          <cell r="U659">
            <v>20</v>
          </cell>
          <cell r="V659">
            <v>20</v>
          </cell>
          <cell r="W659">
            <v>30</v>
          </cell>
          <cell r="X659">
            <v>20</v>
          </cell>
          <cell r="Y659">
            <v>1.5</v>
          </cell>
          <cell r="Z659">
            <v>20</v>
          </cell>
          <cell r="AA659">
            <v>20</v>
          </cell>
          <cell r="AB659">
            <v>24.2</v>
          </cell>
          <cell r="AC659">
            <v>24.2</v>
          </cell>
        </row>
        <row r="660">
          <cell r="H660" t="str">
            <v>8715738821149</v>
          </cell>
          <cell r="I660" t="str">
            <v>North Wordmark Vehicle Sticker X-Large set of 2</v>
          </cell>
          <cell r="J660" t="str">
            <v>900</v>
          </cell>
          <cell r="K660" t="str">
            <v>Black</v>
          </cell>
          <cell r="L660" t="str">
            <v>O/S</v>
          </cell>
          <cell r="M660" t="str">
            <v xml:space="preserve">Carry Over </v>
          </cell>
          <cell r="N660" t="str">
            <v>Apparel &amp; POS</v>
          </cell>
          <cell r="P660" t="str">
            <v>85011.241076900O/S</v>
          </cell>
          <cell r="Q660">
            <v>645</v>
          </cell>
          <cell r="R660">
            <v>0</v>
          </cell>
          <cell r="S660">
            <v>0</v>
          </cell>
          <cell r="T660">
            <v>0</v>
          </cell>
          <cell r="U660">
            <v>20</v>
          </cell>
          <cell r="V660">
            <v>20</v>
          </cell>
          <cell r="W660">
            <v>30</v>
          </cell>
          <cell r="X660">
            <v>20</v>
          </cell>
          <cell r="Y660">
            <v>1.5</v>
          </cell>
          <cell r="Z660">
            <v>20</v>
          </cell>
          <cell r="AA660">
            <v>20</v>
          </cell>
          <cell r="AB660">
            <v>24.2</v>
          </cell>
          <cell r="AC660">
            <v>24.2</v>
          </cell>
        </row>
        <row r="661">
          <cell r="H661" t="str">
            <v>8715738821170</v>
          </cell>
          <cell r="I661" t="str">
            <v>North Logo Vehicle Sticker X-Large set of 2</v>
          </cell>
          <cell r="J661" t="str">
            <v>198</v>
          </cell>
          <cell r="K661" t="str">
            <v>Silver</v>
          </cell>
          <cell r="L661" t="str">
            <v>O/S</v>
          </cell>
          <cell r="M661" t="str">
            <v xml:space="preserve">Carry Over </v>
          </cell>
          <cell r="N661" t="str">
            <v>Apparel &amp; POS</v>
          </cell>
          <cell r="P661" t="str">
            <v>85011.241078198O/S</v>
          </cell>
          <cell r="Q661">
            <v>646</v>
          </cell>
          <cell r="R661">
            <v>0</v>
          </cell>
          <cell r="S661">
            <v>0</v>
          </cell>
          <cell r="T661">
            <v>0</v>
          </cell>
          <cell r="U661">
            <v>20</v>
          </cell>
          <cell r="V661">
            <v>20</v>
          </cell>
          <cell r="W661">
            <v>30</v>
          </cell>
          <cell r="X661">
            <v>20</v>
          </cell>
          <cell r="Y661">
            <v>1.5</v>
          </cell>
          <cell r="Z661">
            <v>20</v>
          </cell>
          <cell r="AA661">
            <v>20</v>
          </cell>
          <cell r="AB661">
            <v>24.2</v>
          </cell>
          <cell r="AC661">
            <v>24.2</v>
          </cell>
        </row>
        <row r="662">
          <cell r="H662" t="str">
            <v>8715738821187</v>
          </cell>
          <cell r="I662" t="str">
            <v>North Logo Vehicle Sticker X-Large set of 2</v>
          </cell>
          <cell r="J662" t="str">
            <v>900</v>
          </cell>
          <cell r="K662" t="str">
            <v>Black</v>
          </cell>
          <cell r="L662" t="str">
            <v>O/S</v>
          </cell>
          <cell r="M662" t="str">
            <v xml:space="preserve">Carry Over </v>
          </cell>
          <cell r="N662" t="str">
            <v>Apparel &amp; POS</v>
          </cell>
          <cell r="P662" t="str">
            <v>85011.241078900O/S</v>
          </cell>
          <cell r="Q662">
            <v>647</v>
          </cell>
          <cell r="R662">
            <v>0</v>
          </cell>
          <cell r="S662">
            <v>0</v>
          </cell>
          <cell r="T662">
            <v>0</v>
          </cell>
          <cell r="U662">
            <v>20</v>
          </cell>
          <cell r="V662">
            <v>20</v>
          </cell>
          <cell r="W662">
            <v>30</v>
          </cell>
          <cell r="X662">
            <v>20</v>
          </cell>
          <cell r="Y662">
            <v>1.5</v>
          </cell>
          <cell r="Z662">
            <v>20</v>
          </cell>
          <cell r="AA662">
            <v>20</v>
          </cell>
          <cell r="AB662">
            <v>24.2</v>
          </cell>
          <cell r="AC662">
            <v>24.2</v>
          </cell>
        </row>
        <row r="663">
          <cell r="H663" t="str">
            <v>8715738858442</v>
          </cell>
          <cell r="I663" t="str">
            <v>Shiftlock Display Stand</v>
          </cell>
          <cell r="J663" t="str">
            <v>900</v>
          </cell>
          <cell r="K663" t="str">
            <v>Black</v>
          </cell>
          <cell r="L663" t="str">
            <v>O/S</v>
          </cell>
          <cell r="M663" t="str">
            <v xml:space="preserve">Carry Over </v>
          </cell>
          <cell r="N663" t="str">
            <v>Apparel &amp; POS</v>
          </cell>
          <cell r="P663" t="str">
            <v>85011.241082900O/S</v>
          </cell>
          <cell r="Q663">
            <v>648</v>
          </cell>
          <cell r="R663">
            <v>0</v>
          </cell>
          <cell r="S663">
            <v>0</v>
          </cell>
          <cell r="T663">
            <v>0</v>
          </cell>
          <cell r="U663">
            <v>130</v>
          </cell>
          <cell r="V663">
            <v>130</v>
          </cell>
          <cell r="W663">
            <v>195</v>
          </cell>
          <cell r="X663">
            <v>130</v>
          </cell>
          <cell r="Y663">
            <v>1.5</v>
          </cell>
          <cell r="Z663">
            <v>130</v>
          </cell>
          <cell r="AA663">
            <v>130</v>
          </cell>
          <cell r="AB663">
            <v>157.29999999999998</v>
          </cell>
          <cell r="AC663">
            <v>157.30000000000001</v>
          </cell>
        </row>
        <row r="664">
          <cell r="H664" t="str">
            <v>8715738858459</v>
          </cell>
          <cell r="I664" t="str">
            <v>Universal Display Stand</v>
          </cell>
          <cell r="J664" t="str">
            <v>999</v>
          </cell>
          <cell r="K664" t="str">
            <v>Multiple Color</v>
          </cell>
          <cell r="L664" t="str">
            <v>O/S</v>
          </cell>
          <cell r="M664" t="str">
            <v xml:space="preserve">Carry Over </v>
          </cell>
          <cell r="N664" t="str">
            <v>Apparel &amp; POS</v>
          </cell>
          <cell r="P664" t="str">
            <v>85011.241083999O/S</v>
          </cell>
          <cell r="Q664">
            <v>649</v>
          </cell>
          <cell r="R664">
            <v>0.39999999999999147</v>
          </cell>
          <cell r="S664">
            <v>0.39999999999999147</v>
          </cell>
          <cell r="T664">
            <v>0</v>
          </cell>
          <cell r="U664">
            <v>125</v>
          </cell>
          <cell r="V664">
            <v>125.33333333333333</v>
          </cell>
          <cell r="W664">
            <v>188</v>
          </cell>
          <cell r="X664">
            <v>125.39999999999999</v>
          </cell>
          <cell r="Y664">
            <v>1.499202551834131</v>
          </cell>
          <cell r="Z664">
            <v>125.33333333333333</v>
          </cell>
          <cell r="AA664">
            <v>125.39999999999999</v>
          </cell>
          <cell r="AB664">
            <v>151.65333333333334</v>
          </cell>
          <cell r="AC664">
            <v>151.69999999999999</v>
          </cell>
        </row>
        <row r="665">
          <cell r="H665" t="str">
            <v>8715738858466</v>
          </cell>
          <cell r="I665" t="str">
            <v>Universal Display Stand Branding Pack North</v>
          </cell>
          <cell r="J665" t="str">
            <v>999</v>
          </cell>
          <cell r="K665" t="str">
            <v>Multiple Color</v>
          </cell>
          <cell r="L665" t="str">
            <v>O/S</v>
          </cell>
          <cell r="M665" t="str">
            <v xml:space="preserve">Carry Over </v>
          </cell>
          <cell r="N665" t="str">
            <v>Apparel &amp; POS</v>
          </cell>
          <cell r="P665" t="str">
            <v>85011.241084999O/S</v>
          </cell>
          <cell r="Q665">
            <v>650</v>
          </cell>
          <cell r="R665">
            <v>1.6999999999999886</v>
          </cell>
          <cell r="S665">
            <v>1.6999999999999886</v>
          </cell>
          <cell r="T665">
            <v>0</v>
          </cell>
          <cell r="U665">
            <v>75</v>
          </cell>
          <cell r="V665">
            <v>76.666666666666671</v>
          </cell>
          <cell r="W665">
            <v>115</v>
          </cell>
          <cell r="X665">
            <v>76.699999999999989</v>
          </cell>
          <cell r="Y665">
            <v>1.4993481095176013</v>
          </cell>
          <cell r="Z665">
            <v>76.666666666666671</v>
          </cell>
          <cell r="AA665">
            <v>76.699999999999989</v>
          </cell>
          <cell r="AB665">
            <v>92.766666666666666</v>
          </cell>
          <cell r="AC665">
            <v>92.8</v>
          </cell>
        </row>
        <row r="666">
          <cell r="H666" t="str">
            <v>8715738858473</v>
          </cell>
          <cell r="I666" t="str">
            <v>Universal Display Stand Branding Pack Shiftlock North</v>
          </cell>
          <cell r="J666" t="str">
            <v>900</v>
          </cell>
          <cell r="K666" t="str">
            <v>Black</v>
          </cell>
          <cell r="L666" t="str">
            <v>O/S</v>
          </cell>
          <cell r="M666" t="str">
            <v xml:space="preserve">Carry Over </v>
          </cell>
          <cell r="N666" t="str">
            <v>Apparel &amp; POS</v>
          </cell>
          <cell r="P666" t="str">
            <v>85011.241085900O/S</v>
          </cell>
          <cell r="Q666">
            <v>651</v>
          </cell>
          <cell r="R666">
            <v>1.6999999999999886</v>
          </cell>
          <cell r="S666">
            <v>1.6999999999999886</v>
          </cell>
          <cell r="T666">
            <v>0</v>
          </cell>
          <cell r="U666">
            <v>75</v>
          </cell>
          <cell r="V666">
            <v>76.666666666666671</v>
          </cell>
          <cell r="W666">
            <v>115</v>
          </cell>
          <cell r="X666">
            <v>76.699999999999989</v>
          </cell>
          <cell r="Y666">
            <v>1.4993481095176013</v>
          </cell>
          <cell r="Z666">
            <v>76.666666666666671</v>
          </cell>
          <cell r="AA666">
            <v>76.699999999999989</v>
          </cell>
          <cell r="AB666">
            <v>92.766666666666666</v>
          </cell>
          <cell r="AC666">
            <v>92.8</v>
          </cell>
        </row>
        <row r="667">
          <cell r="H667" t="str">
            <v>8715738859456</v>
          </cell>
          <cell r="I667" t="str">
            <v>Universal Display Stand Hook Pack set of 25</v>
          </cell>
          <cell r="J667" t="str">
            <v>999</v>
          </cell>
          <cell r="K667" t="str">
            <v>Multiple Color</v>
          </cell>
          <cell r="L667" t="str">
            <v>O/S</v>
          </cell>
          <cell r="M667" t="str">
            <v xml:space="preserve">Carry Over </v>
          </cell>
          <cell r="N667" t="str">
            <v>Apparel &amp; POS</v>
          </cell>
          <cell r="P667" t="str">
            <v>85011.241086999O/S</v>
          </cell>
          <cell r="Q667">
            <v>652</v>
          </cell>
          <cell r="R667">
            <v>-1.6000000000000014</v>
          </cell>
          <cell r="S667">
            <v>-1.6000000000000014</v>
          </cell>
          <cell r="T667">
            <v>0</v>
          </cell>
          <cell r="U667">
            <v>45</v>
          </cell>
          <cell r="V667">
            <v>43.333333333333336</v>
          </cell>
          <cell r="W667">
            <v>65</v>
          </cell>
          <cell r="X667">
            <v>43.4</v>
          </cell>
          <cell r="Y667">
            <v>1.4976958525345623</v>
          </cell>
          <cell r="Z667">
            <v>43.333333333333336</v>
          </cell>
          <cell r="AA667">
            <v>43.4</v>
          </cell>
          <cell r="AB667">
            <v>52.433333333333337</v>
          </cell>
          <cell r="AC667">
            <v>52.5</v>
          </cell>
        </row>
        <row r="668">
          <cell r="H668" t="str">
            <v>8715738863286</v>
          </cell>
          <cell r="I668" t="str">
            <v>Sonar Foil Display Stand</v>
          </cell>
          <cell r="J668" t="str">
            <v>900</v>
          </cell>
          <cell r="K668" t="str">
            <v>Black</v>
          </cell>
          <cell r="L668" t="str">
            <v>O/S</v>
          </cell>
          <cell r="M668" t="str">
            <v xml:space="preserve">Carry Over </v>
          </cell>
          <cell r="N668" t="str">
            <v>Apparel &amp; POS</v>
          </cell>
          <cell r="P668" t="str">
            <v>85011.241087900O/S</v>
          </cell>
          <cell r="Q668">
            <v>653</v>
          </cell>
          <cell r="R668">
            <v>1.6999999999999886</v>
          </cell>
          <cell r="S668">
            <v>1.6999999999999886</v>
          </cell>
          <cell r="T668">
            <v>0</v>
          </cell>
          <cell r="U668">
            <v>175</v>
          </cell>
          <cell r="V668">
            <v>176.66666666666666</v>
          </cell>
          <cell r="W668">
            <v>265</v>
          </cell>
          <cell r="X668">
            <v>176.7</v>
          </cell>
          <cell r="Y668">
            <v>1.4997170345217885</v>
          </cell>
          <cell r="Z668">
            <v>176.66666666666666</v>
          </cell>
          <cell r="AA668">
            <v>176.7</v>
          </cell>
          <cell r="AB668">
            <v>213.76666666666665</v>
          </cell>
          <cell r="AC668">
            <v>213.79999999999998</v>
          </cell>
        </row>
        <row r="669">
          <cell r="H669" t="str">
            <v>8715738865068</v>
          </cell>
          <cell r="I669" t="str">
            <v>Universal Display Stand Spare shelf</v>
          </cell>
          <cell r="J669" t="str">
            <v>999</v>
          </cell>
          <cell r="K669" t="str">
            <v>Multiple Color</v>
          </cell>
          <cell r="L669" t="str">
            <v>O/S</v>
          </cell>
          <cell r="M669" t="str">
            <v xml:space="preserve">Carry Over </v>
          </cell>
          <cell r="N669" t="str">
            <v>Apparel &amp; POS</v>
          </cell>
          <cell r="P669" t="str">
            <v>85011.241088999O/S</v>
          </cell>
          <cell r="Q669">
            <v>654</v>
          </cell>
          <cell r="R669">
            <v>0.69999999999999929</v>
          </cell>
          <cell r="S669">
            <v>0.69999999999999929</v>
          </cell>
          <cell r="T669">
            <v>0</v>
          </cell>
          <cell r="U669">
            <v>12</v>
          </cell>
          <cell r="V669">
            <v>12.666666666666666</v>
          </cell>
          <cell r="W669">
            <v>19</v>
          </cell>
          <cell r="X669">
            <v>12.7</v>
          </cell>
          <cell r="Y669">
            <v>1.4960629921259843</v>
          </cell>
          <cell r="Z669">
            <v>12.666666666666666</v>
          </cell>
          <cell r="AA669">
            <v>12.7</v>
          </cell>
          <cell r="AB669">
            <v>15.326666666666666</v>
          </cell>
          <cell r="AC669">
            <v>15.4</v>
          </cell>
        </row>
        <row r="670">
          <cell r="H670" t="str">
            <v>8715738865990</v>
          </cell>
          <cell r="I670" t="str">
            <v>North Sandbag</v>
          </cell>
          <cell r="J670" t="str">
            <v>475</v>
          </cell>
          <cell r="K670" t="str">
            <v>Pacific Blue</v>
          </cell>
          <cell r="L670" t="str">
            <v>O/S</v>
          </cell>
          <cell r="M670" t="str">
            <v xml:space="preserve">Carry Over </v>
          </cell>
          <cell r="N670" t="str">
            <v>Apparel &amp; POS</v>
          </cell>
          <cell r="P670" t="str">
            <v>85011.250600475O/S</v>
          </cell>
          <cell r="Q670">
            <v>655</v>
          </cell>
          <cell r="R670">
            <v>0</v>
          </cell>
          <cell r="S670">
            <v>0</v>
          </cell>
          <cell r="T670">
            <v>0</v>
          </cell>
          <cell r="U670">
            <v>5</v>
          </cell>
          <cell r="V670">
            <v>5</v>
          </cell>
          <cell r="W670">
            <v>7.5</v>
          </cell>
          <cell r="X670">
            <v>5</v>
          </cell>
          <cell r="Y670">
            <v>1.5</v>
          </cell>
          <cell r="Z670">
            <v>3.5</v>
          </cell>
          <cell r="AA670">
            <v>3.5</v>
          </cell>
          <cell r="AB670">
            <v>4.2349999999999994</v>
          </cell>
          <cell r="AC670">
            <v>4.3</v>
          </cell>
        </row>
        <row r="671">
          <cell r="H671" t="str">
            <v>8715738890640</v>
          </cell>
          <cell r="I671" t="str">
            <v>North Doormat</v>
          </cell>
          <cell r="J671" t="str">
            <v>900</v>
          </cell>
          <cell r="K671" t="str">
            <v>Black</v>
          </cell>
          <cell r="L671" t="str">
            <v>O/S</v>
          </cell>
          <cell r="M671" t="str">
            <v xml:space="preserve">Carry Over </v>
          </cell>
          <cell r="N671" t="str">
            <v>Apparel &amp; POS</v>
          </cell>
          <cell r="P671" t="str">
            <v>85011.251017900O/S</v>
          </cell>
          <cell r="Q671">
            <v>656</v>
          </cell>
          <cell r="R671">
            <v>16.700000000000003</v>
          </cell>
          <cell r="S671">
            <v>16.700000000000003</v>
          </cell>
          <cell r="T671">
            <v>0</v>
          </cell>
          <cell r="U671">
            <v>30</v>
          </cell>
          <cell r="V671">
            <v>46.666666666666664</v>
          </cell>
          <cell r="W671">
            <v>70</v>
          </cell>
          <cell r="X671">
            <v>46.7</v>
          </cell>
          <cell r="Y671">
            <v>1.4989293361884368</v>
          </cell>
          <cell r="Z671">
            <v>32.666666666666664</v>
          </cell>
          <cell r="AA671">
            <v>32.700000000000003</v>
          </cell>
          <cell r="AB671">
            <v>39.526666666666664</v>
          </cell>
          <cell r="AC671">
            <v>39.6</v>
          </cell>
        </row>
        <row r="672">
          <cell r="H672" t="str">
            <v>8715738883628</v>
          </cell>
          <cell r="I672" t="str">
            <v>North Festival Cups set of 8</v>
          </cell>
          <cell r="J672" t="str">
            <v>900</v>
          </cell>
          <cell r="K672" t="str">
            <v>Black</v>
          </cell>
          <cell r="L672" t="str">
            <v>O/S</v>
          </cell>
          <cell r="M672" t="str">
            <v xml:space="preserve">Carry Over </v>
          </cell>
          <cell r="N672" t="str">
            <v>Apparel &amp; POS</v>
          </cell>
          <cell r="P672" t="str">
            <v>85011.251045900O/S</v>
          </cell>
          <cell r="Q672">
            <v>657</v>
          </cell>
          <cell r="R672">
            <v>4.6999999999999993</v>
          </cell>
          <cell r="S672">
            <v>4.6999999999999993</v>
          </cell>
          <cell r="T672">
            <v>0</v>
          </cell>
          <cell r="U672">
            <v>8</v>
          </cell>
          <cell r="V672">
            <v>12.666666666666666</v>
          </cell>
          <cell r="W672">
            <v>19</v>
          </cell>
          <cell r="X672">
            <v>12.7</v>
          </cell>
          <cell r="Y672">
            <v>1.4960629921259843</v>
          </cell>
          <cell r="Z672">
            <v>8.8666666666666654</v>
          </cell>
          <cell r="AA672">
            <v>8.9</v>
          </cell>
          <cell r="AB672">
            <v>10.728666666666665</v>
          </cell>
          <cell r="AC672">
            <v>10.799999999999999</v>
          </cell>
        </row>
        <row r="673">
          <cell r="H673" t="str">
            <v>8715738876873</v>
          </cell>
          <cell r="I673" t="str">
            <v>Sonar Foil Display Stand Small</v>
          </cell>
          <cell r="J673" t="str">
            <v>900</v>
          </cell>
          <cell r="K673" t="str">
            <v>Black</v>
          </cell>
          <cell r="L673" t="str">
            <v>O/S</v>
          </cell>
          <cell r="M673" t="str">
            <v xml:space="preserve">Carry Over </v>
          </cell>
          <cell r="N673" t="str">
            <v>Apparel &amp; POS</v>
          </cell>
          <cell r="P673" t="str">
            <v>85011.251090900O/S</v>
          </cell>
          <cell r="Q673">
            <v>658</v>
          </cell>
          <cell r="R673">
            <v>1.6999999999999886</v>
          </cell>
          <cell r="S673">
            <v>1.6999999999999886</v>
          </cell>
          <cell r="T673">
            <v>0</v>
          </cell>
          <cell r="U673">
            <v>175</v>
          </cell>
          <cell r="V673">
            <v>176.66666666666666</v>
          </cell>
          <cell r="W673">
            <v>265</v>
          </cell>
          <cell r="X673">
            <v>176.7</v>
          </cell>
          <cell r="Y673">
            <v>1.4997170345217885</v>
          </cell>
          <cell r="Z673">
            <v>176.66666666666666</v>
          </cell>
          <cell r="AA673">
            <v>176.7</v>
          </cell>
          <cell r="AB673">
            <v>213.76666666666665</v>
          </cell>
          <cell r="AC673">
            <v>213.79999999999998</v>
          </cell>
        </row>
        <row r="674">
          <cell r="H674" t="str">
            <v>8715738877160</v>
          </cell>
          <cell r="I674" t="str">
            <v>North Shapers Stand</v>
          </cell>
          <cell r="J674" t="str">
            <v>900</v>
          </cell>
          <cell r="K674" t="str">
            <v>Black</v>
          </cell>
          <cell r="L674" t="str">
            <v>O/S</v>
          </cell>
          <cell r="M674" t="str">
            <v xml:space="preserve">Carry Over </v>
          </cell>
          <cell r="N674" t="str">
            <v>Apparel &amp; POS</v>
          </cell>
          <cell r="P674" t="str">
            <v>85011.251091900O/S</v>
          </cell>
          <cell r="Q674">
            <v>659</v>
          </cell>
          <cell r="R674">
            <v>0</v>
          </cell>
          <cell r="S674">
            <v>0</v>
          </cell>
          <cell r="T674">
            <v>0</v>
          </cell>
          <cell r="U674">
            <v>150</v>
          </cell>
          <cell r="V674">
            <v>150</v>
          </cell>
          <cell r="W674">
            <v>225</v>
          </cell>
          <cell r="X674">
            <v>150</v>
          </cell>
          <cell r="Y674">
            <v>1.5</v>
          </cell>
          <cell r="Z674">
            <v>150</v>
          </cell>
          <cell r="AA674">
            <v>150</v>
          </cell>
          <cell r="AB674">
            <v>181.5</v>
          </cell>
          <cell r="AC674">
            <v>181.5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  <pageSetUpPr fitToPage="1"/>
  </sheetPr>
  <dimension ref="A1:U332"/>
  <sheetViews>
    <sheetView showGridLines="0" tabSelected="1" topLeftCell="C44" zoomScaleNormal="100" workbookViewId="0">
      <selection activeCell="D58" sqref="D58:L61"/>
    </sheetView>
  </sheetViews>
  <sheetFormatPr defaultColWidth="9.109375" defaultRowHeight="14.4" x14ac:dyDescent="0.3"/>
  <cols>
    <col min="1" max="1" width="5.6640625" style="53" customWidth="1"/>
    <col min="2" max="2" width="35" style="54" bestFit="1" customWidth="1"/>
    <col min="3" max="3" width="15" style="54" bestFit="1" customWidth="1"/>
    <col min="4" max="4" width="13.44140625" style="54" customWidth="1"/>
    <col min="5" max="5" width="15.109375" style="54" bestFit="1" customWidth="1"/>
    <col min="6" max="6" width="36.109375" style="54" bestFit="1" customWidth="1"/>
    <col min="7" max="7" width="7.6640625" style="54" bestFit="1" customWidth="1"/>
    <col min="8" max="8" width="17.44140625" style="54" bestFit="1" customWidth="1"/>
    <col min="9" max="9" width="17.109375" style="54" customWidth="1"/>
    <col min="10" max="10" width="19.5546875" style="55" bestFit="1" customWidth="1"/>
    <col min="11" max="11" width="25.5546875" style="56" customWidth="1"/>
    <col min="12" max="12" width="24.6640625" style="56" bestFit="1" customWidth="1"/>
    <col min="13" max="13" width="8.33203125" style="74" customWidth="1"/>
    <col min="14" max="14" width="14.88671875" style="56" customWidth="1"/>
    <col min="15" max="15" width="9.109375" style="53" customWidth="1"/>
    <col min="16" max="16" width="28.6640625" customWidth="1"/>
    <col min="18" max="18" width="17.44140625" customWidth="1"/>
    <col min="20" max="20" width="12.88671875" customWidth="1"/>
    <col min="22" max="16384" width="9.109375" style="53"/>
  </cols>
  <sheetData>
    <row r="1" spans="1:21" x14ac:dyDescent="0.3">
      <c r="M1" s="56"/>
    </row>
    <row r="2" spans="1:21" ht="15.6" x14ac:dyDescent="0.3">
      <c r="B2"/>
      <c r="E2" s="62"/>
      <c r="M2" s="56"/>
    </row>
    <row r="3" spans="1:21" x14ac:dyDescent="0.3">
      <c r="B3"/>
      <c r="M3" s="56"/>
    </row>
    <row r="4" spans="1:21" x14ac:dyDescent="0.3">
      <c r="M4" s="56"/>
    </row>
    <row r="5" spans="1:21" x14ac:dyDescent="0.3">
      <c r="G5" s="57" t="s">
        <v>1810</v>
      </c>
      <c r="H5" s="55"/>
      <c r="K5" s="94" t="s">
        <v>0</v>
      </c>
      <c r="L5" s="143">
        <f>SUM(N14:N332)</f>
        <v>0</v>
      </c>
    </row>
    <row r="6" spans="1:21" x14ac:dyDescent="0.3">
      <c r="G6" s="88" t="s">
        <v>1</v>
      </c>
      <c r="H6" s="97"/>
      <c r="K6" s="94" t="s">
        <v>2</v>
      </c>
      <c r="L6" s="95">
        <f>SUM(M14:M332)</f>
        <v>0</v>
      </c>
    </row>
    <row r="7" spans="1:21" x14ac:dyDescent="0.3">
      <c r="G7" s="88"/>
      <c r="H7" s="97"/>
      <c r="K7" s="94"/>
      <c r="L7" s="95"/>
    </row>
    <row r="8" spans="1:21" x14ac:dyDescent="0.3">
      <c r="J8" s="55" t="s">
        <v>1811</v>
      </c>
      <c r="K8" s="56" t="s">
        <v>1812</v>
      </c>
      <c r="L8" s="144">
        <v>0.1</v>
      </c>
      <c r="M8" s="56"/>
    </row>
    <row r="9" spans="1:21" x14ac:dyDescent="0.3">
      <c r="B9" s="133" t="s">
        <v>3</v>
      </c>
      <c r="K9" s="56" t="s">
        <v>1813</v>
      </c>
      <c r="L9" s="144">
        <v>0.05</v>
      </c>
      <c r="M9" s="56"/>
    </row>
    <row r="10" spans="1:21" x14ac:dyDescent="0.3">
      <c r="B10" s="133" t="s">
        <v>4</v>
      </c>
      <c r="K10" s="145" t="s">
        <v>1747</v>
      </c>
      <c r="L10" s="146">
        <f>SUM(L8:L9)</f>
        <v>0.15000000000000002</v>
      </c>
      <c r="M10" s="56"/>
    </row>
    <row r="11" spans="1:21" x14ac:dyDescent="0.3">
      <c r="B11" s="133"/>
      <c r="M11" s="56"/>
    </row>
    <row r="12" spans="1:21" x14ac:dyDescent="0.3">
      <c r="J12" s="64"/>
      <c r="M12" s="56"/>
    </row>
    <row r="13" spans="1:21" s="69" customFormat="1" ht="15" customHeight="1" x14ac:dyDescent="0.3">
      <c r="A13" s="126" t="s">
        <v>5</v>
      </c>
      <c r="B13" s="127" t="s">
        <v>6</v>
      </c>
      <c r="C13" s="127" t="s">
        <v>7</v>
      </c>
      <c r="D13" s="127" t="s">
        <v>8</v>
      </c>
      <c r="E13" s="127" t="s">
        <v>9</v>
      </c>
      <c r="F13" s="127" t="s">
        <v>10</v>
      </c>
      <c r="G13" s="127" t="s">
        <v>11</v>
      </c>
      <c r="H13" s="127" t="s">
        <v>12</v>
      </c>
      <c r="I13" s="127" t="s">
        <v>13</v>
      </c>
      <c r="J13" s="66" t="s">
        <v>14</v>
      </c>
      <c r="K13" s="67" t="s">
        <v>15</v>
      </c>
      <c r="L13" s="137" t="s">
        <v>1809</v>
      </c>
      <c r="M13" s="67" t="s">
        <v>17</v>
      </c>
      <c r="N13" s="68" t="s">
        <v>18</v>
      </c>
      <c r="P13"/>
      <c r="Q13"/>
      <c r="R13"/>
      <c r="S13"/>
      <c r="T13"/>
      <c r="U13"/>
    </row>
    <row r="14" spans="1:21" s="72" customFormat="1" ht="15" customHeight="1" x14ac:dyDescent="0.3">
      <c r="A14" s="148">
        <v>1</v>
      </c>
      <c r="B14" s="59" t="s">
        <v>19</v>
      </c>
      <c r="C14" s="59" t="s">
        <v>1</v>
      </c>
      <c r="D14" s="115" t="s">
        <v>146</v>
      </c>
      <c r="E14" s="59" t="s">
        <v>147</v>
      </c>
      <c r="F14" s="115" t="s">
        <v>148</v>
      </c>
      <c r="G14" s="59" t="s">
        <v>133</v>
      </c>
      <c r="H14" s="59" t="s">
        <v>134</v>
      </c>
      <c r="I14" s="115" t="s">
        <v>36</v>
      </c>
      <c r="J14" s="125" t="s">
        <v>101</v>
      </c>
      <c r="K14" s="70">
        <v>2169</v>
      </c>
      <c r="L14" s="139">
        <v>1100.5999999999999</v>
      </c>
      <c r="M14" s="116"/>
      <c r="N14" s="71">
        <f t="shared" ref="N14:N77" si="0">L14*M14</f>
        <v>0</v>
      </c>
      <c r="O14" s="76"/>
      <c r="P14"/>
      <c r="Q14"/>
      <c r="R14"/>
      <c r="S14"/>
      <c r="T14"/>
      <c r="U14"/>
    </row>
    <row r="15" spans="1:21" s="72" customFormat="1" ht="15" customHeight="1" x14ac:dyDescent="0.3">
      <c r="A15" s="148">
        <v>2</v>
      </c>
      <c r="B15" s="59" t="s">
        <v>19</v>
      </c>
      <c r="C15" s="59" t="s">
        <v>1</v>
      </c>
      <c r="D15" s="115" t="s">
        <v>146</v>
      </c>
      <c r="E15" s="59" t="s">
        <v>149</v>
      </c>
      <c r="F15" s="115" t="s">
        <v>148</v>
      </c>
      <c r="G15" s="59" t="s">
        <v>133</v>
      </c>
      <c r="H15" s="59" t="s">
        <v>134</v>
      </c>
      <c r="I15" s="115" t="s">
        <v>38</v>
      </c>
      <c r="J15" s="125" t="s">
        <v>101</v>
      </c>
      <c r="K15" s="70">
        <v>2249</v>
      </c>
      <c r="L15" s="139">
        <v>1141.1999999999998</v>
      </c>
      <c r="M15" s="116"/>
      <c r="N15" s="71">
        <f t="shared" si="0"/>
        <v>0</v>
      </c>
      <c r="O15" s="76"/>
      <c r="P15"/>
      <c r="Q15"/>
      <c r="R15"/>
      <c r="S15"/>
      <c r="T15"/>
      <c r="U15"/>
    </row>
    <row r="16" spans="1:21" s="72" customFormat="1" ht="15" customHeight="1" x14ac:dyDescent="0.3">
      <c r="A16" s="148">
        <v>3</v>
      </c>
      <c r="B16" s="59" t="s">
        <v>19</v>
      </c>
      <c r="C16" s="59" t="s">
        <v>1</v>
      </c>
      <c r="D16" s="115" t="s">
        <v>146</v>
      </c>
      <c r="E16" s="59" t="s">
        <v>150</v>
      </c>
      <c r="F16" s="115" t="s">
        <v>148</v>
      </c>
      <c r="G16" s="59" t="s">
        <v>133</v>
      </c>
      <c r="H16" s="59" t="s">
        <v>134</v>
      </c>
      <c r="I16" s="115" t="s">
        <v>40</v>
      </c>
      <c r="J16" s="125" t="s">
        <v>101</v>
      </c>
      <c r="K16" s="70">
        <v>2339</v>
      </c>
      <c r="L16" s="139">
        <v>1186.8999999999999</v>
      </c>
      <c r="M16" s="116"/>
      <c r="N16" s="71">
        <f t="shared" si="0"/>
        <v>0</v>
      </c>
      <c r="O16" s="76"/>
      <c r="P16"/>
      <c r="Q16"/>
      <c r="R16"/>
      <c r="S16"/>
      <c r="T16"/>
      <c r="U16"/>
    </row>
    <row r="17" spans="1:21" s="72" customFormat="1" ht="15" customHeight="1" x14ac:dyDescent="0.3">
      <c r="A17" s="148">
        <v>4</v>
      </c>
      <c r="B17" s="59" t="s">
        <v>19</v>
      </c>
      <c r="C17" s="59" t="s">
        <v>1</v>
      </c>
      <c r="D17" s="115" t="s">
        <v>146</v>
      </c>
      <c r="E17" s="59" t="s">
        <v>151</v>
      </c>
      <c r="F17" s="115" t="s">
        <v>148</v>
      </c>
      <c r="G17" s="59" t="s">
        <v>133</v>
      </c>
      <c r="H17" s="59" t="s">
        <v>134</v>
      </c>
      <c r="I17" s="115" t="s">
        <v>42</v>
      </c>
      <c r="J17" s="125" t="s">
        <v>101</v>
      </c>
      <c r="K17" s="70">
        <v>2419</v>
      </c>
      <c r="L17" s="139">
        <v>1227.5</v>
      </c>
      <c r="M17" s="116"/>
      <c r="N17" s="71">
        <f t="shared" si="0"/>
        <v>0</v>
      </c>
      <c r="O17" s="76"/>
      <c r="P17"/>
      <c r="Q17"/>
      <c r="R17"/>
      <c r="S17"/>
      <c r="T17"/>
      <c r="U17"/>
    </row>
    <row r="18" spans="1:21" s="72" customFormat="1" ht="15" customHeight="1" x14ac:dyDescent="0.3">
      <c r="A18" s="148">
        <v>5</v>
      </c>
      <c r="B18" s="59" t="s">
        <v>19</v>
      </c>
      <c r="C18" s="59" t="s">
        <v>1</v>
      </c>
      <c r="D18" s="115" t="s">
        <v>146</v>
      </c>
      <c r="E18" s="59" t="s">
        <v>152</v>
      </c>
      <c r="F18" s="115" t="s">
        <v>148</v>
      </c>
      <c r="G18" s="59" t="s">
        <v>133</v>
      </c>
      <c r="H18" s="59" t="s">
        <v>134</v>
      </c>
      <c r="I18" s="115" t="s">
        <v>52</v>
      </c>
      <c r="J18" s="125" t="s">
        <v>101</v>
      </c>
      <c r="K18" s="70">
        <v>2499</v>
      </c>
      <c r="L18" s="139">
        <v>1268.0999999999999</v>
      </c>
      <c r="M18" s="116"/>
      <c r="N18" s="71">
        <f t="shared" si="0"/>
        <v>0</v>
      </c>
      <c r="O18" s="76"/>
      <c r="P18"/>
      <c r="Q18"/>
      <c r="R18"/>
      <c r="S18"/>
      <c r="T18"/>
      <c r="U18"/>
    </row>
    <row r="19" spans="1:21" s="72" customFormat="1" ht="15" customHeight="1" x14ac:dyDescent="0.3">
      <c r="A19" s="148">
        <v>6</v>
      </c>
      <c r="B19" s="59" t="s">
        <v>19</v>
      </c>
      <c r="C19" s="59" t="s">
        <v>1</v>
      </c>
      <c r="D19" s="115" t="s">
        <v>146</v>
      </c>
      <c r="E19" s="59" t="s">
        <v>153</v>
      </c>
      <c r="F19" s="115" t="s">
        <v>148</v>
      </c>
      <c r="G19" s="59" t="s">
        <v>133</v>
      </c>
      <c r="H19" s="59" t="s">
        <v>134</v>
      </c>
      <c r="I19" s="115" t="s">
        <v>44</v>
      </c>
      <c r="J19" s="125" t="s">
        <v>101</v>
      </c>
      <c r="K19" s="70">
        <v>2589</v>
      </c>
      <c r="L19" s="139">
        <v>1313.8</v>
      </c>
      <c r="M19" s="116"/>
      <c r="N19" s="71">
        <f t="shared" si="0"/>
        <v>0</v>
      </c>
      <c r="O19" s="76"/>
      <c r="P19"/>
      <c r="Q19"/>
      <c r="R19"/>
      <c r="S19"/>
      <c r="T19"/>
      <c r="U19"/>
    </row>
    <row r="20" spans="1:21" s="72" customFormat="1" ht="15" customHeight="1" x14ac:dyDescent="0.3">
      <c r="A20" s="148">
        <v>7</v>
      </c>
      <c r="B20" s="59" t="s">
        <v>19</v>
      </c>
      <c r="C20" s="59" t="s">
        <v>1</v>
      </c>
      <c r="D20" s="115" t="s">
        <v>146</v>
      </c>
      <c r="E20" s="59" t="s">
        <v>154</v>
      </c>
      <c r="F20" s="115" t="s">
        <v>148</v>
      </c>
      <c r="G20" s="59" t="s">
        <v>133</v>
      </c>
      <c r="H20" s="59" t="s">
        <v>134</v>
      </c>
      <c r="I20" s="115" t="s">
        <v>54</v>
      </c>
      <c r="J20" s="125" t="s">
        <v>101</v>
      </c>
      <c r="K20" s="70">
        <v>2679</v>
      </c>
      <c r="L20" s="139">
        <v>1359.3999999999999</v>
      </c>
      <c r="M20" s="116"/>
      <c r="N20" s="71">
        <f t="shared" si="0"/>
        <v>0</v>
      </c>
      <c r="O20" s="76"/>
      <c r="P20"/>
      <c r="Q20"/>
      <c r="R20"/>
      <c r="S20"/>
      <c r="T20"/>
      <c r="U20"/>
    </row>
    <row r="21" spans="1:21" ht="15" customHeight="1" x14ac:dyDescent="0.3">
      <c r="A21" s="148">
        <v>8</v>
      </c>
      <c r="B21" s="59" t="s">
        <v>19</v>
      </c>
      <c r="C21" s="59" t="s">
        <v>1</v>
      </c>
      <c r="D21" s="115" t="s">
        <v>146</v>
      </c>
      <c r="E21" s="59" t="s">
        <v>155</v>
      </c>
      <c r="F21" s="115" t="s">
        <v>148</v>
      </c>
      <c r="G21" s="59" t="s">
        <v>133</v>
      </c>
      <c r="H21" s="59" t="s">
        <v>134</v>
      </c>
      <c r="I21" s="115" t="s">
        <v>118</v>
      </c>
      <c r="J21" s="125" t="s">
        <v>101</v>
      </c>
      <c r="K21" s="70">
        <v>2769</v>
      </c>
      <c r="L21" s="139">
        <v>1405.1</v>
      </c>
      <c r="M21" s="116"/>
      <c r="N21" s="71">
        <f t="shared" si="0"/>
        <v>0</v>
      </c>
      <c r="O21" s="76"/>
    </row>
    <row r="22" spans="1:21" ht="15" customHeight="1" x14ac:dyDescent="0.3">
      <c r="A22" s="148">
        <v>9</v>
      </c>
      <c r="B22" s="59" t="s">
        <v>19</v>
      </c>
      <c r="C22" s="59" t="s">
        <v>1</v>
      </c>
      <c r="D22" s="115" t="s">
        <v>146</v>
      </c>
      <c r="E22" s="59" t="s">
        <v>156</v>
      </c>
      <c r="F22" s="115" t="s">
        <v>148</v>
      </c>
      <c r="G22" s="59" t="s">
        <v>133</v>
      </c>
      <c r="H22" s="59" t="s">
        <v>134</v>
      </c>
      <c r="I22" s="115" t="s">
        <v>120</v>
      </c>
      <c r="J22" s="125" t="s">
        <v>101</v>
      </c>
      <c r="K22" s="70">
        <v>2859</v>
      </c>
      <c r="L22" s="139">
        <v>1450.8</v>
      </c>
      <c r="M22" s="116"/>
      <c r="N22" s="71">
        <f t="shared" si="0"/>
        <v>0</v>
      </c>
      <c r="O22" s="76"/>
    </row>
    <row r="23" spans="1:21" ht="15" customHeight="1" x14ac:dyDescent="0.3">
      <c r="A23" s="148">
        <v>10</v>
      </c>
      <c r="B23" s="59" t="s">
        <v>19</v>
      </c>
      <c r="C23" s="59" t="s">
        <v>1</v>
      </c>
      <c r="D23" s="115" t="s">
        <v>98</v>
      </c>
      <c r="E23" s="59" t="s">
        <v>99</v>
      </c>
      <c r="F23" s="115" t="s">
        <v>100</v>
      </c>
      <c r="G23" s="59" t="s">
        <v>30</v>
      </c>
      <c r="H23" s="59" t="s">
        <v>31</v>
      </c>
      <c r="I23" s="115" t="s">
        <v>32</v>
      </c>
      <c r="J23" s="125" t="s">
        <v>101</v>
      </c>
      <c r="K23" s="70">
        <v>1499</v>
      </c>
      <c r="L23" s="139">
        <v>760.7</v>
      </c>
      <c r="M23" s="116"/>
      <c r="N23" s="71">
        <f t="shared" si="0"/>
        <v>0</v>
      </c>
      <c r="O23" s="76"/>
    </row>
    <row r="24" spans="1:21" ht="15" customHeight="1" x14ac:dyDescent="0.3">
      <c r="A24" s="148">
        <v>11</v>
      </c>
      <c r="B24" s="59" t="s">
        <v>19</v>
      </c>
      <c r="C24" s="59" t="s">
        <v>1</v>
      </c>
      <c r="D24" s="115" t="s">
        <v>98</v>
      </c>
      <c r="E24" s="59" t="s">
        <v>102</v>
      </c>
      <c r="F24" s="115" t="s">
        <v>100</v>
      </c>
      <c r="G24" s="59" t="s">
        <v>30</v>
      </c>
      <c r="H24" s="59" t="s">
        <v>31</v>
      </c>
      <c r="I24" s="115" t="s">
        <v>34</v>
      </c>
      <c r="J24" s="125" t="s">
        <v>101</v>
      </c>
      <c r="K24" s="70">
        <v>1579</v>
      </c>
      <c r="L24" s="139">
        <v>801.30000000000007</v>
      </c>
      <c r="M24" s="116"/>
      <c r="N24" s="71">
        <f t="shared" si="0"/>
        <v>0</v>
      </c>
      <c r="O24" s="76"/>
    </row>
    <row r="25" spans="1:21" ht="15" customHeight="1" x14ac:dyDescent="0.3">
      <c r="A25" s="148">
        <v>12</v>
      </c>
      <c r="B25" s="59" t="s">
        <v>19</v>
      </c>
      <c r="C25" s="59" t="s">
        <v>1</v>
      </c>
      <c r="D25" s="115" t="s">
        <v>98</v>
      </c>
      <c r="E25" s="59" t="s">
        <v>103</v>
      </c>
      <c r="F25" s="115" t="s">
        <v>100</v>
      </c>
      <c r="G25" s="59" t="s">
        <v>30</v>
      </c>
      <c r="H25" s="59" t="s">
        <v>31</v>
      </c>
      <c r="I25" s="115" t="s">
        <v>36</v>
      </c>
      <c r="J25" s="125" t="s">
        <v>101</v>
      </c>
      <c r="K25" s="70">
        <v>1659</v>
      </c>
      <c r="L25" s="139">
        <v>841.9</v>
      </c>
      <c r="M25" s="116"/>
      <c r="N25" s="71">
        <f t="shared" si="0"/>
        <v>0</v>
      </c>
      <c r="O25" s="76"/>
    </row>
    <row r="26" spans="1:21" ht="15" customHeight="1" x14ac:dyDescent="0.3">
      <c r="A26" s="148">
        <v>13</v>
      </c>
      <c r="B26" s="59" t="s">
        <v>19</v>
      </c>
      <c r="C26" s="59" t="s">
        <v>1</v>
      </c>
      <c r="D26" s="115" t="s">
        <v>98</v>
      </c>
      <c r="E26" s="59" t="s">
        <v>104</v>
      </c>
      <c r="F26" s="115" t="s">
        <v>100</v>
      </c>
      <c r="G26" s="59" t="s">
        <v>30</v>
      </c>
      <c r="H26" s="59" t="s">
        <v>31</v>
      </c>
      <c r="I26" s="115" t="s">
        <v>38</v>
      </c>
      <c r="J26" s="125" t="s">
        <v>101</v>
      </c>
      <c r="K26" s="70">
        <v>1729</v>
      </c>
      <c r="L26" s="139">
        <v>877.4</v>
      </c>
      <c r="M26" s="116"/>
      <c r="N26" s="71">
        <f t="shared" si="0"/>
        <v>0</v>
      </c>
      <c r="O26" s="76"/>
    </row>
    <row r="27" spans="1:21" ht="15" customHeight="1" x14ac:dyDescent="0.3">
      <c r="A27" s="148">
        <v>14</v>
      </c>
      <c r="B27" s="59" t="s">
        <v>19</v>
      </c>
      <c r="C27" s="59" t="s">
        <v>1</v>
      </c>
      <c r="D27" s="115" t="s">
        <v>98</v>
      </c>
      <c r="E27" s="59" t="s">
        <v>105</v>
      </c>
      <c r="F27" s="115" t="s">
        <v>100</v>
      </c>
      <c r="G27" s="59" t="s">
        <v>30</v>
      </c>
      <c r="H27" s="59" t="s">
        <v>31</v>
      </c>
      <c r="I27" s="147" t="s">
        <v>40</v>
      </c>
      <c r="J27" s="125" t="s">
        <v>101</v>
      </c>
      <c r="K27" s="70">
        <v>1809</v>
      </c>
      <c r="L27" s="139">
        <v>918</v>
      </c>
      <c r="M27" s="116"/>
      <c r="N27" s="71">
        <f t="shared" si="0"/>
        <v>0</v>
      </c>
      <c r="O27" s="76"/>
    </row>
    <row r="28" spans="1:21" ht="15" customHeight="1" x14ac:dyDescent="0.3">
      <c r="A28" s="148">
        <v>15</v>
      </c>
      <c r="B28" s="59" t="s">
        <v>19</v>
      </c>
      <c r="C28" s="59" t="s">
        <v>1</v>
      </c>
      <c r="D28" s="115" t="s">
        <v>98</v>
      </c>
      <c r="E28" s="59" t="s">
        <v>106</v>
      </c>
      <c r="F28" s="115" t="s">
        <v>100</v>
      </c>
      <c r="G28" s="59" t="s">
        <v>30</v>
      </c>
      <c r="H28" s="59" t="s">
        <v>31</v>
      </c>
      <c r="I28" s="115" t="s">
        <v>42</v>
      </c>
      <c r="J28" s="125" t="s">
        <v>101</v>
      </c>
      <c r="K28" s="70">
        <v>1889</v>
      </c>
      <c r="L28" s="139">
        <v>958.6</v>
      </c>
      <c r="M28" s="116"/>
      <c r="N28" s="71">
        <f t="shared" si="0"/>
        <v>0</v>
      </c>
      <c r="O28" s="76"/>
    </row>
    <row r="29" spans="1:21" ht="15" customHeight="1" x14ac:dyDescent="0.3">
      <c r="A29" s="148">
        <v>16</v>
      </c>
      <c r="B29" s="59" t="s">
        <v>19</v>
      </c>
      <c r="C29" s="59" t="s">
        <v>1</v>
      </c>
      <c r="D29" s="115" t="s">
        <v>98</v>
      </c>
      <c r="E29" s="59" t="s">
        <v>107</v>
      </c>
      <c r="F29" s="115" t="s">
        <v>100</v>
      </c>
      <c r="G29" s="59" t="s">
        <v>30</v>
      </c>
      <c r="H29" s="59" t="s">
        <v>31</v>
      </c>
      <c r="I29" s="115" t="s">
        <v>52</v>
      </c>
      <c r="J29" s="125" t="s">
        <v>101</v>
      </c>
      <c r="K29" s="70">
        <v>1969</v>
      </c>
      <c r="L29" s="139">
        <v>999.2</v>
      </c>
      <c r="M29" s="116"/>
      <c r="N29" s="71">
        <f t="shared" si="0"/>
        <v>0</v>
      </c>
      <c r="O29" s="76"/>
    </row>
    <row r="30" spans="1:21" ht="15" customHeight="1" x14ac:dyDescent="0.3">
      <c r="A30" s="148">
        <v>17</v>
      </c>
      <c r="B30" s="59" t="s">
        <v>19</v>
      </c>
      <c r="C30" s="59" t="s">
        <v>1</v>
      </c>
      <c r="D30" s="115" t="s">
        <v>98</v>
      </c>
      <c r="E30" s="59" t="s">
        <v>108</v>
      </c>
      <c r="F30" s="115" t="s">
        <v>100</v>
      </c>
      <c r="G30" s="59" t="s">
        <v>30</v>
      </c>
      <c r="H30" s="59" t="s">
        <v>31</v>
      </c>
      <c r="I30" s="115" t="s">
        <v>44</v>
      </c>
      <c r="J30" s="125" t="s">
        <v>101</v>
      </c>
      <c r="K30" s="70">
        <v>2049</v>
      </c>
      <c r="L30" s="139">
        <v>1039.8</v>
      </c>
      <c r="M30" s="116"/>
      <c r="N30" s="71">
        <f t="shared" si="0"/>
        <v>0</v>
      </c>
      <c r="O30" s="76"/>
    </row>
    <row r="31" spans="1:21" ht="15" customHeight="1" x14ac:dyDescent="0.3">
      <c r="A31" s="148">
        <v>18</v>
      </c>
      <c r="B31" s="59" t="s">
        <v>19</v>
      </c>
      <c r="C31" s="59" t="s">
        <v>1</v>
      </c>
      <c r="D31" s="115" t="s">
        <v>98</v>
      </c>
      <c r="E31" s="59" t="s">
        <v>109</v>
      </c>
      <c r="F31" s="115" t="s">
        <v>100</v>
      </c>
      <c r="G31" s="59" t="s">
        <v>81</v>
      </c>
      <c r="H31" s="59" t="s">
        <v>82</v>
      </c>
      <c r="I31" s="115" t="s">
        <v>34</v>
      </c>
      <c r="J31" s="125" t="s">
        <v>101</v>
      </c>
      <c r="K31" s="70">
        <v>1579</v>
      </c>
      <c r="L31" s="139">
        <v>801.30000000000007</v>
      </c>
      <c r="M31" s="116"/>
      <c r="N31" s="71">
        <f t="shared" si="0"/>
        <v>0</v>
      </c>
      <c r="O31" s="76"/>
    </row>
    <row r="32" spans="1:21" ht="15" customHeight="1" x14ac:dyDescent="0.3">
      <c r="A32" s="148">
        <v>19</v>
      </c>
      <c r="B32" s="59" t="s">
        <v>19</v>
      </c>
      <c r="C32" s="59" t="s">
        <v>1</v>
      </c>
      <c r="D32" s="115" t="s">
        <v>98</v>
      </c>
      <c r="E32" s="59" t="s">
        <v>110</v>
      </c>
      <c r="F32" s="115" t="s">
        <v>100</v>
      </c>
      <c r="G32" s="59" t="s">
        <v>81</v>
      </c>
      <c r="H32" s="59" t="s">
        <v>82</v>
      </c>
      <c r="I32" s="115" t="s">
        <v>36</v>
      </c>
      <c r="J32" s="125" t="s">
        <v>101</v>
      </c>
      <c r="K32" s="70">
        <v>1659</v>
      </c>
      <c r="L32" s="139">
        <v>841.9</v>
      </c>
      <c r="M32" s="116"/>
      <c r="N32" s="71">
        <f t="shared" si="0"/>
        <v>0</v>
      </c>
      <c r="O32" s="76"/>
    </row>
    <row r="33" spans="1:15" ht="15" customHeight="1" x14ac:dyDescent="0.3">
      <c r="A33" s="148">
        <v>20</v>
      </c>
      <c r="B33" s="59" t="s">
        <v>19</v>
      </c>
      <c r="C33" s="59" t="s">
        <v>1</v>
      </c>
      <c r="D33" s="115" t="s">
        <v>98</v>
      </c>
      <c r="E33" s="59" t="s">
        <v>111</v>
      </c>
      <c r="F33" s="115" t="s">
        <v>100</v>
      </c>
      <c r="G33" s="59" t="s">
        <v>81</v>
      </c>
      <c r="H33" s="59" t="s">
        <v>82</v>
      </c>
      <c r="I33" s="115" t="s">
        <v>38</v>
      </c>
      <c r="J33" s="125" t="s">
        <v>101</v>
      </c>
      <c r="K33" s="70">
        <v>1729</v>
      </c>
      <c r="L33" s="139">
        <v>877.4</v>
      </c>
      <c r="M33" s="116"/>
      <c r="N33" s="71">
        <f t="shared" si="0"/>
        <v>0</v>
      </c>
      <c r="O33" s="76"/>
    </row>
    <row r="34" spans="1:15" ht="15" customHeight="1" x14ac:dyDescent="0.3">
      <c r="A34" s="148">
        <v>21</v>
      </c>
      <c r="B34" s="59" t="s">
        <v>19</v>
      </c>
      <c r="C34" s="59" t="s">
        <v>1</v>
      </c>
      <c r="D34" s="115" t="s">
        <v>98</v>
      </c>
      <c r="E34" s="59" t="s">
        <v>112</v>
      </c>
      <c r="F34" s="115" t="s">
        <v>100</v>
      </c>
      <c r="G34" s="59" t="s">
        <v>81</v>
      </c>
      <c r="H34" s="59" t="s">
        <v>82</v>
      </c>
      <c r="I34" s="115" t="s">
        <v>40</v>
      </c>
      <c r="J34" s="125" t="s">
        <v>101</v>
      </c>
      <c r="K34" s="70">
        <v>1809</v>
      </c>
      <c r="L34" s="139">
        <v>918</v>
      </c>
      <c r="M34" s="116"/>
      <c r="N34" s="71">
        <f t="shared" si="0"/>
        <v>0</v>
      </c>
      <c r="O34" s="76"/>
    </row>
    <row r="35" spans="1:15" ht="15" customHeight="1" x14ac:dyDescent="0.3">
      <c r="A35" s="148">
        <v>22</v>
      </c>
      <c r="B35" s="59" t="s">
        <v>19</v>
      </c>
      <c r="C35" s="59" t="s">
        <v>1</v>
      </c>
      <c r="D35" s="115" t="s">
        <v>98</v>
      </c>
      <c r="E35" s="59" t="s">
        <v>113</v>
      </c>
      <c r="F35" s="115" t="s">
        <v>100</v>
      </c>
      <c r="G35" s="59" t="s">
        <v>81</v>
      </c>
      <c r="H35" s="59" t="s">
        <v>82</v>
      </c>
      <c r="I35" s="115" t="s">
        <v>42</v>
      </c>
      <c r="J35" s="125" t="s">
        <v>101</v>
      </c>
      <c r="K35" s="70">
        <v>1889</v>
      </c>
      <c r="L35" s="139">
        <v>958.6</v>
      </c>
      <c r="M35" s="116"/>
      <c r="N35" s="71">
        <f t="shared" si="0"/>
        <v>0</v>
      </c>
      <c r="O35" s="76"/>
    </row>
    <row r="36" spans="1:15" ht="15" customHeight="1" x14ac:dyDescent="0.3">
      <c r="A36" s="148">
        <v>23</v>
      </c>
      <c r="B36" s="59" t="s">
        <v>19</v>
      </c>
      <c r="C36" s="59" t="s">
        <v>1</v>
      </c>
      <c r="D36" s="115" t="s">
        <v>98</v>
      </c>
      <c r="E36" s="59" t="s">
        <v>114</v>
      </c>
      <c r="F36" s="115" t="s">
        <v>100</v>
      </c>
      <c r="G36" s="59" t="s">
        <v>81</v>
      </c>
      <c r="H36" s="59" t="s">
        <v>82</v>
      </c>
      <c r="I36" s="115" t="s">
        <v>52</v>
      </c>
      <c r="J36" s="125" t="s">
        <v>101</v>
      </c>
      <c r="K36" s="70">
        <v>1969</v>
      </c>
      <c r="L36" s="139">
        <v>999.2</v>
      </c>
      <c r="M36" s="116"/>
      <c r="N36" s="71">
        <f t="shared" si="0"/>
        <v>0</v>
      </c>
      <c r="O36" s="76"/>
    </row>
    <row r="37" spans="1:15" ht="15" customHeight="1" x14ac:dyDescent="0.3">
      <c r="A37" s="148">
        <v>24</v>
      </c>
      <c r="B37" s="59" t="s">
        <v>19</v>
      </c>
      <c r="C37" s="59" t="s">
        <v>1</v>
      </c>
      <c r="D37" s="115" t="s">
        <v>98</v>
      </c>
      <c r="E37" s="59" t="s">
        <v>115</v>
      </c>
      <c r="F37" s="115" t="s">
        <v>100</v>
      </c>
      <c r="G37" s="59" t="s">
        <v>81</v>
      </c>
      <c r="H37" s="59" t="s">
        <v>82</v>
      </c>
      <c r="I37" s="115" t="s">
        <v>44</v>
      </c>
      <c r="J37" s="125" t="s">
        <v>101</v>
      </c>
      <c r="K37" s="70">
        <v>2049</v>
      </c>
      <c r="L37" s="139">
        <v>1039.8</v>
      </c>
      <c r="M37" s="116"/>
      <c r="N37" s="71">
        <f t="shared" si="0"/>
        <v>0</v>
      </c>
      <c r="O37" s="76"/>
    </row>
    <row r="38" spans="1:15" ht="15" customHeight="1" x14ac:dyDescent="0.3">
      <c r="A38" s="148">
        <v>25</v>
      </c>
      <c r="B38" s="59" t="s">
        <v>19</v>
      </c>
      <c r="C38" s="59" t="s">
        <v>1</v>
      </c>
      <c r="D38" s="115" t="s">
        <v>98</v>
      </c>
      <c r="E38" s="59" t="s">
        <v>116</v>
      </c>
      <c r="F38" s="115" t="s">
        <v>100</v>
      </c>
      <c r="G38" s="59" t="s">
        <v>81</v>
      </c>
      <c r="H38" s="59" t="s">
        <v>82</v>
      </c>
      <c r="I38" s="115" t="s">
        <v>54</v>
      </c>
      <c r="J38" s="125" t="s">
        <v>101</v>
      </c>
      <c r="K38" s="70">
        <v>2119</v>
      </c>
      <c r="L38" s="139">
        <v>1075.3</v>
      </c>
      <c r="M38" s="116"/>
      <c r="N38" s="71">
        <f t="shared" si="0"/>
        <v>0</v>
      </c>
      <c r="O38" s="76"/>
    </row>
    <row r="39" spans="1:15" ht="15" customHeight="1" x14ac:dyDescent="0.3">
      <c r="A39" s="148">
        <v>26</v>
      </c>
      <c r="B39" s="59" t="s">
        <v>19</v>
      </c>
      <c r="C39" s="59" t="s">
        <v>1</v>
      </c>
      <c r="D39" s="115" t="s">
        <v>98</v>
      </c>
      <c r="E39" s="59" t="s">
        <v>117</v>
      </c>
      <c r="F39" s="115" t="s">
        <v>100</v>
      </c>
      <c r="G39" s="59" t="s">
        <v>81</v>
      </c>
      <c r="H39" s="59" t="s">
        <v>82</v>
      </c>
      <c r="I39" s="115" t="s">
        <v>118</v>
      </c>
      <c r="J39" s="125" t="s">
        <v>101</v>
      </c>
      <c r="K39" s="70">
        <v>2279</v>
      </c>
      <c r="L39" s="139">
        <v>1156.5</v>
      </c>
      <c r="M39" s="116"/>
      <c r="N39" s="71">
        <f t="shared" si="0"/>
        <v>0</v>
      </c>
      <c r="O39" s="76"/>
    </row>
    <row r="40" spans="1:15" ht="15" customHeight="1" x14ac:dyDescent="0.3">
      <c r="A40" s="148">
        <v>27</v>
      </c>
      <c r="B40" s="59" t="s">
        <v>19</v>
      </c>
      <c r="C40" s="59" t="s">
        <v>1</v>
      </c>
      <c r="D40" s="115" t="s">
        <v>98</v>
      </c>
      <c r="E40" s="59" t="s">
        <v>119</v>
      </c>
      <c r="F40" s="115" t="s">
        <v>100</v>
      </c>
      <c r="G40" s="59" t="s">
        <v>81</v>
      </c>
      <c r="H40" s="59" t="s">
        <v>82</v>
      </c>
      <c r="I40" s="115" t="s">
        <v>120</v>
      </c>
      <c r="J40" s="125" t="s">
        <v>101</v>
      </c>
      <c r="K40" s="70">
        <v>2439</v>
      </c>
      <c r="L40" s="139">
        <v>1237.5999999999999</v>
      </c>
      <c r="M40" s="116"/>
      <c r="N40" s="71">
        <f t="shared" si="0"/>
        <v>0</v>
      </c>
      <c r="O40" s="76"/>
    </row>
    <row r="41" spans="1:15" ht="15" customHeight="1" x14ac:dyDescent="0.3">
      <c r="A41" s="148">
        <v>28</v>
      </c>
      <c r="B41" s="59" t="s">
        <v>19</v>
      </c>
      <c r="C41" s="59" t="s">
        <v>1</v>
      </c>
      <c r="D41" s="115" t="s">
        <v>98</v>
      </c>
      <c r="E41" s="59" t="s">
        <v>121</v>
      </c>
      <c r="F41" s="115" t="s">
        <v>100</v>
      </c>
      <c r="G41" s="59" t="s">
        <v>81</v>
      </c>
      <c r="H41" s="59" t="s">
        <v>82</v>
      </c>
      <c r="I41" s="115" t="s">
        <v>122</v>
      </c>
      <c r="J41" s="125" t="s">
        <v>101</v>
      </c>
      <c r="K41" s="70">
        <v>2599</v>
      </c>
      <c r="L41" s="139">
        <v>1318.8</v>
      </c>
      <c r="M41" s="116"/>
      <c r="N41" s="71">
        <f t="shared" si="0"/>
        <v>0</v>
      </c>
      <c r="O41" s="76"/>
    </row>
    <row r="42" spans="1:15" ht="15" customHeight="1" x14ac:dyDescent="0.3">
      <c r="A42" s="148">
        <v>29</v>
      </c>
      <c r="B42" s="59" t="s">
        <v>19</v>
      </c>
      <c r="C42" s="59" t="s">
        <v>1</v>
      </c>
      <c r="D42" s="115" t="s">
        <v>98</v>
      </c>
      <c r="E42" s="59" t="s">
        <v>123</v>
      </c>
      <c r="F42" s="115" t="s">
        <v>100</v>
      </c>
      <c r="G42" s="59" t="s">
        <v>91</v>
      </c>
      <c r="H42" s="59" t="s">
        <v>92</v>
      </c>
      <c r="I42" s="115" t="s">
        <v>34</v>
      </c>
      <c r="J42" s="125" t="s">
        <v>101</v>
      </c>
      <c r="K42" s="70">
        <v>1579</v>
      </c>
      <c r="L42" s="139">
        <v>801.30000000000007</v>
      </c>
      <c r="M42" s="116"/>
      <c r="N42" s="71">
        <f t="shared" si="0"/>
        <v>0</v>
      </c>
      <c r="O42" s="76"/>
    </row>
    <row r="43" spans="1:15" ht="15" customHeight="1" x14ac:dyDescent="0.3">
      <c r="A43" s="148">
        <v>30</v>
      </c>
      <c r="B43" s="59" t="s">
        <v>19</v>
      </c>
      <c r="C43" s="59" t="s">
        <v>1</v>
      </c>
      <c r="D43" s="115" t="s">
        <v>98</v>
      </c>
      <c r="E43" s="59" t="s">
        <v>124</v>
      </c>
      <c r="F43" s="115" t="s">
        <v>100</v>
      </c>
      <c r="G43" s="59" t="s">
        <v>91</v>
      </c>
      <c r="H43" s="59" t="s">
        <v>92</v>
      </c>
      <c r="I43" s="115" t="s">
        <v>36</v>
      </c>
      <c r="J43" s="125" t="s">
        <v>101</v>
      </c>
      <c r="K43" s="70">
        <v>1659</v>
      </c>
      <c r="L43" s="139">
        <v>841.9</v>
      </c>
      <c r="M43" s="116"/>
      <c r="N43" s="71">
        <f t="shared" si="0"/>
        <v>0</v>
      </c>
      <c r="O43" s="76"/>
    </row>
    <row r="44" spans="1:15" ht="15" customHeight="1" x14ac:dyDescent="0.3">
      <c r="A44" s="148">
        <v>31</v>
      </c>
      <c r="B44" s="59" t="s">
        <v>19</v>
      </c>
      <c r="C44" s="59" t="s">
        <v>1</v>
      </c>
      <c r="D44" s="115" t="s">
        <v>98</v>
      </c>
      <c r="E44" s="59" t="s">
        <v>125</v>
      </c>
      <c r="F44" s="115" t="s">
        <v>100</v>
      </c>
      <c r="G44" s="59" t="s">
        <v>91</v>
      </c>
      <c r="H44" s="59" t="s">
        <v>92</v>
      </c>
      <c r="I44" s="115" t="s">
        <v>38</v>
      </c>
      <c r="J44" s="125" t="s">
        <v>101</v>
      </c>
      <c r="K44" s="70">
        <v>1729</v>
      </c>
      <c r="L44" s="139">
        <v>877.4</v>
      </c>
      <c r="M44" s="116"/>
      <c r="N44" s="71">
        <f t="shared" si="0"/>
        <v>0</v>
      </c>
      <c r="O44" s="76"/>
    </row>
    <row r="45" spans="1:15" ht="15" customHeight="1" x14ac:dyDescent="0.3">
      <c r="A45" s="148">
        <v>32</v>
      </c>
      <c r="B45" s="59" t="s">
        <v>19</v>
      </c>
      <c r="C45" s="59" t="s">
        <v>1</v>
      </c>
      <c r="D45" s="115" t="s">
        <v>98</v>
      </c>
      <c r="E45" s="59" t="s">
        <v>126</v>
      </c>
      <c r="F45" s="115" t="s">
        <v>100</v>
      </c>
      <c r="G45" s="59" t="s">
        <v>91</v>
      </c>
      <c r="H45" s="59" t="s">
        <v>92</v>
      </c>
      <c r="I45" s="115" t="s">
        <v>40</v>
      </c>
      <c r="J45" s="125" t="s">
        <v>101</v>
      </c>
      <c r="K45" s="70">
        <v>1809</v>
      </c>
      <c r="L45" s="139">
        <v>918</v>
      </c>
      <c r="M45" s="116"/>
      <c r="N45" s="71">
        <f t="shared" si="0"/>
        <v>0</v>
      </c>
      <c r="O45" s="76"/>
    </row>
    <row r="46" spans="1:15" ht="15" customHeight="1" x14ac:dyDescent="0.3">
      <c r="A46" s="148">
        <v>33</v>
      </c>
      <c r="B46" s="59" t="s">
        <v>19</v>
      </c>
      <c r="C46" s="59" t="s">
        <v>1</v>
      </c>
      <c r="D46" s="115" t="s">
        <v>98</v>
      </c>
      <c r="E46" s="59" t="s">
        <v>127</v>
      </c>
      <c r="F46" s="115" t="s">
        <v>100</v>
      </c>
      <c r="G46" s="59" t="s">
        <v>91</v>
      </c>
      <c r="H46" s="59" t="s">
        <v>92</v>
      </c>
      <c r="I46" s="115" t="s">
        <v>42</v>
      </c>
      <c r="J46" s="125" t="s">
        <v>101</v>
      </c>
      <c r="K46" s="70">
        <v>1889</v>
      </c>
      <c r="L46" s="139">
        <v>958.6</v>
      </c>
      <c r="M46" s="116"/>
      <c r="N46" s="71">
        <f t="shared" si="0"/>
        <v>0</v>
      </c>
      <c r="O46" s="76"/>
    </row>
    <row r="47" spans="1:15" ht="15" customHeight="1" x14ac:dyDescent="0.3">
      <c r="A47" s="148">
        <v>34</v>
      </c>
      <c r="B47" s="59" t="s">
        <v>19</v>
      </c>
      <c r="C47" s="59" t="s">
        <v>1</v>
      </c>
      <c r="D47" s="115" t="s">
        <v>98</v>
      </c>
      <c r="E47" s="59" t="s">
        <v>128</v>
      </c>
      <c r="F47" s="115" t="s">
        <v>100</v>
      </c>
      <c r="G47" s="59" t="s">
        <v>91</v>
      </c>
      <c r="H47" s="59" t="s">
        <v>92</v>
      </c>
      <c r="I47" s="115" t="s">
        <v>52</v>
      </c>
      <c r="J47" s="125" t="s">
        <v>101</v>
      </c>
      <c r="K47" s="70">
        <v>1969</v>
      </c>
      <c r="L47" s="139">
        <v>999.2</v>
      </c>
      <c r="M47" s="116"/>
      <c r="N47" s="71">
        <f t="shared" si="0"/>
        <v>0</v>
      </c>
      <c r="O47" s="76"/>
    </row>
    <row r="48" spans="1:15" ht="15" customHeight="1" x14ac:dyDescent="0.3">
      <c r="A48" s="148">
        <v>35</v>
      </c>
      <c r="B48" s="59" t="s">
        <v>19</v>
      </c>
      <c r="C48" s="59" t="s">
        <v>1</v>
      </c>
      <c r="D48" s="115" t="s">
        <v>98</v>
      </c>
      <c r="E48" s="59" t="s">
        <v>129</v>
      </c>
      <c r="F48" s="115" t="s">
        <v>100</v>
      </c>
      <c r="G48" s="59" t="s">
        <v>91</v>
      </c>
      <c r="H48" s="59" t="s">
        <v>92</v>
      </c>
      <c r="I48" s="115" t="s">
        <v>44</v>
      </c>
      <c r="J48" s="125" t="s">
        <v>101</v>
      </c>
      <c r="K48" s="70">
        <v>2049</v>
      </c>
      <c r="L48" s="139">
        <v>1039.8</v>
      </c>
      <c r="M48" s="116"/>
      <c r="N48" s="71">
        <f t="shared" si="0"/>
        <v>0</v>
      </c>
      <c r="O48" s="76"/>
    </row>
    <row r="49" spans="1:15" ht="15" customHeight="1" x14ac:dyDescent="0.3">
      <c r="A49" s="148">
        <v>36</v>
      </c>
      <c r="B49" s="59" t="s">
        <v>19</v>
      </c>
      <c r="C49" s="59" t="s">
        <v>1</v>
      </c>
      <c r="D49" s="115" t="s">
        <v>130</v>
      </c>
      <c r="E49" s="59" t="s">
        <v>131</v>
      </c>
      <c r="F49" s="115" t="s">
        <v>132</v>
      </c>
      <c r="G49" s="59" t="s">
        <v>133</v>
      </c>
      <c r="H49" s="59" t="s">
        <v>134</v>
      </c>
      <c r="I49" s="115" t="s">
        <v>135</v>
      </c>
      <c r="J49" s="125" t="s">
        <v>101</v>
      </c>
      <c r="K49" s="70">
        <v>2049</v>
      </c>
      <c r="L49" s="139">
        <v>1039.8</v>
      </c>
      <c r="M49" s="116"/>
      <c r="N49" s="71">
        <f t="shared" si="0"/>
        <v>0</v>
      </c>
      <c r="O49" s="76"/>
    </row>
    <row r="50" spans="1:15" ht="15" customHeight="1" x14ac:dyDescent="0.3">
      <c r="A50" s="148">
        <v>37</v>
      </c>
      <c r="B50" s="59" t="s">
        <v>19</v>
      </c>
      <c r="C50" s="59" t="s">
        <v>1</v>
      </c>
      <c r="D50" s="115" t="s">
        <v>130</v>
      </c>
      <c r="E50" s="59" t="s">
        <v>136</v>
      </c>
      <c r="F50" s="115" t="s">
        <v>132</v>
      </c>
      <c r="G50" s="59" t="s">
        <v>133</v>
      </c>
      <c r="H50" s="59" t="s">
        <v>134</v>
      </c>
      <c r="I50" s="115" t="s">
        <v>137</v>
      </c>
      <c r="J50" s="125" t="s">
        <v>101</v>
      </c>
      <c r="K50" s="70">
        <v>2149</v>
      </c>
      <c r="L50" s="139">
        <v>1090.5</v>
      </c>
      <c r="M50" s="116"/>
      <c r="N50" s="71">
        <f t="shared" si="0"/>
        <v>0</v>
      </c>
      <c r="O50" s="76"/>
    </row>
    <row r="51" spans="1:15" ht="15" customHeight="1" x14ac:dyDescent="0.3">
      <c r="A51" s="148">
        <v>38</v>
      </c>
      <c r="B51" s="59" t="s">
        <v>19</v>
      </c>
      <c r="C51" s="59" t="s">
        <v>1</v>
      </c>
      <c r="D51" s="115" t="s">
        <v>130</v>
      </c>
      <c r="E51" s="59" t="s">
        <v>138</v>
      </c>
      <c r="F51" s="115" t="s">
        <v>132</v>
      </c>
      <c r="G51" s="59" t="s">
        <v>133</v>
      </c>
      <c r="H51" s="59" t="s">
        <v>134</v>
      </c>
      <c r="I51" s="115" t="s">
        <v>139</v>
      </c>
      <c r="J51" s="125" t="s">
        <v>101</v>
      </c>
      <c r="K51" s="70">
        <v>2249</v>
      </c>
      <c r="L51" s="139">
        <v>1141.1999999999998</v>
      </c>
      <c r="M51" s="116"/>
      <c r="N51" s="71">
        <f t="shared" si="0"/>
        <v>0</v>
      </c>
      <c r="O51" s="76"/>
    </row>
    <row r="52" spans="1:15" ht="15" customHeight="1" x14ac:dyDescent="0.3">
      <c r="A52" s="148">
        <v>39</v>
      </c>
      <c r="B52" s="59" t="s">
        <v>19</v>
      </c>
      <c r="C52" s="59" t="s">
        <v>1</v>
      </c>
      <c r="D52" s="115" t="s">
        <v>130</v>
      </c>
      <c r="E52" s="59" t="s">
        <v>140</v>
      </c>
      <c r="F52" s="115" t="s">
        <v>132</v>
      </c>
      <c r="G52" s="59" t="s">
        <v>133</v>
      </c>
      <c r="H52" s="59" t="s">
        <v>134</v>
      </c>
      <c r="I52" s="115" t="s">
        <v>141</v>
      </c>
      <c r="J52" s="125" t="s">
        <v>101</v>
      </c>
      <c r="K52" s="70">
        <v>2349</v>
      </c>
      <c r="L52" s="139">
        <v>1192</v>
      </c>
      <c r="M52" s="116"/>
      <c r="N52" s="71">
        <f t="shared" si="0"/>
        <v>0</v>
      </c>
      <c r="O52" s="76"/>
    </row>
    <row r="53" spans="1:15" ht="15" customHeight="1" x14ac:dyDescent="0.3">
      <c r="A53" s="148">
        <v>40</v>
      </c>
      <c r="B53" s="59" t="s">
        <v>19</v>
      </c>
      <c r="C53" s="59" t="s">
        <v>1</v>
      </c>
      <c r="D53" s="115" t="s">
        <v>130</v>
      </c>
      <c r="E53" s="59" t="s">
        <v>142</v>
      </c>
      <c r="F53" s="115" t="s">
        <v>132</v>
      </c>
      <c r="G53" s="59" t="s">
        <v>133</v>
      </c>
      <c r="H53" s="59" t="s">
        <v>134</v>
      </c>
      <c r="I53" s="115" t="s">
        <v>40</v>
      </c>
      <c r="J53" s="125" t="s">
        <v>101</v>
      </c>
      <c r="K53" s="70">
        <v>2449</v>
      </c>
      <c r="L53" s="139">
        <v>1242.6999999999998</v>
      </c>
      <c r="M53" s="116"/>
      <c r="N53" s="71">
        <f t="shared" si="0"/>
        <v>0</v>
      </c>
      <c r="O53" s="76"/>
    </row>
    <row r="54" spans="1:15" ht="15" customHeight="1" x14ac:dyDescent="0.3">
      <c r="A54" s="148">
        <v>41</v>
      </c>
      <c r="B54" s="59" t="s">
        <v>19</v>
      </c>
      <c r="C54" s="59" t="s">
        <v>1</v>
      </c>
      <c r="D54" s="115" t="s">
        <v>130</v>
      </c>
      <c r="E54" s="59" t="s">
        <v>143</v>
      </c>
      <c r="F54" s="115" t="s">
        <v>132</v>
      </c>
      <c r="G54" s="59" t="s">
        <v>133</v>
      </c>
      <c r="H54" s="59" t="s">
        <v>134</v>
      </c>
      <c r="I54" s="115" t="s">
        <v>42</v>
      </c>
      <c r="J54" s="125" t="s">
        <v>101</v>
      </c>
      <c r="K54" s="70">
        <v>2549</v>
      </c>
      <c r="L54" s="139">
        <v>1293.5</v>
      </c>
      <c r="M54" s="116"/>
      <c r="N54" s="71">
        <f t="shared" si="0"/>
        <v>0</v>
      </c>
      <c r="O54" s="76"/>
    </row>
    <row r="55" spans="1:15" ht="15" customHeight="1" x14ac:dyDescent="0.3">
      <c r="A55" s="148">
        <v>42</v>
      </c>
      <c r="B55" s="59" t="s">
        <v>19</v>
      </c>
      <c r="C55" s="59" t="s">
        <v>1</v>
      </c>
      <c r="D55" s="115" t="s">
        <v>130</v>
      </c>
      <c r="E55" s="59" t="s">
        <v>144</v>
      </c>
      <c r="F55" s="115" t="s">
        <v>132</v>
      </c>
      <c r="G55" s="59" t="s">
        <v>133</v>
      </c>
      <c r="H55" s="59" t="s">
        <v>134</v>
      </c>
      <c r="I55" s="115" t="s">
        <v>52</v>
      </c>
      <c r="J55" s="125" t="s">
        <v>101</v>
      </c>
      <c r="K55" s="70">
        <v>2649</v>
      </c>
      <c r="L55" s="139">
        <v>1344.1999999999998</v>
      </c>
      <c r="M55" s="116"/>
      <c r="N55" s="71">
        <f t="shared" si="0"/>
        <v>0</v>
      </c>
      <c r="O55" s="76"/>
    </row>
    <row r="56" spans="1:15" ht="15" customHeight="1" x14ac:dyDescent="0.3">
      <c r="A56" s="148">
        <v>43</v>
      </c>
      <c r="B56" s="59" t="s">
        <v>19</v>
      </c>
      <c r="C56" s="59" t="s">
        <v>1</v>
      </c>
      <c r="D56" s="115" t="s">
        <v>130</v>
      </c>
      <c r="E56" s="59" t="s">
        <v>145</v>
      </c>
      <c r="F56" s="115" t="s">
        <v>132</v>
      </c>
      <c r="G56" s="59" t="s">
        <v>133</v>
      </c>
      <c r="H56" s="59" t="s">
        <v>134</v>
      </c>
      <c r="I56" s="115" t="s">
        <v>44</v>
      </c>
      <c r="J56" s="125" t="s">
        <v>101</v>
      </c>
      <c r="K56" s="70">
        <v>2749</v>
      </c>
      <c r="L56" s="139">
        <v>1394.8999999999999</v>
      </c>
      <c r="M56" s="116"/>
      <c r="N56" s="71">
        <f t="shared" si="0"/>
        <v>0</v>
      </c>
      <c r="O56" s="76"/>
    </row>
    <row r="57" spans="1:15" ht="15" customHeight="1" x14ac:dyDescent="0.3">
      <c r="A57" s="148">
        <v>44</v>
      </c>
      <c r="B57" s="59" t="s">
        <v>19</v>
      </c>
      <c r="C57" s="59" t="s">
        <v>1</v>
      </c>
      <c r="D57" s="115" t="s">
        <v>72</v>
      </c>
      <c r="E57" s="59" t="s">
        <v>73</v>
      </c>
      <c r="F57" s="115" t="s">
        <v>74</v>
      </c>
      <c r="G57" s="59" t="s">
        <v>30</v>
      </c>
      <c r="H57" s="59" t="s">
        <v>31</v>
      </c>
      <c r="I57" s="115" t="s">
        <v>36</v>
      </c>
      <c r="J57" s="125" t="s">
        <v>26</v>
      </c>
      <c r="K57" s="70">
        <v>1729</v>
      </c>
      <c r="L57" s="139">
        <v>877.4</v>
      </c>
      <c r="M57" s="116"/>
      <c r="N57" s="71">
        <f t="shared" si="0"/>
        <v>0</v>
      </c>
      <c r="O57" s="76"/>
    </row>
    <row r="58" spans="1:15" ht="15" customHeight="1" x14ac:dyDescent="0.3">
      <c r="A58" s="148">
        <v>45</v>
      </c>
      <c r="B58" s="59" t="s">
        <v>19</v>
      </c>
      <c r="C58" s="59" t="s">
        <v>1</v>
      </c>
      <c r="D58" s="115" t="s">
        <v>72</v>
      </c>
      <c r="E58" s="59" t="s">
        <v>75</v>
      </c>
      <c r="F58" s="115" t="s">
        <v>74</v>
      </c>
      <c r="G58" s="59" t="s">
        <v>30</v>
      </c>
      <c r="H58" s="59" t="s">
        <v>31</v>
      </c>
      <c r="I58" s="115" t="s">
        <v>38</v>
      </c>
      <c r="J58" s="125" t="s">
        <v>26</v>
      </c>
      <c r="K58" s="70">
        <v>1799</v>
      </c>
      <c r="L58" s="139">
        <v>912.9</v>
      </c>
      <c r="M58" s="116"/>
      <c r="N58" s="71">
        <f t="shared" si="0"/>
        <v>0</v>
      </c>
      <c r="O58" s="76"/>
    </row>
    <row r="59" spans="1:15" ht="15" customHeight="1" x14ac:dyDescent="0.3">
      <c r="A59" s="148">
        <v>46</v>
      </c>
      <c r="B59" s="59" t="s">
        <v>19</v>
      </c>
      <c r="C59" s="59" t="s">
        <v>1</v>
      </c>
      <c r="D59" s="115" t="s">
        <v>72</v>
      </c>
      <c r="E59" s="59" t="s">
        <v>76</v>
      </c>
      <c r="F59" s="115" t="s">
        <v>74</v>
      </c>
      <c r="G59" s="59" t="s">
        <v>30</v>
      </c>
      <c r="H59" s="59" t="s">
        <v>31</v>
      </c>
      <c r="I59" s="115" t="s">
        <v>40</v>
      </c>
      <c r="J59" s="125" t="s">
        <v>26</v>
      </c>
      <c r="K59" s="70">
        <v>1879</v>
      </c>
      <c r="L59" s="139">
        <v>953.5</v>
      </c>
      <c r="M59" s="116"/>
      <c r="N59" s="71">
        <f t="shared" si="0"/>
        <v>0</v>
      </c>
      <c r="O59" s="76"/>
    </row>
    <row r="60" spans="1:15" ht="15" customHeight="1" x14ac:dyDescent="0.3">
      <c r="A60" s="148">
        <v>47</v>
      </c>
      <c r="B60" s="59" t="s">
        <v>19</v>
      </c>
      <c r="C60" s="59" t="s">
        <v>1</v>
      </c>
      <c r="D60" s="115" t="s">
        <v>72</v>
      </c>
      <c r="E60" s="59" t="s">
        <v>77</v>
      </c>
      <c r="F60" s="115" t="s">
        <v>74</v>
      </c>
      <c r="G60" s="59" t="s">
        <v>30</v>
      </c>
      <c r="H60" s="59" t="s">
        <v>31</v>
      </c>
      <c r="I60" s="115" t="s">
        <v>42</v>
      </c>
      <c r="J60" s="125" t="s">
        <v>26</v>
      </c>
      <c r="K60" s="70">
        <v>1949</v>
      </c>
      <c r="L60" s="139">
        <v>989</v>
      </c>
      <c r="M60" s="116"/>
      <c r="N60" s="71">
        <f t="shared" si="0"/>
        <v>0</v>
      </c>
      <c r="O60" s="76"/>
    </row>
    <row r="61" spans="1:15" ht="15" customHeight="1" x14ac:dyDescent="0.3">
      <c r="A61" s="148">
        <v>48</v>
      </c>
      <c r="B61" s="59" t="s">
        <v>19</v>
      </c>
      <c r="C61" s="59" t="s">
        <v>1</v>
      </c>
      <c r="D61" s="115" t="s">
        <v>72</v>
      </c>
      <c r="E61" s="59" t="s">
        <v>78</v>
      </c>
      <c r="F61" s="115" t="s">
        <v>74</v>
      </c>
      <c r="G61" s="59" t="s">
        <v>30</v>
      </c>
      <c r="H61" s="59" t="s">
        <v>31</v>
      </c>
      <c r="I61" s="115" t="s">
        <v>52</v>
      </c>
      <c r="J61" s="125" t="s">
        <v>26</v>
      </c>
      <c r="K61" s="70">
        <v>2039</v>
      </c>
      <c r="L61" s="139">
        <v>1034.6999999999998</v>
      </c>
      <c r="M61" s="116"/>
      <c r="N61" s="71">
        <f t="shared" si="0"/>
        <v>0</v>
      </c>
      <c r="O61" s="76"/>
    </row>
    <row r="62" spans="1:15" ht="15" customHeight="1" x14ac:dyDescent="0.3">
      <c r="A62" s="148">
        <v>49</v>
      </c>
      <c r="B62" s="59" t="s">
        <v>19</v>
      </c>
      <c r="C62" s="59" t="s">
        <v>1</v>
      </c>
      <c r="D62" s="115" t="s">
        <v>72</v>
      </c>
      <c r="E62" s="59" t="s">
        <v>79</v>
      </c>
      <c r="F62" s="115" t="s">
        <v>74</v>
      </c>
      <c r="G62" s="59" t="s">
        <v>30</v>
      </c>
      <c r="H62" s="59" t="s">
        <v>31</v>
      </c>
      <c r="I62" s="147" t="s">
        <v>44</v>
      </c>
      <c r="J62" s="125" t="s">
        <v>26</v>
      </c>
      <c r="K62" s="70">
        <v>2119</v>
      </c>
      <c r="L62" s="139">
        <v>1075.3</v>
      </c>
      <c r="M62" s="116"/>
      <c r="N62" s="71">
        <f t="shared" si="0"/>
        <v>0</v>
      </c>
      <c r="O62" s="76"/>
    </row>
    <row r="63" spans="1:15" ht="15" customHeight="1" x14ac:dyDescent="0.3">
      <c r="A63" s="148">
        <v>50</v>
      </c>
      <c r="B63" s="59" t="s">
        <v>19</v>
      </c>
      <c r="C63" s="59" t="s">
        <v>1</v>
      </c>
      <c r="D63" s="115" t="s">
        <v>72</v>
      </c>
      <c r="E63" s="59" t="s">
        <v>80</v>
      </c>
      <c r="F63" s="115" t="s">
        <v>74</v>
      </c>
      <c r="G63" s="59" t="s">
        <v>81</v>
      </c>
      <c r="H63" s="59" t="s">
        <v>82</v>
      </c>
      <c r="I63" s="115" t="s">
        <v>34</v>
      </c>
      <c r="J63" s="125" t="s">
        <v>26</v>
      </c>
      <c r="K63" s="70">
        <v>1649</v>
      </c>
      <c r="L63" s="139">
        <v>836.80000000000007</v>
      </c>
      <c r="M63" s="116"/>
      <c r="N63" s="71">
        <f t="shared" si="0"/>
        <v>0</v>
      </c>
      <c r="O63" s="76"/>
    </row>
    <row r="64" spans="1:15" ht="15" customHeight="1" x14ac:dyDescent="0.3">
      <c r="A64" s="148">
        <v>51</v>
      </c>
      <c r="B64" s="59" t="s">
        <v>19</v>
      </c>
      <c r="C64" s="59" t="s">
        <v>1</v>
      </c>
      <c r="D64" s="115" t="s">
        <v>72</v>
      </c>
      <c r="E64" s="59" t="s">
        <v>83</v>
      </c>
      <c r="F64" s="115" t="s">
        <v>74</v>
      </c>
      <c r="G64" s="59" t="s">
        <v>81</v>
      </c>
      <c r="H64" s="59" t="s">
        <v>82</v>
      </c>
      <c r="I64" s="115" t="s">
        <v>36</v>
      </c>
      <c r="J64" s="125" t="s">
        <v>26</v>
      </c>
      <c r="K64" s="70">
        <v>1729</v>
      </c>
      <c r="L64" s="139">
        <v>877.4</v>
      </c>
      <c r="M64" s="116"/>
      <c r="N64" s="71">
        <f t="shared" si="0"/>
        <v>0</v>
      </c>
      <c r="O64" s="76"/>
    </row>
    <row r="65" spans="1:15" ht="15" customHeight="1" x14ac:dyDescent="0.3">
      <c r="A65" s="148">
        <v>52</v>
      </c>
      <c r="B65" s="59" t="s">
        <v>19</v>
      </c>
      <c r="C65" s="59" t="s">
        <v>1</v>
      </c>
      <c r="D65" s="115" t="s">
        <v>72</v>
      </c>
      <c r="E65" s="59" t="s">
        <v>84</v>
      </c>
      <c r="F65" s="115" t="s">
        <v>74</v>
      </c>
      <c r="G65" s="59" t="s">
        <v>81</v>
      </c>
      <c r="H65" s="59" t="s">
        <v>82</v>
      </c>
      <c r="I65" s="115" t="s">
        <v>38</v>
      </c>
      <c r="J65" s="125" t="s">
        <v>26</v>
      </c>
      <c r="K65" s="70">
        <v>1799</v>
      </c>
      <c r="L65" s="139">
        <v>912.9</v>
      </c>
      <c r="M65" s="116"/>
      <c r="N65" s="71">
        <f t="shared" si="0"/>
        <v>0</v>
      </c>
      <c r="O65" s="76"/>
    </row>
    <row r="66" spans="1:15" ht="15" customHeight="1" x14ac:dyDescent="0.3">
      <c r="A66" s="148">
        <v>53</v>
      </c>
      <c r="B66" s="59" t="s">
        <v>19</v>
      </c>
      <c r="C66" s="59" t="s">
        <v>1</v>
      </c>
      <c r="D66" s="115" t="s">
        <v>72</v>
      </c>
      <c r="E66" s="59" t="s">
        <v>85</v>
      </c>
      <c r="F66" s="115" t="s">
        <v>74</v>
      </c>
      <c r="G66" s="59" t="s">
        <v>81</v>
      </c>
      <c r="H66" s="59" t="s">
        <v>82</v>
      </c>
      <c r="I66" s="115" t="s">
        <v>40</v>
      </c>
      <c r="J66" s="125" t="s">
        <v>26</v>
      </c>
      <c r="K66" s="70">
        <v>1879</v>
      </c>
      <c r="L66" s="139">
        <v>953.5</v>
      </c>
      <c r="M66" s="116"/>
      <c r="N66" s="71">
        <f t="shared" si="0"/>
        <v>0</v>
      </c>
      <c r="O66" s="76"/>
    </row>
    <row r="67" spans="1:15" ht="15" customHeight="1" x14ac:dyDescent="0.3">
      <c r="A67" s="148">
        <v>54</v>
      </c>
      <c r="B67" s="59" t="s">
        <v>19</v>
      </c>
      <c r="C67" s="59" t="s">
        <v>1</v>
      </c>
      <c r="D67" s="115" t="s">
        <v>72</v>
      </c>
      <c r="E67" s="59" t="s">
        <v>86</v>
      </c>
      <c r="F67" s="115" t="s">
        <v>74</v>
      </c>
      <c r="G67" s="59" t="s">
        <v>81</v>
      </c>
      <c r="H67" s="59" t="s">
        <v>82</v>
      </c>
      <c r="I67" s="115" t="s">
        <v>42</v>
      </c>
      <c r="J67" s="125" t="s">
        <v>26</v>
      </c>
      <c r="K67" s="70">
        <v>1949</v>
      </c>
      <c r="L67" s="139">
        <v>989</v>
      </c>
      <c r="M67" s="116"/>
      <c r="N67" s="71">
        <f t="shared" si="0"/>
        <v>0</v>
      </c>
      <c r="O67" s="76"/>
    </row>
    <row r="68" spans="1:15" ht="15" customHeight="1" x14ac:dyDescent="0.3">
      <c r="A68" s="148">
        <v>55</v>
      </c>
      <c r="B68" s="59" t="s">
        <v>19</v>
      </c>
      <c r="C68" s="59" t="s">
        <v>1</v>
      </c>
      <c r="D68" s="115" t="s">
        <v>72</v>
      </c>
      <c r="E68" s="59" t="s">
        <v>87</v>
      </c>
      <c r="F68" s="115" t="s">
        <v>74</v>
      </c>
      <c r="G68" s="59" t="s">
        <v>81</v>
      </c>
      <c r="H68" s="59" t="s">
        <v>82</v>
      </c>
      <c r="I68" s="115" t="s">
        <v>52</v>
      </c>
      <c r="J68" s="125" t="s">
        <v>26</v>
      </c>
      <c r="K68" s="70">
        <v>2039</v>
      </c>
      <c r="L68" s="139">
        <v>1034.6999999999998</v>
      </c>
      <c r="M68" s="116"/>
      <c r="N68" s="71">
        <f t="shared" si="0"/>
        <v>0</v>
      </c>
      <c r="O68" s="76"/>
    </row>
    <row r="69" spans="1:15" ht="15" customHeight="1" x14ac:dyDescent="0.3">
      <c r="A69" s="148">
        <v>56</v>
      </c>
      <c r="B69" s="59" t="s">
        <v>19</v>
      </c>
      <c r="C69" s="59" t="s">
        <v>1</v>
      </c>
      <c r="D69" s="115" t="s">
        <v>72</v>
      </c>
      <c r="E69" s="59" t="s">
        <v>88</v>
      </c>
      <c r="F69" s="115" t="s">
        <v>74</v>
      </c>
      <c r="G69" s="59" t="s">
        <v>81</v>
      </c>
      <c r="H69" s="59" t="s">
        <v>82</v>
      </c>
      <c r="I69" s="115" t="s">
        <v>44</v>
      </c>
      <c r="J69" s="125" t="s">
        <v>26</v>
      </c>
      <c r="K69" s="70">
        <v>2119</v>
      </c>
      <c r="L69" s="139">
        <v>1075.3</v>
      </c>
      <c r="M69" s="116"/>
      <c r="N69" s="71">
        <f t="shared" si="0"/>
        <v>0</v>
      </c>
      <c r="O69" s="76"/>
    </row>
    <row r="70" spans="1:15" ht="15" customHeight="1" x14ac:dyDescent="0.3">
      <c r="A70" s="148">
        <v>57</v>
      </c>
      <c r="B70" s="59" t="s">
        <v>19</v>
      </c>
      <c r="C70" s="59" t="s">
        <v>1</v>
      </c>
      <c r="D70" s="115" t="s">
        <v>72</v>
      </c>
      <c r="E70" s="59" t="s">
        <v>89</v>
      </c>
      <c r="F70" s="115" t="s">
        <v>74</v>
      </c>
      <c r="G70" s="59" t="s">
        <v>81</v>
      </c>
      <c r="H70" s="59" t="s">
        <v>82</v>
      </c>
      <c r="I70" s="115" t="s">
        <v>71</v>
      </c>
      <c r="J70" s="125" t="s">
        <v>26</v>
      </c>
      <c r="K70" s="70">
        <v>2199</v>
      </c>
      <c r="L70" s="139">
        <v>1115.8999999999999</v>
      </c>
      <c r="M70" s="116"/>
      <c r="N70" s="71">
        <f t="shared" si="0"/>
        <v>0</v>
      </c>
      <c r="O70" s="76"/>
    </row>
    <row r="71" spans="1:15" ht="15" customHeight="1" x14ac:dyDescent="0.3">
      <c r="A71" s="148">
        <v>58</v>
      </c>
      <c r="B71" s="59" t="s">
        <v>19</v>
      </c>
      <c r="C71" s="59" t="s">
        <v>1</v>
      </c>
      <c r="D71" s="115" t="s">
        <v>72</v>
      </c>
      <c r="E71" s="59" t="s">
        <v>90</v>
      </c>
      <c r="F71" s="115" t="s">
        <v>74</v>
      </c>
      <c r="G71" s="59" t="s">
        <v>91</v>
      </c>
      <c r="H71" s="59" t="s">
        <v>92</v>
      </c>
      <c r="I71" s="115" t="s">
        <v>36</v>
      </c>
      <c r="J71" s="125" t="s">
        <v>26</v>
      </c>
      <c r="K71" s="70">
        <v>1729</v>
      </c>
      <c r="L71" s="139">
        <v>877.4</v>
      </c>
      <c r="M71" s="116"/>
      <c r="N71" s="71">
        <f t="shared" si="0"/>
        <v>0</v>
      </c>
      <c r="O71" s="76"/>
    </row>
    <row r="72" spans="1:15" ht="15" customHeight="1" x14ac:dyDescent="0.3">
      <c r="A72" s="148">
        <v>59</v>
      </c>
      <c r="B72" s="59" t="s">
        <v>19</v>
      </c>
      <c r="C72" s="59" t="s">
        <v>1</v>
      </c>
      <c r="D72" s="115" t="s">
        <v>72</v>
      </c>
      <c r="E72" s="59" t="s">
        <v>93</v>
      </c>
      <c r="F72" s="115" t="s">
        <v>74</v>
      </c>
      <c r="G72" s="59" t="s">
        <v>91</v>
      </c>
      <c r="H72" s="59" t="s">
        <v>92</v>
      </c>
      <c r="I72" s="115" t="s">
        <v>38</v>
      </c>
      <c r="J72" s="125" t="s">
        <v>26</v>
      </c>
      <c r="K72" s="70">
        <v>1799</v>
      </c>
      <c r="L72" s="139">
        <v>912.9</v>
      </c>
      <c r="M72" s="116"/>
      <c r="N72" s="71">
        <f t="shared" si="0"/>
        <v>0</v>
      </c>
      <c r="O72" s="76"/>
    </row>
    <row r="73" spans="1:15" ht="15" customHeight="1" x14ac:dyDescent="0.3">
      <c r="A73" s="148">
        <v>60</v>
      </c>
      <c r="B73" s="59" t="s">
        <v>19</v>
      </c>
      <c r="C73" s="59" t="s">
        <v>1</v>
      </c>
      <c r="D73" s="115" t="s">
        <v>72</v>
      </c>
      <c r="E73" s="59" t="s">
        <v>94</v>
      </c>
      <c r="F73" s="115" t="s">
        <v>74</v>
      </c>
      <c r="G73" s="59" t="s">
        <v>91</v>
      </c>
      <c r="H73" s="59" t="s">
        <v>92</v>
      </c>
      <c r="I73" s="115" t="s">
        <v>40</v>
      </c>
      <c r="J73" s="125" t="s">
        <v>26</v>
      </c>
      <c r="K73" s="70">
        <v>1879</v>
      </c>
      <c r="L73" s="139">
        <v>953.5</v>
      </c>
      <c r="M73" s="116"/>
      <c r="N73" s="71">
        <f t="shared" si="0"/>
        <v>0</v>
      </c>
      <c r="O73" s="76"/>
    </row>
    <row r="74" spans="1:15" ht="15" customHeight="1" x14ac:dyDescent="0.3">
      <c r="A74" s="148">
        <v>61</v>
      </c>
      <c r="B74" s="59" t="s">
        <v>19</v>
      </c>
      <c r="C74" s="59" t="s">
        <v>1</v>
      </c>
      <c r="D74" s="115" t="s">
        <v>72</v>
      </c>
      <c r="E74" s="59" t="s">
        <v>95</v>
      </c>
      <c r="F74" s="115" t="s">
        <v>74</v>
      </c>
      <c r="G74" s="59" t="s">
        <v>91</v>
      </c>
      <c r="H74" s="59" t="s">
        <v>92</v>
      </c>
      <c r="I74" s="115" t="s">
        <v>42</v>
      </c>
      <c r="J74" s="125" t="s">
        <v>26</v>
      </c>
      <c r="K74" s="70">
        <v>1949</v>
      </c>
      <c r="L74" s="139">
        <v>989</v>
      </c>
      <c r="M74" s="116"/>
      <c r="N74" s="71">
        <f t="shared" si="0"/>
        <v>0</v>
      </c>
      <c r="O74" s="76"/>
    </row>
    <row r="75" spans="1:15" ht="15" customHeight="1" x14ac:dyDescent="0.3">
      <c r="A75" s="148">
        <v>62</v>
      </c>
      <c r="B75" s="59" t="s">
        <v>19</v>
      </c>
      <c r="C75" s="59" t="s">
        <v>1</v>
      </c>
      <c r="D75" s="115" t="s">
        <v>72</v>
      </c>
      <c r="E75" s="59" t="s">
        <v>96</v>
      </c>
      <c r="F75" s="115" t="s">
        <v>74</v>
      </c>
      <c r="G75" s="59" t="s">
        <v>91</v>
      </c>
      <c r="H75" s="59" t="s">
        <v>92</v>
      </c>
      <c r="I75" s="115" t="s">
        <v>52</v>
      </c>
      <c r="J75" s="125" t="s">
        <v>26</v>
      </c>
      <c r="K75" s="70">
        <v>2039</v>
      </c>
      <c r="L75" s="139">
        <v>1034.6999999999998</v>
      </c>
      <c r="M75" s="116"/>
      <c r="N75" s="71">
        <f t="shared" si="0"/>
        <v>0</v>
      </c>
      <c r="O75" s="76"/>
    </row>
    <row r="76" spans="1:15" ht="15" customHeight="1" x14ac:dyDescent="0.3">
      <c r="A76" s="148">
        <v>63</v>
      </c>
      <c r="B76" s="59" t="s">
        <v>19</v>
      </c>
      <c r="C76" s="59" t="s">
        <v>1</v>
      </c>
      <c r="D76" s="115" t="s">
        <v>72</v>
      </c>
      <c r="E76" s="59" t="s">
        <v>97</v>
      </c>
      <c r="F76" s="115" t="s">
        <v>74</v>
      </c>
      <c r="G76" s="59" t="s">
        <v>91</v>
      </c>
      <c r="H76" s="59" t="s">
        <v>92</v>
      </c>
      <c r="I76" s="115" t="s">
        <v>44</v>
      </c>
      <c r="J76" s="125" t="s">
        <v>26</v>
      </c>
      <c r="K76" s="70">
        <v>2119</v>
      </c>
      <c r="L76" s="139">
        <v>1075.3</v>
      </c>
      <c r="M76" s="116"/>
      <c r="N76" s="71">
        <f t="shared" si="0"/>
        <v>0</v>
      </c>
      <c r="O76" s="76"/>
    </row>
    <row r="77" spans="1:15" ht="15" customHeight="1" x14ac:dyDescent="0.3">
      <c r="A77" s="148">
        <v>64</v>
      </c>
      <c r="B77" s="59" t="s">
        <v>19</v>
      </c>
      <c r="C77" s="59" t="s">
        <v>1</v>
      </c>
      <c r="D77" s="115" t="s">
        <v>27</v>
      </c>
      <c r="E77" s="59" t="s">
        <v>28</v>
      </c>
      <c r="F77" s="115" t="s">
        <v>29</v>
      </c>
      <c r="G77" s="59" t="s">
        <v>30</v>
      </c>
      <c r="H77" s="59" t="s">
        <v>31</v>
      </c>
      <c r="I77" s="115" t="s">
        <v>32</v>
      </c>
      <c r="J77" s="125" t="s">
        <v>26</v>
      </c>
      <c r="K77" s="70">
        <v>1415</v>
      </c>
      <c r="L77" s="139">
        <v>718</v>
      </c>
      <c r="M77" s="116"/>
      <c r="N77" s="71">
        <f t="shared" si="0"/>
        <v>0</v>
      </c>
      <c r="O77" s="76"/>
    </row>
    <row r="78" spans="1:15" ht="15" customHeight="1" x14ac:dyDescent="0.3">
      <c r="A78" s="148">
        <v>65</v>
      </c>
      <c r="B78" s="59" t="s">
        <v>19</v>
      </c>
      <c r="C78" s="59" t="s">
        <v>1</v>
      </c>
      <c r="D78" s="115" t="s">
        <v>27</v>
      </c>
      <c r="E78" s="59" t="s">
        <v>33</v>
      </c>
      <c r="F78" s="115" t="s">
        <v>29</v>
      </c>
      <c r="G78" s="59" t="s">
        <v>30</v>
      </c>
      <c r="H78" s="59" t="s">
        <v>31</v>
      </c>
      <c r="I78" s="115" t="s">
        <v>34</v>
      </c>
      <c r="J78" s="125" t="s">
        <v>26</v>
      </c>
      <c r="K78" s="70">
        <v>1485</v>
      </c>
      <c r="L78" s="139">
        <v>753.6</v>
      </c>
      <c r="M78" s="116"/>
      <c r="N78" s="71">
        <f t="shared" ref="N78:N141" si="1">L78*M78</f>
        <v>0</v>
      </c>
      <c r="O78" s="76"/>
    </row>
    <row r="79" spans="1:15" ht="15" customHeight="1" x14ac:dyDescent="0.3">
      <c r="A79" s="148">
        <v>66</v>
      </c>
      <c r="B79" s="59" t="s">
        <v>19</v>
      </c>
      <c r="C79" s="59" t="s">
        <v>1</v>
      </c>
      <c r="D79" s="115" t="s">
        <v>27</v>
      </c>
      <c r="E79" s="59" t="s">
        <v>35</v>
      </c>
      <c r="F79" s="115" t="s">
        <v>29</v>
      </c>
      <c r="G79" s="59" t="s">
        <v>30</v>
      </c>
      <c r="H79" s="59" t="s">
        <v>31</v>
      </c>
      <c r="I79" s="115" t="s">
        <v>36</v>
      </c>
      <c r="J79" s="125" t="s">
        <v>26</v>
      </c>
      <c r="K79" s="70">
        <v>1555</v>
      </c>
      <c r="L79" s="139">
        <v>789.1</v>
      </c>
      <c r="M79" s="116"/>
      <c r="N79" s="71">
        <f t="shared" si="1"/>
        <v>0</v>
      </c>
      <c r="O79" s="76"/>
    </row>
    <row r="80" spans="1:15" ht="15" customHeight="1" x14ac:dyDescent="0.3">
      <c r="A80" s="148">
        <v>67</v>
      </c>
      <c r="B80" s="59" t="s">
        <v>19</v>
      </c>
      <c r="C80" s="59" t="s">
        <v>1</v>
      </c>
      <c r="D80" s="115" t="s">
        <v>27</v>
      </c>
      <c r="E80" s="59" t="s">
        <v>37</v>
      </c>
      <c r="F80" s="115" t="s">
        <v>29</v>
      </c>
      <c r="G80" s="59" t="s">
        <v>30</v>
      </c>
      <c r="H80" s="59" t="s">
        <v>31</v>
      </c>
      <c r="I80" s="115" t="s">
        <v>38</v>
      </c>
      <c r="J80" s="125" t="s">
        <v>26</v>
      </c>
      <c r="K80" s="70">
        <v>1639</v>
      </c>
      <c r="L80" s="139">
        <v>831.7</v>
      </c>
      <c r="M80" s="116"/>
      <c r="N80" s="71">
        <f t="shared" si="1"/>
        <v>0</v>
      </c>
      <c r="O80" s="76"/>
    </row>
    <row r="81" spans="1:21" ht="15" customHeight="1" x14ac:dyDescent="0.3">
      <c r="A81" s="148">
        <v>68</v>
      </c>
      <c r="B81" s="59" t="s">
        <v>19</v>
      </c>
      <c r="C81" s="59" t="s">
        <v>1</v>
      </c>
      <c r="D81" s="115" t="s">
        <v>27</v>
      </c>
      <c r="E81" s="59" t="s">
        <v>39</v>
      </c>
      <c r="F81" s="115" t="s">
        <v>29</v>
      </c>
      <c r="G81" s="59" t="s">
        <v>30</v>
      </c>
      <c r="H81" s="59" t="s">
        <v>31</v>
      </c>
      <c r="I81" s="115" t="s">
        <v>40</v>
      </c>
      <c r="J81" s="125" t="s">
        <v>26</v>
      </c>
      <c r="K81" s="70">
        <v>1719</v>
      </c>
      <c r="L81" s="139">
        <v>872.30000000000007</v>
      </c>
      <c r="M81" s="116"/>
      <c r="N81" s="71">
        <f t="shared" si="1"/>
        <v>0</v>
      </c>
      <c r="O81" s="76"/>
    </row>
    <row r="82" spans="1:21" ht="15" customHeight="1" x14ac:dyDescent="0.3">
      <c r="A82" s="148">
        <v>69</v>
      </c>
      <c r="B82" s="59" t="s">
        <v>19</v>
      </c>
      <c r="C82" s="59" t="s">
        <v>1</v>
      </c>
      <c r="D82" s="115" t="s">
        <v>27</v>
      </c>
      <c r="E82" s="59" t="s">
        <v>41</v>
      </c>
      <c r="F82" s="115" t="s">
        <v>29</v>
      </c>
      <c r="G82" s="59" t="s">
        <v>30</v>
      </c>
      <c r="H82" s="59" t="s">
        <v>31</v>
      </c>
      <c r="I82" s="115" t="s">
        <v>42</v>
      </c>
      <c r="J82" s="125" t="s">
        <v>26</v>
      </c>
      <c r="K82" s="70">
        <v>1799</v>
      </c>
      <c r="L82" s="139">
        <v>912.9</v>
      </c>
      <c r="M82" s="116"/>
      <c r="N82" s="71">
        <f t="shared" si="1"/>
        <v>0</v>
      </c>
      <c r="O82" s="76"/>
    </row>
    <row r="83" spans="1:21" ht="15" customHeight="1" x14ac:dyDescent="0.3">
      <c r="A83" s="148">
        <v>70</v>
      </c>
      <c r="B83" s="59" t="s">
        <v>19</v>
      </c>
      <c r="C83" s="59" t="s">
        <v>1</v>
      </c>
      <c r="D83" s="115" t="s">
        <v>27</v>
      </c>
      <c r="E83" s="59" t="s">
        <v>43</v>
      </c>
      <c r="F83" s="115" t="s">
        <v>29</v>
      </c>
      <c r="G83" s="59" t="s">
        <v>30</v>
      </c>
      <c r="H83" s="59" t="s">
        <v>31</v>
      </c>
      <c r="I83" s="115" t="s">
        <v>44</v>
      </c>
      <c r="J83" s="125" t="s">
        <v>26</v>
      </c>
      <c r="K83" s="70">
        <v>1949</v>
      </c>
      <c r="L83" s="139">
        <v>989</v>
      </c>
      <c r="M83" s="116"/>
      <c r="N83" s="71">
        <f t="shared" si="1"/>
        <v>0</v>
      </c>
      <c r="O83" s="76"/>
    </row>
    <row r="84" spans="1:21" ht="15" customHeight="1" x14ac:dyDescent="0.3">
      <c r="A84" s="148">
        <v>71</v>
      </c>
      <c r="B84" s="59" t="s">
        <v>19</v>
      </c>
      <c r="C84" s="59" t="s">
        <v>1</v>
      </c>
      <c r="D84" s="115" t="s">
        <v>45</v>
      </c>
      <c r="E84" s="59" t="s">
        <v>46</v>
      </c>
      <c r="F84" s="115" t="s">
        <v>47</v>
      </c>
      <c r="G84" s="59" t="s">
        <v>48</v>
      </c>
      <c r="H84" s="59" t="s">
        <v>49</v>
      </c>
      <c r="I84" s="115" t="s">
        <v>36</v>
      </c>
      <c r="J84" s="125" t="s">
        <v>26</v>
      </c>
      <c r="K84" s="70">
        <v>1629</v>
      </c>
      <c r="L84" s="139">
        <v>826.6</v>
      </c>
      <c r="M84" s="116"/>
      <c r="N84" s="71">
        <f t="shared" si="1"/>
        <v>0</v>
      </c>
      <c r="O84" s="76"/>
    </row>
    <row r="85" spans="1:21" ht="15" customHeight="1" x14ac:dyDescent="0.3">
      <c r="A85" s="148">
        <v>72</v>
      </c>
      <c r="B85" s="59" t="s">
        <v>19</v>
      </c>
      <c r="C85" s="59" t="s">
        <v>1</v>
      </c>
      <c r="D85" s="115" t="s">
        <v>45</v>
      </c>
      <c r="E85" s="59" t="s">
        <v>50</v>
      </c>
      <c r="F85" s="115" t="s">
        <v>47</v>
      </c>
      <c r="G85" s="59" t="s">
        <v>48</v>
      </c>
      <c r="H85" s="59" t="s">
        <v>49</v>
      </c>
      <c r="I85" s="115" t="s">
        <v>40</v>
      </c>
      <c r="J85" s="125" t="s">
        <v>26</v>
      </c>
      <c r="K85" s="70">
        <v>1799</v>
      </c>
      <c r="L85" s="139">
        <v>912.9</v>
      </c>
      <c r="M85" s="116"/>
      <c r="N85" s="71">
        <f t="shared" si="1"/>
        <v>0</v>
      </c>
      <c r="O85" s="76"/>
    </row>
    <row r="86" spans="1:21" ht="15" customHeight="1" x14ac:dyDescent="0.3">
      <c r="A86" s="148">
        <v>73</v>
      </c>
      <c r="B86" s="59" t="s">
        <v>19</v>
      </c>
      <c r="C86" s="59" t="s">
        <v>1</v>
      </c>
      <c r="D86" s="115" t="s">
        <v>45</v>
      </c>
      <c r="E86" s="59" t="s">
        <v>51</v>
      </c>
      <c r="F86" s="115" t="s">
        <v>47</v>
      </c>
      <c r="G86" s="59" t="s">
        <v>48</v>
      </c>
      <c r="H86" s="59" t="s">
        <v>49</v>
      </c>
      <c r="I86" s="115" t="s">
        <v>52</v>
      </c>
      <c r="J86" s="125" t="s">
        <v>26</v>
      </c>
      <c r="K86" s="70">
        <v>1969</v>
      </c>
      <c r="L86" s="139">
        <v>999.2</v>
      </c>
      <c r="M86" s="116"/>
      <c r="N86" s="71">
        <f t="shared" si="1"/>
        <v>0</v>
      </c>
      <c r="O86" s="76"/>
    </row>
    <row r="87" spans="1:21" ht="15" customHeight="1" x14ac:dyDescent="0.3">
      <c r="A87" s="148">
        <v>74</v>
      </c>
      <c r="B87" s="59" t="s">
        <v>19</v>
      </c>
      <c r="C87" s="59" t="s">
        <v>1</v>
      </c>
      <c r="D87" s="115" t="s">
        <v>45</v>
      </c>
      <c r="E87" s="59" t="s">
        <v>53</v>
      </c>
      <c r="F87" s="115" t="s">
        <v>47</v>
      </c>
      <c r="G87" s="59" t="s">
        <v>48</v>
      </c>
      <c r="H87" s="59" t="s">
        <v>49</v>
      </c>
      <c r="I87" s="115" t="s">
        <v>54</v>
      </c>
      <c r="J87" s="125" t="s">
        <v>26</v>
      </c>
      <c r="K87" s="70">
        <v>2139</v>
      </c>
      <c r="L87" s="139">
        <v>1085.3999999999999</v>
      </c>
      <c r="M87" s="116"/>
      <c r="N87" s="71">
        <f t="shared" si="1"/>
        <v>0</v>
      </c>
      <c r="O87" s="76"/>
    </row>
    <row r="88" spans="1:21" s="73" customFormat="1" ht="15.75" customHeight="1" x14ac:dyDescent="0.3">
      <c r="A88" s="148">
        <v>75</v>
      </c>
      <c r="B88" s="59" t="s">
        <v>19</v>
      </c>
      <c r="C88" s="59" t="s">
        <v>1</v>
      </c>
      <c r="D88" s="115" t="s">
        <v>55</v>
      </c>
      <c r="E88" s="59" t="s">
        <v>56</v>
      </c>
      <c r="F88" s="115" t="s">
        <v>57</v>
      </c>
      <c r="G88" s="59" t="s">
        <v>58</v>
      </c>
      <c r="H88" s="59" t="s">
        <v>59</v>
      </c>
      <c r="I88" s="115" t="s">
        <v>60</v>
      </c>
      <c r="J88" s="125" t="s">
        <v>26</v>
      </c>
      <c r="K88" s="70">
        <v>1199</v>
      </c>
      <c r="L88" s="139">
        <v>608.4</v>
      </c>
      <c r="M88" s="116"/>
      <c r="N88" s="71">
        <f t="shared" si="1"/>
        <v>0</v>
      </c>
      <c r="O88" s="76"/>
      <c r="P88"/>
      <c r="Q88"/>
      <c r="R88"/>
      <c r="S88"/>
      <c r="T88"/>
      <c r="U88"/>
    </row>
    <row r="89" spans="1:21" ht="15" customHeight="1" x14ac:dyDescent="0.3">
      <c r="A89" s="148">
        <v>76</v>
      </c>
      <c r="B89" s="59" t="s">
        <v>19</v>
      </c>
      <c r="C89" s="59" t="s">
        <v>1</v>
      </c>
      <c r="D89" s="115" t="s">
        <v>55</v>
      </c>
      <c r="E89" s="59" t="s">
        <v>61</v>
      </c>
      <c r="F89" s="115" t="s">
        <v>57</v>
      </c>
      <c r="G89" s="59" t="s">
        <v>58</v>
      </c>
      <c r="H89" s="59" t="s">
        <v>59</v>
      </c>
      <c r="I89" s="115" t="s">
        <v>62</v>
      </c>
      <c r="J89" s="125" t="s">
        <v>26</v>
      </c>
      <c r="K89" s="70">
        <v>1289</v>
      </c>
      <c r="L89" s="139">
        <v>654.1</v>
      </c>
      <c r="M89" s="116"/>
      <c r="N89" s="71">
        <f t="shared" si="1"/>
        <v>0</v>
      </c>
      <c r="O89" s="76"/>
    </row>
    <row r="90" spans="1:21" ht="15" customHeight="1" x14ac:dyDescent="0.3">
      <c r="A90" s="148">
        <v>77</v>
      </c>
      <c r="B90" s="59" t="s">
        <v>19</v>
      </c>
      <c r="C90" s="59" t="s">
        <v>1</v>
      </c>
      <c r="D90" s="115" t="s">
        <v>55</v>
      </c>
      <c r="E90" s="59" t="s">
        <v>63</v>
      </c>
      <c r="F90" s="115" t="s">
        <v>57</v>
      </c>
      <c r="G90" s="59" t="s">
        <v>58</v>
      </c>
      <c r="H90" s="59" t="s">
        <v>59</v>
      </c>
      <c r="I90" s="115" t="s">
        <v>32</v>
      </c>
      <c r="J90" s="125" t="s">
        <v>26</v>
      </c>
      <c r="K90" s="70">
        <v>1359</v>
      </c>
      <c r="L90" s="139">
        <v>689.6</v>
      </c>
      <c r="M90" s="116"/>
      <c r="N90" s="71">
        <f t="shared" si="1"/>
        <v>0</v>
      </c>
      <c r="O90" s="76"/>
    </row>
    <row r="91" spans="1:21" ht="15" customHeight="1" x14ac:dyDescent="0.3">
      <c r="A91" s="148">
        <v>78</v>
      </c>
      <c r="B91" s="59" t="s">
        <v>19</v>
      </c>
      <c r="C91" s="59" t="s">
        <v>1</v>
      </c>
      <c r="D91" s="115" t="s">
        <v>55</v>
      </c>
      <c r="E91" s="59" t="s">
        <v>64</v>
      </c>
      <c r="F91" s="115" t="s">
        <v>57</v>
      </c>
      <c r="G91" s="59" t="s">
        <v>58</v>
      </c>
      <c r="H91" s="59" t="s">
        <v>59</v>
      </c>
      <c r="I91" s="115" t="s">
        <v>34</v>
      </c>
      <c r="J91" s="125" t="s">
        <v>26</v>
      </c>
      <c r="K91" s="70">
        <v>1409</v>
      </c>
      <c r="L91" s="139">
        <v>715</v>
      </c>
      <c r="M91" s="116"/>
      <c r="N91" s="71">
        <f t="shared" si="1"/>
        <v>0</v>
      </c>
      <c r="O91" s="76"/>
    </row>
    <row r="92" spans="1:21" ht="15" customHeight="1" x14ac:dyDescent="0.3">
      <c r="A92" s="148">
        <v>79</v>
      </c>
      <c r="B92" s="59" t="s">
        <v>19</v>
      </c>
      <c r="C92" s="59" t="s">
        <v>1</v>
      </c>
      <c r="D92" s="115" t="s">
        <v>55</v>
      </c>
      <c r="E92" s="59" t="s">
        <v>65</v>
      </c>
      <c r="F92" s="115" t="s">
        <v>57</v>
      </c>
      <c r="G92" s="59" t="s">
        <v>58</v>
      </c>
      <c r="H92" s="59" t="s">
        <v>59</v>
      </c>
      <c r="I92" s="115" t="s">
        <v>36</v>
      </c>
      <c r="J92" s="125" t="s">
        <v>26</v>
      </c>
      <c r="K92" s="70">
        <v>1489</v>
      </c>
      <c r="L92" s="139">
        <v>755.6</v>
      </c>
      <c r="M92" s="116"/>
      <c r="N92" s="71">
        <f t="shared" si="1"/>
        <v>0</v>
      </c>
      <c r="O92" s="76"/>
    </row>
    <row r="93" spans="1:21" ht="15" customHeight="1" x14ac:dyDescent="0.3">
      <c r="A93" s="148">
        <v>80</v>
      </c>
      <c r="B93" s="59" t="s">
        <v>19</v>
      </c>
      <c r="C93" s="59" t="s">
        <v>1</v>
      </c>
      <c r="D93" s="115" t="s">
        <v>55</v>
      </c>
      <c r="E93" s="59" t="s">
        <v>66</v>
      </c>
      <c r="F93" s="115" t="s">
        <v>57</v>
      </c>
      <c r="G93" s="59" t="s">
        <v>58</v>
      </c>
      <c r="H93" s="59" t="s">
        <v>59</v>
      </c>
      <c r="I93" s="115" t="s">
        <v>38</v>
      </c>
      <c r="J93" s="125" t="s">
        <v>26</v>
      </c>
      <c r="K93" s="70">
        <v>1569</v>
      </c>
      <c r="L93" s="139">
        <v>796.2</v>
      </c>
      <c r="M93" s="116"/>
      <c r="N93" s="71">
        <f t="shared" si="1"/>
        <v>0</v>
      </c>
      <c r="O93" s="76"/>
    </row>
    <row r="94" spans="1:21" ht="15" customHeight="1" x14ac:dyDescent="0.3">
      <c r="A94" s="148">
        <v>81</v>
      </c>
      <c r="B94" s="59" t="s">
        <v>19</v>
      </c>
      <c r="C94" s="59" t="s">
        <v>1</v>
      </c>
      <c r="D94" s="115" t="s">
        <v>55</v>
      </c>
      <c r="E94" s="59" t="s">
        <v>67</v>
      </c>
      <c r="F94" s="115" t="s">
        <v>57</v>
      </c>
      <c r="G94" s="59" t="s">
        <v>58</v>
      </c>
      <c r="H94" s="59" t="s">
        <v>59</v>
      </c>
      <c r="I94" s="115" t="s">
        <v>40</v>
      </c>
      <c r="J94" s="125" t="s">
        <v>26</v>
      </c>
      <c r="K94" s="70">
        <v>1639</v>
      </c>
      <c r="L94" s="139">
        <v>831.7</v>
      </c>
      <c r="M94" s="116"/>
      <c r="N94" s="71">
        <f t="shared" si="1"/>
        <v>0</v>
      </c>
      <c r="O94" s="76"/>
    </row>
    <row r="95" spans="1:21" ht="15" customHeight="1" x14ac:dyDescent="0.3">
      <c r="A95" s="148">
        <v>82</v>
      </c>
      <c r="B95" s="59" t="s">
        <v>19</v>
      </c>
      <c r="C95" s="59" t="s">
        <v>1</v>
      </c>
      <c r="D95" s="115" t="s">
        <v>55</v>
      </c>
      <c r="E95" s="59" t="s">
        <v>68</v>
      </c>
      <c r="F95" s="115" t="s">
        <v>57</v>
      </c>
      <c r="G95" s="59" t="s">
        <v>58</v>
      </c>
      <c r="H95" s="59" t="s">
        <v>59</v>
      </c>
      <c r="I95" s="115" t="s">
        <v>42</v>
      </c>
      <c r="J95" s="125" t="s">
        <v>26</v>
      </c>
      <c r="K95" s="70">
        <v>1689</v>
      </c>
      <c r="L95" s="139">
        <v>857.1</v>
      </c>
      <c r="M95" s="116"/>
      <c r="N95" s="71">
        <f t="shared" si="1"/>
        <v>0</v>
      </c>
      <c r="O95" s="76"/>
    </row>
    <row r="96" spans="1:21" ht="15" customHeight="1" x14ac:dyDescent="0.3">
      <c r="A96" s="148">
        <v>83</v>
      </c>
      <c r="B96" s="59" t="s">
        <v>19</v>
      </c>
      <c r="C96" s="59" t="s">
        <v>1</v>
      </c>
      <c r="D96" s="115" t="s">
        <v>55</v>
      </c>
      <c r="E96" s="59" t="s">
        <v>69</v>
      </c>
      <c r="F96" s="115" t="s">
        <v>57</v>
      </c>
      <c r="G96" s="59" t="s">
        <v>58</v>
      </c>
      <c r="H96" s="59" t="s">
        <v>59</v>
      </c>
      <c r="I96" s="115" t="s">
        <v>52</v>
      </c>
      <c r="J96" s="125" t="s">
        <v>26</v>
      </c>
      <c r="K96" s="70">
        <v>1769</v>
      </c>
      <c r="L96" s="139">
        <v>897.7</v>
      </c>
      <c r="M96" s="116"/>
      <c r="N96" s="71">
        <f t="shared" si="1"/>
        <v>0</v>
      </c>
      <c r="O96" s="76"/>
    </row>
    <row r="97" spans="1:15" ht="15" customHeight="1" x14ac:dyDescent="0.3">
      <c r="A97" s="148">
        <v>84</v>
      </c>
      <c r="B97" s="59" t="s">
        <v>19</v>
      </c>
      <c r="C97" s="59" t="s">
        <v>1</v>
      </c>
      <c r="D97" s="115" t="s">
        <v>55</v>
      </c>
      <c r="E97" s="59" t="s">
        <v>70</v>
      </c>
      <c r="F97" s="115" t="s">
        <v>57</v>
      </c>
      <c r="G97" s="59" t="s">
        <v>58</v>
      </c>
      <c r="H97" s="59" t="s">
        <v>59</v>
      </c>
      <c r="I97" s="115" t="s">
        <v>71</v>
      </c>
      <c r="J97" s="125" t="s">
        <v>26</v>
      </c>
      <c r="K97" s="70">
        <v>1839</v>
      </c>
      <c r="L97" s="139">
        <v>933.2</v>
      </c>
      <c r="M97" s="116"/>
      <c r="N97" s="71">
        <f t="shared" si="1"/>
        <v>0</v>
      </c>
      <c r="O97" s="76"/>
    </row>
    <row r="98" spans="1:15" ht="15" customHeight="1" x14ac:dyDescent="0.3">
      <c r="A98" s="148">
        <v>85</v>
      </c>
      <c r="B98" s="59" t="s">
        <v>19</v>
      </c>
      <c r="C98" s="59" t="s">
        <v>1</v>
      </c>
      <c r="D98" s="115" t="s">
        <v>20</v>
      </c>
      <c r="E98" s="59" t="s">
        <v>21</v>
      </c>
      <c r="F98" s="115" t="s">
        <v>22</v>
      </c>
      <c r="G98" s="59" t="s">
        <v>23</v>
      </c>
      <c r="H98" s="59" t="s">
        <v>24</v>
      </c>
      <c r="I98" s="115" t="s">
        <v>25</v>
      </c>
      <c r="J98" s="125" t="s">
        <v>26</v>
      </c>
      <c r="K98" s="70">
        <v>225</v>
      </c>
      <c r="L98" s="139">
        <v>114.19999999999999</v>
      </c>
      <c r="M98" s="116"/>
      <c r="N98" s="71">
        <f t="shared" si="1"/>
        <v>0</v>
      </c>
      <c r="O98" s="76"/>
    </row>
    <row r="99" spans="1:15" ht="15" customHeight="1" x14ac:dyDescent="0.3">
      <c r="A99" s="148">
        <v>86</v>
      </c>
      <c r="B99" s="59" t="s">
        <v>157</v>
      </c>
      <c r="C99" s="59" t="s">
        <v>1</v>
      </c>
      <c r="D99" s="115" t="s">
        <v>174</v>
      </c>
      <c r="E99" s="59" t="s">
        <v>175</v>
      </c>
      <c r="F99" s="115" t="s">
        <v>176</v>
      </c>
      <c r="G99" s="16" t="s">
        <v>161</v>
      </c>
      <c r="H99" s="15" t="s">
        <v>162</v>
      </c>
      <c r="I99" s="15" t="s">
        <v>163</v>
      </c>
      <c r="J99" s="125" t="s">
        <v>101</v>
      </c>
      <c r="K99" s="70">
        <v>659</v>
      </c>
      <c r="L99" s="139">
        <v>345.6</v>
      </c>
      <c r="M99" s="116"/>
      <c r="N99" s="71">
        <f t="shared" si="1"/>
        <v>0</v>
      </c>
      <c r="O99" s="76"/>
    </row>
    <row r="100" spans="1:15" ht="15" customHeight="1" x14ac:dyDescent="0.3">
      <c r="A100" s="148">
        <v>87</v>
      </c>
      <c r="B100" s="59" t="s">
        <v>157</v>
      </c>
      <c r="C100" s="59" t="s">
        <v>1</v>
      </c>
      <c r="D100" s="115" t="s">
        <v>174</v>
      </c>
      <c r="E100" s="59" t="s">
        <v>177</v>
      </c>
      <c r="F100" s="115" t="s">
        <v>176</v>
      </c>
      <c r="G100" s="16" t="s">
        <v>161</v>
      </c>
      <c r="H100" s="15" t="s">
        <v>162</v>
      </c>
      <c r="I100" s="15" t="s">
        <v>165</v>
      </c>
      <c r="J100" s="125" t="s">
        <v>101</v>
      </c>
      <c r="K100" s="70">
        <v>659</v>
      </c>
      <c r="L100" s="139">
        <v>345.6</v>
      </c>
      <c r="M100" s="116"/>
      <c r="N100" s="71">
        <f t="shared" si="1"/>
        <v>0</v>
      </c>
      <c r="O100" s="76"/>
    </row>
    <row r="101" spans="1:15" ht="15" customHeight="1" x14ac:dyDescent="0.3">
      <c r="A101" s="148">
        <v>88</v>
      </c>
      <c r="B101" s="59" t="s">
        <v>157</v>
      </c>
      <c r="C101" s="59" t="s">
        <v>1</v>
      </c>
      <c r="D101" s="115" t="s">
        <v>174</v>
      </c>
      <c r="E101" s="59" t="s">
        <v>178</v>
      </c>
      <c r="F101" s="115" t="s">
        <v>176</v>
      </c>
      <c r="G101" s="16" t="s">
        <v>161</v>
      </c>
      <c r="H101" s="15" t="s">
        <v>162</v>
      </c>
      <c r="I101" s="15" t="s">
        <v>167</v>
      </c>
      <c r="J101" s="125" t="s">
        <v>101</v>
      </c>
      <c r="K101" s="70">
        <v>659</v>
      </c>
      <c r="L101" s="139">
        <v>345.6</v>
      </c>
      <c r="M101" s="116"/>
      <c r="N101" s="71">
        <f t="shared" si="1"/>
        <v>0</v>
      </c>
      <c r="O101" s="76"/>
    </row>
    <row r="102" spans="1:15" ht="15" customHeight="1" x14ac:dyDescent="0.3">
      <c r="A102" s="148">
        <v>89</v>
      </c>
      <c r="B102" s="59" t="s">
        <v>157</v>
      </c>
      <c r="C102" s="59" t="s">
        <v>1</v>
      </c>
      <c r="D102" s="115" t="s">
        <v>158</v>
      </c>
      <c r="E102" s="59" t="s">
        <v>159</v>
      </c>
      <c r="F102" s="115" t="s">
        <v>160</v>
      </c>
      <c r="G102" s="59" t="s">
        <v>161</v>
      </c>
      <c r="H102" s="59" t="s">
        <v>162</v>
      </c>
      <c r="I102" s="115" t="s">
        <v>163</v>
      </c>
      <c r="J102" s="125" t="s">
        <v>26</v>
      </c>
      <c r="K102" s="70">
        <v>449</v>
      </c>
      <c r="L102" s="139">
        <v>235.5</v>
      </c>
      <c r="M102" s="116"/>
      <c r="N102" s="71">
        <f t="shared" si="1"/>
        <v>0</v>
      </c>
      <c r="O102" s="76"/>
    </row>
    <row r="103" spans="1:15" ht="15" customHeight="1" x14ac:dyDescent="0.3">
      <c r="A103" s="148">
        <v>90</v>
      </c>
      <c r="B103" s="59" t="s">
        <v>157</v>
      </c>
      <c r="C103" s="59" t="s">
        <v>1</v>
      </c>
      <c r="D103" s="115" t="s">
        <v>158</v>
      </c>
      <c r="E103" s="59" t="s">
        <v>164</v>
      </c>
      <c r="F103" s="115" t="s">
        <v>160</v>
      </c>
      <c r="G103" s="59" t="s">
        <v>161</v>
      </c>
      <c r="H103" s="59" t="s">
        <v>162</v>
      </c>
      <c r="I103" s="115" t="s">
        <v>165</v>
      </c>
      <c r="J103" s="125" t="s">
        <v>26</v>
      </c>
      <c r="K103" s="70">
        <v>449</v>
      </c>
      <c r="L103" s="139">
        <v>235.5</v>
      </c>
      <c r="M103" s="116"/>
      <c r="N103" s="71">
        <f t="shared" si="1"/>
        <v>0</v>
      </c>
      <c r="O103" s="76"/>
    </row>
    <row r="104" spans="1:15" ht="15" customHeight="1" x14ac:dyDescent="0.3">
      <c r="A104" s="148">
        <v>91</v>
      </c>
      <c r="B104" s="59" t="s">
        <v>157</v>
      </c>
      <c r="C104" s="59" t="s">
        <v>1</v>
      </c>
      <c r="D104" s="115" t="s">
        <v>158</v>
      </c>
      <c r="E104" s="59" t="s">
        <v>166</v>
      </c>
      <c r="F104" s="115" t="s">
        <v>160</v>
      </c>
      <c r="G104" s="59" t="s">
        <v>161</v>
      </c>
      <c r="H104" s="59" t="s">
        <v>162</v>
      </c>
      <c r="I104" s="115" t="s">
        <v>167</v>
      </c>
      <c r="J104" s="125" t="s">
        <v>26</v>
      </c>
      <c r="K104" s="70">
        <v>449</v>
      </c>
      <c r="L104" s="139">
        <v>235.5</v>
      </c>
      <c r="M104" s="116"/>
      <c r="N104" s="71">
        <f t="shared" si="1"/>
        <v>0</v>
      </c>
      <c r="O104" s="76"/>
    </row>
    <row r="105" spans="1:15" ht="15" customHeight="1" x14ac:dyDescent="0.3">
      <c r="A105" s="148">
        <v>92</v>
      </c>
      <c r="B105" s="59" t="s">
        <v>157</v>
      </c>
      <c r="C105" s="59" t="s">
        <v>1</v>
      </c>
      <c r="D105" s="115" t="s">
        <v>168</v>
      </c>
      <c r="E105" s="59" t="s">
        <v>169</v>
      </c>
      <c r="F105" s="115" t="s">
        <v>170</v>
      </c>
      <c r="G105" s="59" t="s">
        <v>161</v>
      </c>
      <c r="H105" s="59" t="s">
        <v>162</v>
      </c>
      <c r="I105" s="115" t="s">
        <v>165</v>
      </c>
      <c r="J105" s="125" t="s">
        <v>26</v>
      </c>
      <c r="K105" s="70">
        <v>565</v>
      </c>
      <c r="L105" s="139">
        <v>296.3</v>
      </c>
      <c r="M105" s="116"/>
      <c r="N105" s="71">
        <f t="shared" si="1"/>
        <v>0</v>
      </c>
      <c r="O105" s="76"/>
    </row>
    <row r="106" spans="1:15" ht="15" customHeight="1" x14ac:dyDescent="0.3">
      <c r="A106" s="148">
        <v>93</v>
      </c>
      <c r="B106" s="59" t="s">
        <v>157</v>
      </c>
      <c r="C106" s="59" t="s">
        <v>1</v>
      </c>
      <c r="D106" s="115" t="s">
        <v>171</v>
      </c>
      <c r="E106" s="59" t="s">
        <v>172</v>
      </c>
      <c r="F106" s="115" t="s">
        <v>173</v>
      </c>
      <c r="G106" s="59" t="s">
        <v>161</v>
      </c>
      <c r="H106" s="59" t="s">
        <v>162</v>
      </c>
      <c r="I106" s="115" t="s">
        <v>163</v>
      </c>
      <c r="J106" s="125" t="s">
        <v>26</v>
      </c>
      <c r="K106" s="70">
        <v>665</v>
      </c>
      <c r="L106" s="139">
        <v>348.70000000000005</v>
      </c>
      <c r="M106" s="116"/>
      <c r="N106" s="71">
        <f t="shared" si="1"/>
        <v>0</v>
      </c>
      <c r="O106" s="76"/>
    </row>
    <row r="107" spans="1:15" ht="15" customHeight="1" x14ac:dyDescent="0.3">
      <c r="A107" s="148">
        <v>94</v>
      </c>
      <c r="B107" s="59" t="s">
        <v>179</v>
      </c>
      <c r="C107" s="59" t="s">
        <v>1</v>
      </c>
      <c r="D107" s="115" t="s">
        <v>208</v>
      </c>
      <c r="E107" s="59" t="s">
        <v>209</v>
      </c>
      <c r="F107" s="115" t="s">
        <v>210</v>
      </c>
      <c r="G107" s="59" t="s">
        <v>211</v>
      </c>
      <c r="H107" s="59" t="s">
        <v>212</v>
      </c>
      <c r="I107" s="115" t="s">
        <v>213</v>
      </c>
      <c r="J107" s="125" t="s">
        <v>101</v>
      </c>
      <c r="K107" s="70">
        <v>619</v>
      </c>
      <c r="L107" s="139">
        <v>327.70000000000005</v>
      </c>
      <c r="M107" s="116"/>
      <c r="N107" s="71">
        <f t="shared" si="1"/>
        <v>0</v>
      </c>
      <c r="O107" s="76"/>
    </row>
    <row r="108" spans="1:15" ht="15" customHeight="1" x14ac:dyDescent="0.3">
      <c r="A108" s="148">
        <v>95</v>
      </c>
      <c r="B108" s="59" t="s">
        <v>179</v>
      </c>
      <c r="C108" s="59" t="s">
        <v>1</v>
      </c>
      <c r="D108" s="115" t="s">
        <v>208</v>
      </c>
      <c r="E108" s="59" t="s">
        <v>214</v>
      </c>
      <c r="F108" s="115" t="s">
        <v>210</v>
      </c>
      <c r="G108" s="59" t="s">
        <v>211</v>
      </c>
      <c r="H108" s="59" t="s">
        <v>212</v>
      </c>
      <c r="I108" s="115" t="s">
        <v>215</v>
      </c>
      <c r="J108" s="125" t="s">
        <v>101</v>
      </c>
      <c r="K108" s="70">
        <v>619</v>
      </c>
      <c r="L108" s="139">
        <v>327.70000000000005</v>
      </c>
      <c r="M108" s="116"/>
      <c r="N108" s="71">
        <f t="shared" si="1"/>
        <v>0</v>
      </c>
      <c r="O108" s="76"/>
    </row>
    <row r="109" spans="1:15" ht="15" customHeight="1" x14ac:dyDescent="0.3">
      <c r="A109" s="148">
        <v>96</v>
      </c>
      <c r="B109" s="59" t="s">
        <v>179</v>
      </c>
      <c r="C109" s="59" t="s">
        <v>1</v>
      </c>
      <c r="D109" s="115" t="s">
        <v>208</v>
      </c>
      <c r="E109" s="59" t="s">
        <v>216</v>
      </c>
      <c r="F109" s="115" t="s">
        <v>210</v>
      </c>
      <c r="G109" s="59" t="s">
        <v>211</v>
      </c>
      <c r="H109" s="59" t="s">
        <v>212</v>
      </c>
      <c r="I109" s="115" t="s">
        <v>217</v>
      </c>
      <c r="J109" s="125" t="s">
        <v>101</v>
      </c>
      <c r="K109" s="70">
        <v>619</v>
      </c>
      <c r="L109" s="139">
        <v>327.70000000000005</v>
      </c>
      <c r="M109" s="116"/>
      <c r="N109" s="71">
        <f t="shared" si="1"/>
        <v>0</v>
      </c>
      <c r="O109" s="76"/>
    </row>
    <row r="110" spans="1:15" ht="15" customHeight="1" x14ac:dyDescent="0.3">
      <c r="A110" s="148">
        <v>97</v>
      </c>
      <c r="B110" s="59" t="s">
        <v>179</v>
      </c>
      <c r="C110" s="59" t="s">
        <v>1</v>
      </c>
      <c r="D110" s="115" t="s">
        <v>208</v>
      </c>
      <c r="E110" s="59" t="s">
        <v>218</v>
      </c>
      <c r="F110" s="115" t="s">
        <v>210</v>
      </c>
      <c r="G110" s="59" t="s">
        <v>211</v>
      </c>
      <c r="H110" s="59" t="s">
        <v>212</v>
      </c>
      <c r="I110" s="115" t="s">
        <v>219</v>
      </c>
      <c r="J110" s="125" t="s">
        <v>101</v>
      </c>
      <c r="K110" s="70">
        <v>619</v>
      </c>
      <c r="L110" s="139">
        <v>327.70000000000005</v>
      </c>
      <c r="M110" s="116"/>
      <c r="N110" s="71">
        <f t="shared" si="1"/>
        <v>0</v>
      </c>
      <c r="O110" s="76"/>
    </row>
    <row r="111" spans="1:15" ht="15" customHeight="1" x14ac:dyDescent="0.3">
      <c r="A111" s="148">
        <v>98</v>
      </c>
      <c r="B111" s="59" t="s">
        <v>179</v>
      </c>
      <c r="C111" s="59" t="s">
        <v>1</v>
      </c>
      <c r="D111" s="115" t="s">
        <v>208</v>
      </c>
      <c r="E111" s="59" t="s">
        <v>220</v>
      </c>
      <c r="F111" s="115" t="s">
        <v>210</v>
      </c>
      <c r="G111" s="59" t="s">
        <v>211</v>
      </c>
      <c r="H111" s="59" t="s">
        <v>212</v>
      </c>
      <c r="I111" s="115" t="s">
        <v>221</v>
      </c>
      <c r="J111" s="125" t="s">
        <v>101</v>
      </c>
      <c r="K111" s="70">
        <v>619</v>
      </c>
      <c r="L111" s="139">
        <v>327.70000000000005</v>
      </c>
      <c r="M111" s="116"/>
      <c r="N111" s="71">
        <f t="shared" si="1"/>
        <v>0</v>
      </c>
      <c r="O111" s="76"/>
    </row>
    <row r="112" spans="1:15" ht="15" customHeight="1" x14ac:dyDescent="0.3">
      <c r="A112" s="148">
        <v>99</v>
      </c>
      <c r="B112" s="59" t="s">
        <v>179</v>
      </c>
      <c r="C112" s="59" t="s">
        <v>1</v>
      </c>
      <c r="D112" s="115" t="s">
        <v>208</v>
      </c>
      <c r="E112" s="59" t="s">
        <v>222</v>
      </c>
      <c r="F112" s="115" t="s">
        <v>210</v>
      </c>
      <c r="G112" s="59" t="s">
        <v>211</v>
      </c>
      <c r="H112" s="59" t="s">
        <v>212</v>
      </c>
      <c r="I112" s="115" t="s">
        <v>223</v>
      </c>
      <c r="J112" s="125" t="s">
        <v>101</v>
      </c>
      <c r="K112" s="70">
        <v>619</v>
      </c>
      <c r="L112" s="139">
        <v>327.70000000000005</v>
      </c>
      <c r="M112" s="116"/>
      <c r="N112" s="71">
        <f t="shared" si="1"/>
        <v>0</v>
      </c>
      <c r="O112" s="76"/>
    </row>
    <row r="113" spans="1:21" ht="15" customHeight="1" x14ac:dyDescent="0.3">
      <c r="A113" s="148">
        <v>100</v>
      </c>
      <c r="B113" s="59" t="s">
        <v>179</v>
      </c>
      <c r="C113" s="59" t="s">
        <v>1</v>
      </c>
      <c r="D113" s="115" t="s">
        <v>252</v>
      </c>
      <c r="E113" s="59" t="s">
        <v>253</v>
      </c>
      <c r="F113" s="115" t="s">
        <v>254</v>
      </c>
      <c r="G113" s="59" t="s">
        <v>255</v>
      </c>
      <c r="H113" s="59" t="s">
        <v>256</v>
      </c>
      <c r="I113" s="115" t="s">
        <v>213</v>
      </c>
      <c r="J113" s="125" t="s">
        <v>26</v>
      </c>
      <c r="K113" s="70">
        <v>1599</v>
      </c>
      <c r="L113" s="139">
        <v>846.5</v>
      </c>
      <c r="M113" s="116"/>
      <c r="N113" s="71">
        <f t="shared" si="1"/>
        <v>0</v>
      </c>
      <c r="O113" s="76"/>
    </row>
    <row r="114" spans="1:21" ht="15" customHeight="1" x14ac:dyDescent="0.3">
      <c r="A114" s="148">
        <v>101</v>
      </c>
      <c r="B114" s="59" t="s">
        <v>179</v>
      </c>
      <c r="C114" s="59" t="s">
        <v>1</v>
      </c>
      <c r="D114" s="115" t="s">
        <v>252</v>
      </c>
      <c r="E114" s="59" t="s">
        <v>257</v>
      </c>
      <c r="F114" s="115" t="s">
        <v>254</v>
      </c>
      <c r="G114" s="59" t="s">
        <v>255</v>
      </c>
      <c r="H114" s="59" t="s">
        <v>256</v>
      </c>
      <c r="I114" s="115" t="s">
        <v>215</v>
      </c>
      <c r="J114" s="125" t="s">
        <v>26</v>
      </c>
      <c r="K114" s="70">
        <v>1599</v>
      </c>
      <c r="L114" s="139">
        <v>846.5</v>
      </c>
      <c r="M114" s="116"/>
      <c r="N114" s="71">
        <f t="shared" si="1"/>
        <v>0</v>
      </c>
      <c r="O114" s="76"/>
    </row>
    <row r="115" spans="1:21" ht="15" customHeight="1" x14ac:dyDescent="0.3">
      <c r="A115" s="148">
        <v>102</v>
      </c>
      <c r="B115" s="59" t="s">
        <v>179</v>
      </c>
      <c r="C115" s="59" t="s">
        <v>1</v>
      </c>
      <c r="D115" s="115" t="s">
        <v>252</v>
      </c>
      <c r="E115" s="59" t="s">
        <v>258</v>
      </c>
      <c r="F115" s="115" t="s">
        <v>254</v>
      </c>
      <c r="G115" s="59" t="s">
        <v>255</v>
      </c>
      <c r="H115" s="59" t="s">
        <v>256</v>
      </c>
      <c r="I115" s="115" t="s">
        <v>217</v>
      </c>
      <c r="J115" s="125" t="s">
        <v>26</v>
      </c>
      <c r="K115" s="70">
        <v>1599</v>
      </c>
      <c r="L115" s="139">
        <v>846.5</v>
      </c>
      <c r="M115" s="116"/>
      <c r="N115" s="71">
        <f t="shared" si="1"/>
        <v>0</v>
      </c>
      <c r="O115" s="76"/>
    </row>
    <row r="116" spans="1:21" ht="15" customHeight="1" x14ac:dyDescent="0.3">
      <c r="A116" s="148">
        <v>103</v>
      </c>
      <c r="B116" s="59" t="s">
        <v>179</v>
      </c>
      <c r="C116" s="59" t="s">
        <v>1</v>
      </c>
      <c r="D116" s="115" t="s">
        <v>252</v>
      </c>
      <c r="E116" s="59" t="s">
        <v>259</v>
      </c>
      <c r="F116" s="115" t="s">
        <v>254</v>
      </c>
      <c r="G116" s="59" t="s">
        <v>255</v>
      </c>
      <c r="H116" s="59" t="s">
        <v>256</v>
      </c>
      <c r="I116" s="115" t="s">
        <v>219</v>
      </c>
      <c r="J116" s="125" t="s">
        <v>26</v>
      </c>
      <c r="K116" s="70">
        <v>1599</v>
      </c>
      <c r="L116" s="139">
        <v>846.5</v>
      </c>
      <c r="M116" s="116"/>
      <c r="N116" s="71">
        <f t="shared" si="1"/>
        <v>0</v>
      </c>
      <c r="O116" s="76"/>
    </row>
    <row r="117" spans="1:21" ht="15" customHeight="1" x14ac:dyDescent="0.3">
      <c r="A117" s="148">
        <v>104</v>
      </c>
      <c r="B117" s="59" t="s">
        <v>179</v>
      </c>
      <c r="C117" s="59" t="s">
        <v>1</v>
      </c>
      <c r="D117" s="115" t="s">
        <v>244</v>
      </c>
      <c r="E117" s="59" t="s">
        <v>245</v>
      </c>
      <c r="F117" s="115" t="s">
        <v>246</v>
      </c>
      <c r="G117" s="59" t="s">
        <v>247</v>
      </c>
      <c r="H117" s="59" t="s">
        <v>248</v>
      </c>
      <c r="I117" s="115" t="s">
        <v>213</v>
      </c>
      <c r="J117" s="125" t="s">
        <v>26</v>
      </c>
      <c r="K117" s="70">
        <v>1159</v>
      </c>
      <c r="L117" s="139">
        <v>613.6</v>
      </c>
      <c r="M117" s="116"/>
      <c r="N117" s="71">
        <f t="shared" si="1"/>
        <v>0</v>
      </c>
      <c r="O117" s="76"/>
    </row>
    <row r="118" spans="1:21" ht="15" customHeight="1" x14ac:dyDescent="0.3">
      <c r="A118" s="148">
        <v>105</v>
      </c>
      <c r="B118" s="59" t="s">
        <v>179</v>
      </c>
      <c r="C118" s="59" t="s">
        <v>1</v>
      </c>
      <c r="D118" s="115" t="s">
        <v>244</v>
      </c>
      <c r="E118" s="59" t="s">
        <v>249</v>
      </c>
      <c r="F118" s="115" t="s">
        <v>246</v>
      </c>
      <c r="G118" s="59" t="s">
        <v>247</v>
      </c>
      <c r="H118" s="59" t="s">
        <v>248</v>
      </c>
      <c r="I118" s="115" t="s">
        <v>215</v>
      </c>
      <c r="J118" s="125" t="s">
        <v>26</v>
      </c>
      <c r="K118" s="70">
        <v>1159</v>
      </c>
      <c r="L118" s="139">
        <v>613.6</v>
      </c>
      <c r="M118" s="116"/>
      <c r="N118" s="71">
        <f t="shared" si="1"/>
        <v>0</v>
      </c>
      <c r="O118" s="76"/>
    </row>
    <row r="119" spans="1:21" ht="15" customHeight="1" x14ac:dyDescent="0.3">
      <c r="A119" s="148">
        <v>106</v>
      </c>
      <c r="B119" s="59" t="s">
        <v>179</v>
      </c>
      <c r="C119" s="59" t="s">
        <v>1</v>
      </c>
      <c r="D119" s="115" t="s">
        <v>244</v>
      </c>
      <c r="E119" s="59" t="s">
        <v>250</v>
      </c>
      <c r="F119" s="115" t="s">
        <v>246</v>
      </c>
      <c r="G119" s="59" t="s">
        <v>247</v>
      </c>
      <c r="H119" s="59" t="s">
        <v>248</v>
      </c>
      <c r="I119" s="115" t="s">
        <v>217</v>
      </c>
      <c r="J119" s="125" t="s">
        <v>26</v>
      </c>
      <c r="K119" s="70">
        <v>1159</v>
      </c>
      <c r="L119" s="139">
        <v>613.6</v>
      </c>
      <c r="M119" s="116"/>
      <c r="N119" s="71">
        <f t="shared" si="1"/>
        <v>0</v>
      </c>
      <c r="O119" s="76"/>
    </row>
    <row r="120" spans="1:21" ht="15" customHeight="1" x14ac:dyDescent="0.3">
      <c r="A120" s="148">
        <v>107</v>
      </c>
      <c r="B120" s="59" t="s">
        <v>179</v>
      </c>
      <c r="C120" s="59" t="s">
        <v>1</v>
      </c>
      <c r="D120" s="115" t="s">
        <v>244</v>
      </c>
      <c r="E120" s="59" t="s">
        <v>251</v>
      </c>
      <c r="F120" s="115" t="s">
        <v>246</v>
      </c>
      <c r="G120" s="59" t="s">
        <v>247</v>
      </c>
      <c r="H120" s="59" t="s">
        <v>248</v>
      </c>
      <c r="I120" s="115" t="s">
        <v>219</v>
      </c>
      <c r="J120" s="125" t="s">
        <v>26</v>
      </c>
      <c r="K120" s="70">
        <v>1159</v>
      </c>
      <c r="L120" s="139">
        <v>613.6</v>
      </c>
      <c r="M120" s="116"/>
      <c r="N120" s="71">
        <f t="shared" si="1"/>
        <v>0</v>
      </c>
      <c r="O120" s="76"/>
    </row>
    <row r="121" spans="1:21" s="73" customFormat="1" ht="15" customHeight="1" x14ac:dyDescent="0.3">
      <c r="A121" s="148">
        <v>108</v>
      </c>
      <c r="B121" s="59" t="s">
        <v>179</v>
      </c>
      <c r="C121" s="59" t="s">
        <v>1</v>
      </c>
      <c r="D121" s="115" t="s">
        <v>236</v>
      </c>
      <c r="E121" s="59" t="s">
        <v>237</v>
      </c>
      <c r="F121" s="115" t="s">
        <v>238</v>
      </c>
      <c r="G121" s="59" t="s">
        <v>239</v>
      </c>
      <c r="H121" s="59" t="s">
        <v>240</v>
      </c>
      <c r="I121" s="115" t="s">
        <v>213</v>
      </c>
      <c r="J121" s="125" t="s">
        <v>26</v>
      </c>
      <c r="K121" s="70">
        <v>799</v>
      </c>
      <c r="L121" s="139">
        <v>423</v>
      </c>
      <c r="M121" s="116"/>
      <c r="N121" s="71">
        <f t="shared" si="1"/>
        <v>0</v>
      </c>
      <c r="O121" s="76"/>
      <c r="P121"/>
      <c r="Q121"/>
      <c r="R121"/>
      <c r="S121"/>
      <c r="T121"/>
      <c r="U121"/>
    </row>
    <row r="122" spans="1:21" ht="15" customHeight="1" x14ac:dyDescent="0.3">
      <c r="A122" s="148">
        <v>109</v>
      </c>
      <c r="B122" s="59" t="s">
        <v>179</v>
      </c>
      <c r="C122" s="59" t="s">
        <v>1</v>
      </c>
      <c r="D122" s="115" t="s">
        <v>236</v>
      </c>
      <c r="E122" s="59" t="s">
        <v>241</v>
      </c>
      <c r="F122" s="115" t="s">
        <v>238</v>
      </c>
      <c r="G122" s="59" t="s">
        <v>239</v>
      </c>
      <c r="H122" s="59" t="s">
        <v>240</v>
      </c>
      <c r="I122" s="115" t="s">
        <v>215</v>
      </c>
      <c r="J122" s="125" t="s">
        <v>26</v>
      </c>
      <c r="K122" s="70">
        <v>799</v>
      </c>
      <c r="L122" s="139">
        <v>423</v>
      </c>
      <c r="M122" s="116"/>
      <c r="N122" s="71">
        <f t="shared" si="1"/>
        <v>0</v>
      </c>
      <c r="O122" s="76"/>
    </row>
    <row r="123" spans="1:21" ht="15" customHeight="1" x14ac:dyDescent="0.3">
      <c r="A123" s="148">
        <v>110</v>
      </c>
      <c r="B123" s="59" t="s">
        <v>179</v>
      </c>
      <c r="C123" s="59" t="s">
        <v>1</v>
      </c>
      <c r="D123" s="115" t="s">
        <v>236</v>
      </c>
      <c r="E123" s="59" t="s">
        <v>242</v>
      </c>
      <c r="F123" s="115" t="s">
        <v>238</v>
      </c>
      <c r="G123" s="59" t="s">
        <v>239</v>
      </c>
      <c r="H123" s="59" t="s">
        <v>240</v>
      </c>
      <c r="I123" s="115" t="s">
        <v>217</v>
      </c>
      <c r="J123" s="125" t="s">
        <v>26</v>
      </c>
      <c r="K123" s="70">
        <v>799</v>
      </c>
      <c r="L123" s="139">
        <v>423</v>
      </c>
      <c r="M123" s="116"/>
      <c r="N123" s="71">
        <f t="shared" si="1"/>
        <v>0</v>
      </c>
      <c r="O123" s="76"/>
    </row>
    <row r="124" spans="1:21" ht="15" customHeight="1" x14ac:dyDescent="0.3">
      <c r="A124" s="148">
        <v>111</v>
      </c>
      <c r="B124" s="59" t="s">
        <v>179</v>
      </c>
      <c r="C124" s="59" t="s">
        <v>1</v>
      </c>
      <c r="D124" s="115" t="s">
        <v>236</v>
      </c>
      <c r="E124" s="59" t="s">
        <v>243</v>
      </c>
      <c r="F124" s="115" t="s">
        <v>238</v>
      </c>
      <c r="G124" s="59" t="s">
        <v>239</v>
      </c>
      <c r="H124" s="59" t="s">
        <v>240</v>
      </c>
      <c r="I124" s="115" t="s">
        <v>219</v>
      </c>
      <c r="J124" s="125" t="s">
        <v>26</v>
      </c>
      <c r="K124" s="70">
        <v>799</v>
      </c>
      <c r="L124" s="139">
        <v>423</v>
      </c>
      <c r="M124" s="116"/>
      <c r="N124" s="71">
        <f t="shared" si="1"/>
        <v>0</v>
      </c>
      <c r="O124" s="76"/>
    </row>
    <row r="125" spans="1:21" ht="15" customHeight="1" x14ac:dyDescent="0.3">
      <c r="A125" s="148">
        <v>112</v>
      </c>
      <c r="B125" s="59" t="s">
        <v>179</v>
      </c>
      <c r="C125" s="59" t="s">
        <v>1</v>
      </c>
      <c r="D125" s="115" t="s">
        <v>224</v>
      </c>
      <c r="E125" s="59" t="s">
        <v>225</v>
      </c>
      <c r="F125" s="115" t="s">
        <v>226</v>
      </c>
      <c r="G125" s="59" t="s">
        <v>227</v>
      </c>
      <c r="H125" s="59" t="s">
        <v>228</v>
      </c>
      <c r="I125" s="115" t="s">
        <v>229</v>
      </c>
      <c r="J125" s="125" t="s">
        <v>26</v>
      </c>
      <c r="K125" s="70">
        <v>749</v>
      </c>
      <c r="L125" s="139">
        <v>396.6</v>
      </c>
      <c r="M125" s="116"/>
      <c r="N125" s="71">
        <f t="shared" si="1"/>
        <v>0</v>
      </c>
      <c r="O125" s="76"/>
    </row>
    <row r="126" spans="1:21" ht="15" customHeight="1" x14ac:dyDescent="0.3">
      <c r="A126" s="148">
        <v>113</v>
      </c>
      <c r="B126" s="59" t="s">
        <v>179</v>
      </c>
      <c r="C126" s="59" t="s">
        <v>1</v>
      </c>
      <c r="D126" s="115" t="s">
        <v>224</v>
      </c>
      <c r="E126" s="59" t="s">
        <v>230</v>
      </c>
      <c r="F126" s="115" t="s">
        <v>226</v>
      </c>
      <c r="G126" s="59" t="s">
        <v>227</v>
      </c>
      <c r="H126" s="59" t="s">
        <v>228</v>
      </c>
      <c r="I126" s="115" t="s">
        <v>231</v>
      </c>
      <c r="J126" s="125" t="s">
        <v>26</v>
      </c>
      <c r="K126" s="70">
        <v>749</v>
      </c>
      <c r="L126" s="139">
        <v>396.6</v>
      </c>
      <c r="M126" s="116"/>
      <c r="N126" s="71">
        <f t="shared" si="1"/>
        <v>0</v>
      </c>
      <c r="O126" s="76"/>
    </row>
    <row r="127" spans="1:21" ht="15" customHeight="1" x14ac:dyDescent="0.3">
      <c r="A127" s="148">
        <v>114</v>
      </c>
      <c r="B127" s="59" t="s">
        <v>179</v>
      </c>
      <c r="C127" s="59" t="s">
        <v>1</v>
      </c>
      <c r="D127" s="115" t="s">
        <v>224</v>
      </c>
      <c r="E127" s="59" t="s">
        <v>232</v>
      </c>
      <c r="F127" s="115" t="s">
        <v>226</v>
      </c>
      <c r="G127" s="59" t="s">
        <v>227</v>
      </c>
      <c r="H127" s="59" t="s">
        <v>228</v>
      </c>
      <c r="I127" s="115" t="s">
        <v>233</v>
      </c>
      <c r="J127" s="125" t="s">
        <v>26</v>
      </c>
      <c r="K127" s="70">
        <v>749</v>
      </c>
      <c r="L127" s="139">
        <v>396.6</v>
      </c>
      <c r="M127" s="116"/>
      <c r="N127" s="71">
        <f t="shared" si="1"/>
        <v>0</v>
      </c>
      <c r="O127" s="76"/>
    </row>
    <row r="128" spans="1:21" ht="15" customHeight="1" x14ac:dyDescent="0.3">
      <c r="A128" s="148">
        <v>115</v>
      </c>
      <c r="B128" s="59" t="s">
        <v>179</v>
      </c>
      <c r="C128" s="59" t="s">
        <v>1</v>
      </c>
      <c r="D128" s="115" t="s">
        <v>224</v>
      </c>
      <c r="E128" s="59" t="s">
        <v>234</v>
      </c>
      <c r="F128" s="115" t="s">
        <v>226</v>
      </c>
      <c r="G128" s="59" t="s">
        <v>227</v>
      </c>
      <c r="H128" s="59" t="s">
        <v>228</v>
      </c>
      <c r="I128" s="115" t="s">
        <v>235</v>
      </c>
      <c r="J128" s="125" t="s">
        <v>26</v>
      </c>
      <c r="K128" s="70">
        <v>749</v>
      </c>
      <c r="L128" s="139">
        <v>396.6</v>
      </c>
      <c r="M128" s="116"/>
      <c r="N128" s="71">
        <f t="shared" si="1"/>
        <v>0</v>
      </c>
      <c r="O128" s="76"/>
    </row>
    <row r="129" spans="1:15" ht="15" customHeight="1" x14ac:dyDescent="0.3">
      <c r="A129" s="148">
        <v>116</v>
      </c>
      <c r="B129" s="59" t="s">
        <v>179</v>
      </c>
      <c r="C129" s="59" t="s">
        <v>1</v>
      </c>
      <c r="D129" s="115" t="s">
        <v>180</v>
      </c>
      <c r="E129" s="59" t="s">
        <v>181</v>
      </c>
      <c r="F129" s="115" t="s">
        <v>182</v>
      </c>
      <c r="G129" s="59" t="s">
        <v>183</v>
      </c>
      <c r="H129" s="59" t="s">
        <v>184</v>
      </c>
      <c r="I129" s="115" t="s">
        <v>185</v>
      </c>
      <c r="J129" s="125" t="s">
        <v>26</v>
      </c>
      <c r="K129" s="70">
        <v>769</v>
      </c>
      <c r="L129" s="139">
        <v>407.1</v>
      </c>
      <c r="M129" s="116"/>
      <c r="N129" s="71">
        <f t="shared" si="1"/>
        <v>0</v>
      </c>
      <c r="O129" s="76"/>
    </row>
    <row r="130" spans="1:15" ht="15" customHeight="1" x14ac:dyDescent="0.3">
      <c r="A130" s="148">
        <v>117</v>
      </c>
      <c r="B130" s="59" t="s">
        <v>179</v>
      </c>
      <c r="C130" s="59" t="s">
        <v>1</v>
      </c>
      <c r="D130" s="115" t="s">
        <v>180</v>
      </c>
      <c r="E130" s="59" t="s">
        <v>186</v>
      </c>
      <c r="F130" s="115" t="s">
        <v>182</v>
      </c>
      <c r="G130" s="59" t="s">
        <v>183</v>
      </c>
      <c r="H130" s="59" t="s">
        <v>184</v>
      </c>
      <c r="I130" s="115" t="s">
        <v>187</v>
      </c>
      <c r="J130" s="125" t="s">
        <v>26</v>
      </c>
      <c r="K130" s="70">
        <v>769</v>
      </c>
      <c r="L130" s="139">
        <v>407.1</v>
      </c>
      <c r="M130" s="116"/>
      <c r="N130" s="71">
        <f t="shared" si="1"/>
        <v>0</v>
      </c>
      <c r="O130" s="76"/>
    </row>
    <row r="131" spans="1:15" ht="15" customHeight="1" x14ac:dyDescent="0.3">
      <c r="A131" s="148">
        <v>118</v>
      </c>
      <c r="B131" s="59" t="s">
        <v>179</v>
      </c>
      <c r="C131" s="59" t="s">
        <v>1</v>
      </c>
      <c r="D131" s="115" t="s">
        <v>180</v>
      </c>
      <c r="E131" s="59" t="s">
        <v>188</v>
      </c>
      <c r="F131" s="115" t="s">
        <v>182</v>
      </c>
      <c r="G131" s="59" t="s">
        <v>183</v>
      </c>
      <c r="H131" s="59" t="s">
        <v>184</v>
      </c>
      <c r="I131" s="115" t="s">
        <v>189</v>
      </c>
      <c r="J131" s="125" t="s">
        <v>26</v>
      </c>
      <c r="K131" s="70">
        <v>769</v>
      </c>
      <c r="L131" s="139">
        <v>407.1</v>
      </c>
      <c r="M131" s="116"/>
      <c r="N131" s="71">
        <f t="shared" si="1"/>
        <v>0</v>
      </c>
      <c r="O131" s="76"/>
    </row>
    <row r="132" spans="1:15" ht="15" customHeight="1" x14ac:dyDescent="0.3">
      <c r="A132" s="148">
        <v>119</v>
      </c>
      <c r="B132" s="59" t="s">
        <v>179</v>
      </c>
      <c r="C132" s="59" t="s">
        <v>1</v>
      </c>
      <c r="D132" s="115" t="s">
        <v>180</v>
      </c>
      <c r="E132" s="59" t="s">
        <v>190</v>
      </c>
      <c r="F132" s="115" t="s">
        <v>182</v>
      </c>
      <c r="G132" s="59" t="s">
        <v>183</v>
      </c>
      <c r="H132" s="59" t="s">
        <v>184</v>
      </c>
      <c r="I132" s="115" t="s">
        <v>191</v>
      </c>
      <c r="J132" s="125" t="s">
        <v>26</v>
      </c>
      <c r="K132" s="70">
        <v>769</v>
      </c>
      <c r="L132" s="139">
        <v>407.1</v>
      </c>
      <c r="M132" s="116"/>
      <c r="N132" s="71">
        <f t="shared" si="1"/>
        <v>0</v>
      </c>
      <c r="O132" s="76"/>
    </row>
    <row r="133" spans="1:15" ht="12.75" customHeight="1" x14ac:dyDescent="0.3">
      <c r="A133" s="148">
        <v>120</v>
      </c>
      <c r="B133" s="59" t="s">
        <v>179</v>
      </c>
      <c r="C133" s="59" t="s">
        <v>1</v>
      </c>
      <c r="D133" s="115" t="s">
        <v>200</v>
      </c>
      <c r="E133" s="59" t="s">
        <v>201</v>
      </c>
      <c r="F133" s="115" t="s">
        <v>202</v>
      </c>
      <c r="G133" s="59" t="s">
        <v>203</v>
      </c>
      <c r="H133" s="59" t="s">
        <v>204</v>
      </c>
      <c r="I133" s="115" t="s">
        <v>205</v>
      </c>
      <c r="J133" s="125" t="s">
        <v>26</v>
      </c>
      <c r="K133" s="70">
        <v>779</v>
      </c>
      <c r="L133" s="139">
        <v>412.40000000000003</v>
      </c>
      <c r="M133" s="116"/>
      <c r="N133" s="71">
        <f t="shared" si="1"/>
        <v>0</v>
      </c>
      <c r="O133" s="76"/>
    </row>
    <row r="134" spans="1:15" x14ac:dyDescent="0.3">
      <c r="A134" s="148">
        <v>121</v>
      </c>
      <c r="B134" s="59" t="s">
        <v>179</v>
      </c>
      <c r="C134" s="59" t="s">
        <v>1</v>
      </c>
      <c r="D134" s="115" t="s">
        <v>200</v>
      </c>
      <c r="E134" s="59" t="s">
        <v>206</v>
      </c>
      <c r="F134" s="115" t="s">
        <v>202</v>
      </c>
      <c r="G134" s="59" t="s">
        <v>203</v>
      </c>
      <c r="H134" s="59" t="s">
        <v>204</v>
      </c>
      <c r="I134" s="115" t="s">
        <v>207</v>
      </c>
      <c r="J134" s="125" t="s">
        <v>26</v>
      </c>
      <c r="K134" s="70">
        <v>779</v>
      </c>
      <c r="L134" s="139">
        <v>412.40000000000003</v>
      </c>
      <c r="M134" s="116"/>
      <c r="N134" s="71">
        <f t="shared" si="1"/>
        <v>0</v>
      </c>
      <c r="O134" s="76"/>
    </row>
    <row r="135" spans="1:15" ht="12.75" customHeight="1" x14ac:dyDescent="0.3">
      <c r="A135" s="148">
        <v>122</v>
      </c>
      <c r="B135" s="59" t="s">
        <v>179</v>
      </c>
      <c r="C135" s="59" t="s">
        <v>1</v>
      </c>
      <c r="D135" s="115" t="s">
        <v>192</v>
      </c>
      <c r="E135" s="59" t="s">
        <v>193</v>
      </c>
      <c r="F135" s="115" t="s">
        <v>194</v>
      </c>
      <c r="G135" s="59" t="s">
        <v>58</v>
      </c>
      <c r="H135" s="59" t="s">
        <v>59</v>
      </c>
      <c r="I135" s="115" t="s">
        <v>195</v>
      </c>
      <c r="J135" s="125" t="s">
        <v>26</v>
      </c>
      <c r="K135" s="70">
        <v>779</v>
      </c>
      <c r="L135" s="139">
        <v>412.40000000000003</v>
      </c>
      <c r="M135" s="116"/>
      <c r="N135" s="71">
        <f t="shared" si="1"/>
        <v>0</v>
      </c>
      <c r="O135" s="76"/>
    </row>
    <row r="136" spans="1:15" ht="12.75" customHeight="1" x14ac:dyDescent="0.3">
      <c r="A136" s="148">
        <v>123</v>
      </c>
      <c r="B136" s="59" t="s">
        <v>179</v>
      </c>
      <c r="C136" s="59" t="s">
        <v>1</v>
      </c>
      <c r="D136" s="115" t="s">
        <v>192</v>
      </c>
      <c r="E136" s="59" t="s">
        <v>196</v>
      </c>
      <c r="F136" s="115" t="s">
        <v>194</v>
      </c>
      <c r="G136" s="59" t="s">
        <v>58</v>
      </c>
      <c r="H136" s="59" t="s">
        <v>59</v>
      </c>
      <c r="I136" s="115" t="s">
        <v>197</v>
      </c>
      <c r="J136" s="125" t="s">
        <v>26</v>
      </c>
      <c r="K136" s="70">
        <v>779</v>
      </c>
      <c r="L136" s="139">
        <v>412.40000000000003</v>
      </c>
      <c r="M136" s="116"/>
      <c r="N136" s="71">
        <f t="shared" si="1"/>
        <v>0</v>
      </c>
      <c r="O136" s="76"/>
    </row>
    <row r="137" spans="1:15" x14ac:dyDescent="0.3">
      <c r="A137" s="148">
        <v>124</v>
      </c>
      <c r="B137" s="59" t="s">
        <v>179</v>
      </c>
      <c r="C137" s="59" t="s">
        <v>1</v>
      </c>
      <c r="D137" s="115" t="s">
        <v>192</v>
      </c>
      <c r="E137" s="59" t="s">
        <v>198</v>
      </c>
      <c r="F137" s="115" t="s">
        <v>194</v>
      </c>
      <c r="G137" s="59" t="s">
        <v>58</v>
      </c>
      <c r="H137" s="59" t="s">
        <v>59</v>
      </c>
      <c r="I137" s="115" t="s">
        <v>199</v>
      </c>
      <c r="J137" s="125" t="s">
        <v>26</v>
      </c>
      <c r="K137" s="70">
        <v>779</v>
      </c>
      <c r="L137" s="139">
        <v>412.40000000000003</v>
      </c>
      <c r="M137" s="116"/>
      <c r="N137" s="71">
        <f t="shared" si="1"/>
        <v>0</v>
      </c>
      <c r="O137" s="76"/>
    </row>
    <row r="138" spans="1:15" x14ac:dyDescent="0.3">
      <c r="A138" s="148">
        <v>125</v>
      </c>
      <c r="B138" s="59" t="s">
        <v>260</v>
      </c>
      <c r="C138" s="59" t="s">
        <v>1</v>
      </c>
      <c r="D138" s="115" t="s">
        <v>293</v>
      </c>
      <c r="E138" s="59" t="s">
        <v>294</v>
      </c>
      <c r="F138" s="115" t="s">
        <v>295</v>
      </c>
      <c r="G138" s="59" t="s">
        <v>133</v>
      </c>
      <c r="H138" s="59" t="s">
        <v>134</v>
      </c>
      <c r="I138" s="115" t="s">
        <v>270</v>
      </c>
      <c r="J138" s="125" t="s">
        <v>26</v>
      </c>
      <c r="K138" s="70">
        <v>245</v>
      </c>
      <c r="L138" s="139">
        <v>138.4</v>
      </c>
      <c r="M138" s="116"/>
      <c r="N138" s="71">
        <f t="shared" si="1"/>
        <v>0</v>
      </c>
      <c r="O138" s="76"/>
    </row>
    <row r="139" spans="1:15" x14ac:dyDescent="0.3">
      <c r="A139" s="148">
        <v>126</v>
      </c>
      <c r="B139" s="59" t="s">
        <v>260</v>
      </c>
      <c r="C139" s="59" t="s">
        <v>1</v>
      </c>
      <c r="D139" s="115" t="s">
        <v>293</v>
      </c>
      <c r="E139" s="59" t="s">
        <v>296</v>
      </c>
      <c r="F139" s="115" t="s">
        <v>295</v>
      </c>
      <c r="G139" s="59" t="s">
        <v>133</v>
      </c>
      <c r="H139" s="59" t="s">
        <v>134</v>
      </c>
      <c r="I139" s="115" t="s">
        <v>272</v>
      </c>
      <c r="J139" s="125" t="s">
        <v>26</v>
      </c>
      <c r="K139" s="70">
        <v>245</v>
      </c>
      <c r="L139" s="139">
        <v>138.4</v>
      </c>
      <c r="M139" s="116"/>
      <c r="N139" s="71">
        <f t="shared" si="1"/>
        <v>0</v>
      </c>
      <c r="O139" s="76"/>
    </row>
    <row r="140" spans="1:15" x14ac:dyDescent="0.3">
      <c r="A140" s="148">
        <v>127</v>
      </c>
      <c r="B140" s="59" t="s">
        <v>260</v>
      </c>
      <c r="C140" s="59" t="s">
        <v>1</v>
      </c>
      <c r="D140" s="115" t="s">
        <v>293</v>
      </c>
      <c r="E140" s="59" t="s">
        <v>297</v>
      </c>
      <c r="F140" s="115" t="s">
        <v>295</v>
      </c>
      <c r="G140" s="59" t="s">
        <v>133</v>
      </c>
      <c r="H140" s="59" t="s">
        <v>134</v>
      </c>
      <c r="I140" s="115" t="s">
        <v>274</v>
      </c>
      <c r="J140" s="125" t="s">
        <v>26</v>
      </c>
      <c r="K140" s="70">
        <v>245</v>
      </c>
      <c r="L140" s="139">
        <v>138.4</v>
      </c>
      <c r="M140" s="116"/>
      <c r="N140" s="71">
        <f t="shared" si="1"/>
        <v>0</v>
      </c>
      <c r="O140" s="76"/>
    </row>
    <row r="141" spans="1:15" x14ac:dyDescent="0.3">
      <c r="A141" s="148">
        <v>128</v>
      </c>
      <c r="B141" s="59" t="s">
        <v>260</v>
      </c>
      <c r="C141" s="59" t="s">
        <v>1</v>
      </c>
      <c r="D141" s="115" t="s">
        <v>293</v>
      </c>
      <c r="E141" s="59" t="s">
        <v>298</v>
      </c>
      <c r="F141" s="115" t="s">
        <v>295</v>
      </c>
      <c r="G141" s="59" t="s">
        <v>133</v>
      </c>
      <c r="H141" s="59" t="s">
        <v>134</v>
      </c>
      <c r="I141" s="115" t="s">
        <v>276</v>
      </c>
      <c r="J141" s="125" t="s">
        <v>26</v>
      </c>
      <c r="K141" s="70">
        <v>245</v>
      </c>
      <c r="L141" s="139">
        <v>138.4</v>
      </c>
      <c r="M141" s="116"/>
      <c r="N141" s="71">
        <f t="shared" si="1"/>
        <v>0</v>
      </c>
      <c r="O141" s="76"/>
    </row>
    <row r="142" spans="1:15" x14ac:dyDescent="0.3">
      <c r="A142" s="148">
        <v>129</v>
      </c>
      <c r="B142" s="59" t="s">
        <v>260</v>
      </c>
      <c r="C142" s="59" t="s">
        <v>1</v>
      </c>
      <c r="D142" s="115" t="s">
        <v>261</v>
      </c>
      <c r="E142" s="59" t="s">
        <v>262</v>
      </c>
      <c r="F142" s="115" t="s">
        <v>263</v>
      </c>
      <c r="G142" s="59" t="s">
        <v>133</v>
      </c>
      <c r="H142" s="59" t="s">
        <v>134</v>
      </c>
      <c r="I142" s="115" t="s">
        <v>264</v>
      </c>
      <c r="J142" s="125" t="s">
        <v>26</v>
      </c>
      <c r="K142" s="70">
        <v>132.5</v>
      </c>
      <c r="L142" s="139">
        <v>74.899999999999991</v>
      </c>
      <c r="M142" s="116"/>
      <c r="N142" s="71">
        <f t="shared" ref="N142:N205" si="2">L142*M142</f>
        <v>0</v>
      </c>
      <c r="O142" s="76"/>
    </row>
    <row r="143" spans="1:15" x14ac:dyDescent="0.3">
      <c r="A143" s="148">
        <v>130</v>
      </c>
      <c r="B143" s="59" t="s">
        <v>260</v>
      </c>
      <c r="C143" s="59" t="s">
        <v>1</v>
      </c>
      <c r="D143" s="115" t="s">
        <v>261</v>
      </c>
      <c r="E143" s="59" t="s">
        <v>265</v>
      </c>
      <c r="F143" s="115" t="s">
        <v>263</v>
      </c>
      <c r="G143" s="59" t="s">
        <v>133</v>
      </c>
      <c r="H143" s="59" t="s">
        <v>134</v>
      </c>
      <c r="I143" s="115" t="s">
        <v>266</v>
      </c>
      <c r="J143" s="125" t="s">
        <v>26</v>
      </c>
      <c r="K143" s="70">
        <v>132.5</v>
      </c>
      <c r="L143" s="139">
        <v>74.899999999999991</v>
      </c>
      <c r="M143" s="116"/>
      <c r="N143" s="71">
        <f t="shared" si="2"/>
        <v>0</v>
      </c>
      <c r="O143" s="76"/>
    </row>
    <row r="144" spans="1:15" x14ac:dyDescent="0.3">
      <c r="A144" s="148">
        <v>131</v>
      </c>
      <c r="B144" s="59" t="s">
        <v>260</v>
      </c>
      <c r="C144" s="59" t="s">
        <v>1</v>
      </c>
      <c r="D144" s="115" t="s">
        <v>267</v>
      </c>
      <c r="E144" s="59" t="s">
        <v>268</v>
      </c>
      <c r="F144" s="115" t="s">
        <v>269</v>
      </c>
      <c r="G144" s="59" t="s">
        <v>133</v>
      </c>
      <c r="H144" s="59" t="s">
        <v>134</v>
      </c>
      <c r="I144" s="115" t="s">
        <v>270</v>
      </c>
      <c r="J144" s="125" t="s">
        <v>26</v>
      </c>
      <c r="K144" s="70">
        <v>409</v>
      </c>
      <c r="L144" s="139">
        <v>231</v>
      </c>
      <c r="M144" s="116"/>
      <c r="N144" s="71">
        <f t="shared" si="2"/>
        <v>0</v>
      </c>
      <c r="O144" s="76"/>
    </row>
    <row r="145" spans="1:15" x14ac:dyDescent="0.3">
      <c r="A145" s="148">
        <v>132</v>
      </c>
      <c r="B145" s="59" t="s">
        <v>260</v>
      </c>
      <c r="C145" s="59" t="s">
        <v>1</v>
      </c>
      <c r="D145" s="115" t="s">
        <v>267</v>
      </c>
      <c r="E145" s="59" t="s">
        <v>271</v>
      </c>
      <c r="F145" s="115" t="s">
        <v>269</v>
      </c>
      <c r="G145" s="59" t="s">
        <v>133</v>
      </c>
      <c r="H145" s="59" t="s">
        <v>134</v>
      </c>
      <c r="I145" s="115" t="s">
        <v>272</v>
      </c>
      <c r="J145" s="125" t="s">
        <v>26</v>
      </c>
      <c r="K145" s="70">
        <v>409</v>
      </c>
      <c r="L145" s="139">
        <v>231</v>
      </c>
      <c r="M145" s="116"/>
      <c r="N145" s="71">
        <f t="shared" si="2"/>
        <v>0</v>
      </c>
      <c r="O145" s="76"/>
    </row>
    <row r="146" spans="1:15" x14ac:dyDescent="0.3">
      <c r="A146" s="148">
        <v>133</v>
      </c>
      <c r="B146" s="59" t="s">
        <v>260</v>
      </c>
      <c r="C146" s="59" t="s">
        <v>1</v>
      </c>
      <c r="D146" s="115" t="s">
        <v>267</v>
      </c>
      <c r="E146" s="59" t="s">
        <v>273</v>
      </c>
      <c r="F146" s="115" t="s">
        <v>269</v>
      </c>
      <c r="G146" s="59" t="s">
        <v>133</v>
      </c>
      <c r="H146" s="59" t="s">
        <v>134</v>
      </c>
      <c r="I146" s="115" t="s">
        <v>274</v>
      </c>
      <c r="J146" s="125" t="s">
        <v>26</v>
      </c>
      <c r="K146" s="70">
        <v>409</v>
      </c>
      <c r="L146" s="139">
        <v>231</v>
      </c>
      <c r="M146" s="116"/>
      <c r="N146" s="71">
        <f t="shared" si="2"/>
        <v>0</v>
      </c>
      <c r="O146" s="76"/>
    </row>
    <row r="147" spans="1:15" x14ac:dyDescent="0.3">
      <c r="A147" s="148">
        <v>134</v>
      </c>
      <c r="B147" s="59" t="s">
        <v>260</v>
      </c>
      <c r="C147" s="59" t="s">
        <v>1</v>
      </c>
      <c r="D147" s="115" t="s">
        <v>267</v>
      </c>
      <c r="E147" s="59" t="s">
        <v>275</v>
      </c>
      <c r="F147" s="115" t="s">
        <v>269</v>
      </c>
      <c r="G147" s="59" t="s">
        <v>133</v>
      </c>
      <c r="H147" s="59" t="s">
        <v>134</v>
      </c>
      <c r="I147" s="115" t="s">
        <v>276</v>
      </c>
      <c r="J147" s="125" t="s">
        <v>26</v>
      </c>
      <c r="K147" s="70">
        <v>409</v>
      </c>
      <c r="L147" s="139">
        <v>231</v>
      </c>
      <c r="M147" s="116"/>
      <c r="N147" s="71">
        <f t="shared" si="2"/>
        <v>0</v>
      </c>
      <c r="O147" s="76"/>
    </row>
    <row r="148" spans="1:15" x14ac:dyDescent="0.3">
      <c r="A148" s="148">
        <v>135</v>
      </c>
      <c r="B148" s="59" t="s">
        <v>260</v>
      </c>
      <c r="C148" s="59" t="s">
        <v>1</v>
      </c>
      <c r="D148" s="115" t="s">
        <v>277</v>
      </c>
      <c r="E148" s="59" t="s">
        <v>278</v>
      </c>
      <c r="F148" s="115" t="s">
        <v>279</v>
      </c>
      <c r="G148" s="59" t="s">
        <v>133</v>
      </c>
      <c r="H148" s="59" t="s">
        <v>134</v>
      </c>
      <c r="I148" s="115" t="s">
        <v>280</v>
      </c>
      <c r="J148" s="125" t="s">
        <v>26</v>
      </c>
      <c r="K148" s="70">
        <v>86</v>
      </c>
      <c r="L148" s="139">
        <v>48.6</v>
      </c>
      <c r="M148" s="116"/>
      <c r="N148" s="71">
        <f t="shared" si="2"/>
        <v>0</v>
      </c>
      <c r="O148" s="76"/>
    </row>
    <row r="149" spans="1:15" x14ac:dyDescent="0.3">
      <c r="A149" s="148">
        <v>136</v>
      </c>
      <c r="B149" s="59" t="s">
        <v>260</v>
      </c>
      <c r="C149" s="59" t="s">
        <v>1</v>
      </c>
      <c r="D149" s="115" t="s">
        <v>281</v>
      </c>
      <c r="E149" s="59" t="s">
        <v>282</v>
      </c>
      <c r="F149" s="115" t="s">
        <v>283</v>
      </c>
      <c r="G149" s="59" t="s">
        <v>133</v>
      </c>
      <c r="H149" s="59" t="s">
        <v>134</v>
      </c>
      <c r="I149" s="115" t="s">
        <v>280</v>
      </c>
      <c r="J149" s="125" t="s">
        <v>26</v>
      </c>
      <c r="K149" s="70">
        <v>92</v>
      </c>
      <c r="L149" s="139">
        <v>52</v>
      </c>
      <c r="M149" s="116"/>
      <c r="N149" s="71">
        <f t="shared" si="2"/>
        <v>0</v>
      </c>
      <c r="O149" s="76"/>
    </row>
    <row r="150" spans="1:15" x14ac:dyDescent="0.3">
      <c r="A150" s="148">
        <v>137</v>
      </c>
      <c r="B150" s="59" t="s">
        <v>260</v>
      </c>
      <c r="C150" s="59" t="s">
        <v>1</v>
      </c>
      <c r="D150" s="115" t="s">
        <v>284</v>
      </c>
      <c r="E150" s="59" t="s">
        <v>285</v>
      </c>
      <c r="F150" s="115" t="s">
        <v>286</v>
      </c>
      <c r="G150" s="59" t="s">
        <v>133</v>
      </c>
      <c r="H150" s="59" t="s">
        <v>134</v>
      </c>
      <c r="I150" s="115" t="s">
        <v>280</v>
      </c>
      <c r="J150" s="125" t="s">
        <v>26</v>
      </c>
      <c r="K150" s="70">
        <v>122.5</v>
      </c>
      <c r="L150" s="139">
        <v>69.199999999999989</v>
      </c>
      <c r="M150" s="116"/>
      <c r="N150" s="71">
        <f t="shared" si="2"/>
        <v>0</v>
      </c>
      <c r="O150" s="76"/>
    </row>
    <row r="151" spans="1:15" x14ac:dyDescent="0.3">
      <c r="A151" s="148">
        <v>138</v>
      </c>
      <c r="B151" s="59" t="s">
        <v>260</v>
      </c>
      <c r="C151" s="59" t="s">
        <v>1</v>
      </c>
      <c r="D151" s="115" t="s">
        <v>287</v>
      </c>
      <c r="E151" s="59" t="s">
        <v>288</v>
      </c>
      <c r="F151" s="115" t="s">
        <v>289</v>
      </c>
      <c r="G151" s="59" t="s">
        <v>133</v>
      </c>
      <c r="H151" s="59" t="s">
        <v>134</v>
      </c>
      <c r="I151" s="115" t="s">
        <v>280</v>
      </c>
      <c r="J151" s="125" t="s">
        <v>26</v>
      </c>
      <c r="K151" s="70">
        <v>61.5</v>
      </c>
      <c r="L151" s="139">
        <v>34.800000000000004</v>
      </c>
      <c r="M151" s="116"/>
      <c r="N151" s="71">
        <f t="shared" si="2"/>
        <v>0</v>
      </c>
      <c r="O151" s="76"/>
    </row>
    <row r="152" spans="1:15" x14ac:dyDescent="0.3">
      <c r="A152" s="148">
        <v>139</v>
      </c>
      <c r="B152" s="59" t="s">
        <v>260</v>
      </c>
      <c r="C152" s="59" t="s">
        <v>1</v>
      </c>
      <c r="D152" s="115" t="s">
        <v>290</v>
      </c>
      <c r="E152" s="59" t="s">
        <v>291</v>
      </c>
      <c r="F152" s="115" t="s">
        <v>292</v>
      </c>
      <c r="G152" s="59" t="s">
        <v>133</v>
      </c>
      <c r="H152" s="59" t="s">
        <v>134</v>
      </c>
      <c r="I152" s="115" t="s">
        <v>280</v>
      </c>
      <c r="J152" s="125" t="s">
        <v>26</v>
      </c>
      <c r="K152" s="70">
        <v>81.5</v>
      </c>
      <c r="L152" s="139">
        <v>46.1</v>
      </c>
      <c r="M152" s="116"/>
      <c r="N152" s="71">
        <f t="shared" si="2"/>
        <v>0</v>
      </c>
      <c r="O152" s="76"/>
    </row>
    <row r="153" spans="1:15" x14ac:dyDescent="0.3">
      <c r="A153" s="148">
        <v>140</v>
      </c>
      <c r="B153" s="59" t="s">
        <v>299</v>
      </c>
      <c r="C153" s="59" t="s">
        <v>1</v>
      </c>
      <c r="D153" s="115" t="s">
        <v>308</v>
      </c>
      <c r="E153" s="59" t="s">
        <v>309</v>
      </c>
      <c r="F153" s="115" t="s">
        <v>310</v>
      </c>
      <c r="G153" s="59" t="s">
        <v>58</v>
      </c>
      <c r="H153" s="59" t="s">
        <v>59</v>
      </c>
      <c r="I153" s="115" t="s">
        <v>307</v>
      </c>
      <c r="J153" s="125" t="s">
        <v>26</v>
      </c>
      <c r="K153" s="70">
        <v>1329</v>
      </c>
      <c r="L153" s="139">
        <v>843.5</v>
      </c>
      <c r="M153" s="116"/>
      <c r="N153" s="71">
        <f t="shared" si="2"/>
        <v>0</v>
      </c>
      <c r="O153" s="76"/>
    </row>
    <row r="154" spans="1:15" x14ac:dyDescent="0.3">
      <c r="A154" s="148">
        <v>141</v>
      </c>
      <c r="B154" s="59" t="s">
        <v>299</v>
      </c>
      <c r="C154" s="59" t="s">
        <v>1</v>
      </c>
      <c r="D154" s="115" t="s">
        <v>308</v>
      </c>
      <c r="E154" s="59" t="s">
        <v>311</v>
      </c>
      <c r="F154" s="115" t="s">
        <v>310</v>
      </c>
      <c r="G154" s="59" t="s">
        <v>58</v>
      </c>
      <c r="H154" s="59" t="s">
        <v>59</v>
      </c>
      <c r="I154" s="115" t="s">
        <v>312</v>
      </c>
      <c r="J154" s="125" t="s">
        <v>26</v>
      </c>
      <c r="K154" s="70">
        <v>1329</v>
      </c>
      <c r="L154" s="139">
        <v>843.5</v>
      </c>
      <c r="M154" s="116"/>
      <c r="N154" s="71">
        <f t="shared" si="2"/>
        <v>0</v>
      </c>
      <c r="O154" s="76"/>
    </row>
    <row r="155" spans="1:15" x14ac:dyDescent="0.3">
      <c r="A155" s="148">
        <v>142</v>
      </c>
      <c r="B155" s="59" t="s">
        <v>299</v>
      </c>
      <c r="C155" s="59" t="s">
        <v>1</v>
      </c>
      <c r="D155" s="115" t="s">
        <v>308</v>
      </c>
      <c r="E155" s="59" t="s">
        <v>313</v>
      </c>
      <c r="F155" s="115" t="s">
        <v>310</v>
      </c>
      <c r="G155" s="59" t="s">
        <v>58</v>
      </c>
      <c r="H155" s="59" t="s">
        <v>59</v>
      </c>
      <c r="I155" s="115" t="s">
        <v>314</v>
      </c>
      <c r="J155" s="125" t="s">
        <v>26</v>
      </c>
      <c r="K155" s="70">
        <v>1329</v>
      </c>
      <c r="L155" s="139">
        <v>843.5</v>
      </c>
      <c r="M155" s="116"/>
      <c r="N155" s="71">
        <f t="shared" si="2"/>
        <v>0</v>
      </c>
      <c r="O155" s="76"/>
    </row>
    <row r="156" spans="1:15" x14ac:dyDescent="0.3">
      <c r="A156" s="148">
        <v>143</v>
      </c>
      <c r="B156" s="59" t="s">
        <v>299</v>
      </c>
      <c r="C156" s="59" t="s">
        <v>1</v>
      </c>
      <c r="D156" s="115" t="s">
        <v>308</v>
      </c>
      <c r="E156" s="59" t="s">
        <v>315</v>
      </c>
      <c r="F156" s="115" t="s">
        <v>310</v>
      </c>
      <c r="G156" s="59" t="s">
        <v>58</v>
      </c>
      <c r="H156" s="59" t="s">
        <v>59</v>
      </c>
      <c r="I156" s="115" t="s">
        <v>316</v>
      </c>
      <c r="J156" s="125" t="s">
        <v>26</v>
      </c>
      <c r="K156" s="70">
        <v>1329</v>
      </c>
      <c r="L156" s="139">
        <v>843.5</v>
      </c>
      <c r="M156" s="116"/>
      <c r="N156" s="71">
        <f t="shared" si="2"/>
        <v>0</v>
      </c>
      <c r="O156" s="76"/>
    </row>
    <row r="157" spans="1:15" x14ac:dyDescent="0.3">
      <c r="A157" s="148">
        <v>144</v>
      </c>
      <c r="B157" s="59" t="s">
        <v>299</v>
      </c>
      <c r="C157" s="59" t="s">
        <v>1</v>
      </c>
      <c r="D157" s="115" t="s">
        <v>317</v>
      </c>
      <c r="E157" s="59" t="s">
        <v>318</v>
      </c>
      <c r="F157" s="115" t="s">
        <v>319</v>
      </c>
      <c r="G157" s="59" t="s">
        <v>320</v>
      </c>
      <c r="H157" s="59" t="s">
        <v>321</v>
      </c>
      <c r="I157" s="115" t="s">
        <v>303</v>
      </c>
      <c r="J157" s="125" t="s">
        <v>26</v>
      </c>
      <c r="K157" s="70">
        <v>1429</v>
      </c>
      <c r="L157" s="139">
        <v>906.9</v>
      </c>
      <c r="M157" s="116"/>
      <c r="N157" s="71">
        <f t="shared" si="2"/>
        <v>0</v>
      </c>
      <c r="O157" s="76"/>
    </row>
    <row r="158" spans="1:15" x14ac:dyDescent="0.3">
      <c r="A158" s="148">
        <v>145</v>
      </c>
      <c r="B158" s="59" t="s">
        <v>299</v>
      </c>
      <c r="C158" s="59" t="s">
        <v>1</v>
      </c>
      <c r="D158" s="115" t="s">
        <v>317</v>
      </c>
      <c r="E158" s="59" t="s">
        <v>322</v>
      </c>
      <c r="F158" s="115" t="s">
        <v>319</v>
      </c>
      <c r="G158" s="59" t="s">
        <v>320</v>
      </c>
      <c r="H158" s="59" t="s">
        <v>321</v>
      </c>
      <c r="I158" s="115" t="s">
        <v>305</v>
      </c>
      <c r="J158" s="125" t="s">
        <v>26</v>
      </c>
      <c r="K158" s="70">
        <v>1429</v>
      </c>
      <c r="L158" s="139">
        <v>906.9</v>
      </c>
      <c r="M158" s="116"/>
      <c r="N158" s="71">
        <f t="shared" si="2"/>
        <v>0</v>
      </c>
      <c r="O158" s="76"/>
    </row>
    <row r="159" spans="1:15" x14ac:dyDescent="0.3">
      <c r="A159" s="148">
        <v>146</v>
      </c>
      <c r="B159" s="59" t="s">
        <v>299</v>
      </c>
      <c r="C159" s="59" t="s">
        <v>1</v>
      </c>
      <c r="D159" s="115" t="s">
        <v>317</v>
      </c>
      <c r="E159" s="59" t="s">
        <v>323</v>
      </c>
      <c r="F159" s="115" t="s">
        <v>319</v>
      </c>
      <c r="G159" s="59" t="s">
        <v>320</v>
      </c>
      <c r="H159" s="59" t="s">
        <v>321</v>
      </c>
      <c r="I159" s="115" t="s">
        <v>307</v>
      </c>
      <c r="J159" s="125" t="s">
        <v>26</v>
      </c>
      <c r="K159" s="70">
        <v>1429</v>
      </c>
      <c r="L159" s="139">
        <v>906.9</v>
      </c>
      <c r="M159" s="116"/>
      <c r="N159" s="71">
        <f t="shared" si="2"/>
        <v>0</v>
      </c>
      <c r="O159" s="76"/>
    </row>
    <row r="160" spans="1:15" x14ac:dyDescent="0.3">
      <c r="A160" s="148">
        <v>147</v>
      </c>
      <c r="B160" s="59" t="s">
        <v>299</v>
      </c>
      <c r="C160" s="59" t="s">
        <v>1</v>
      </c>
      <c r="D160" s="115" t="s">
        <v>300</v>
      </c>
      <c r="E160" s="59" t="s">
        <v>301</v>
      </c>
      <c r="F160" s="115" t="s">
        <v>302</v>
      </c>
      <c r="G160" s="59" t="s">
        <v>58</v>
      </c>
      <c r="H160" s="59" t="s">
        <v>59</v>
      </c>
      <c r="I160" s="115" t="s">
        <v>303</v>
      </c>
      <c r="J160" s="125" t="s">
        <v>26</v>
      </c>
      <c r="K160" s="70">
        <v>1229</v>
      </c>
      <c r="L160" s="139">
        <v>780</v>
      </c>
      <c r="M160" s="116"/>
      <c r="N160" s="71">
        <f t="shared" si="2"/>
        <v>0</v>
      </c>
      <c r="O160" s="76"/>
    </row>
    <row r="161" spans="1:20" x14ac:dyDescent="0.3">
      <c r="A161" s="148">
        <v>148</v>
      </c>
      <c r="B161" s="59" t="s">
        <v>299</v>
      </c>
      <c r="C161" s="59" t="s">
        <v>1</v>
      </c>
      <c r="D161" s="115" t="s">
        <v>300</v>
      </c>
      <c r="E161" s="59" t="s">
        <v>304</v>
      </c>
      <c r="F161" s="115" t="s">
        <v>302</v>
      </c>
      <c r="G161" s="59" t="s">
        <v>58</v>
      </c>
      <c r="H161" s="59" t="s">
        <v>59</v>
      </c>
      <c r="I161" s="115" t="s">
        <v>305</v>
      </c>
      <c r="J161" s="125" t="s">
        <v>26</v>
      </c>
      <c r="K161" s="70">
        <v>1229</v>
      </c>
      <c r="L161" s="139">
        <v>780</v>
      </c>
      <c r="M161" s="116"/>
      <c r="N161" s="71">
        <f t="shared" si="2"/>
        <v>0</v>
      </c>
      <c r="O161" s="76"/>
    </row>
    <row r="162" spans="1:20" x14ac:dyDescent="0.3">
      <c r="A162" s="148">
        <v>149</v>
      </c>
      <c r="B162" s="59" t="s">
        <v>299</v>
      </c>
      <c r="C162" s="59" t="s">
        <v>1</v>
      </c>
      <c r="D162" s="115" t="s">
        <v>300</v>
      </c>
      <c r="E162" s="59" t="s">
        <v>306</v>
      </c>
      <c r="F162" s="115" t="s">
        <v>302</v>
      </c>
      <c r="G162" s="59" t="s">
        <v>58</v>
      </c>
      <c r="H162" s="59" t="s">
        <v>59</v>
      </c>
      <c r="I162" s="115" t="s">
        <v>307</v>
      </c>
      <c r="J162" s="125" t="s">
        <v>26</v>
      </c>
      <c r="K162" s="70">
        <v>1229</v>
      </c>
      <c r="L162" s="139">
        <v>780</v>
      </c>
      <c r="M162" s="116"/>
      <c r="N162" s="71">
        <f t="shared" si="2"/>
        <v>0</v>
      </c>
      <c r="O162" s="76"/>
    </row>
    <row r="163" spans="1:20" x14ac:dyDescent="0.3">
      <c r="A163" s="148">
        <v>150</v>
      </c>
      <c r="B163" s="59" t="s">
        <v>324</v>
      </c>
      <c r="C163" s="59" t="s">
        <v>1</v>
      </c>
      <c r="D163" s="115" t="s">
        <v>325</v>
      </c>
      <c r="E163" s="59" t="s">
        <v>326</v>
      </c>
      <c r="F163" s="115" t="s">
        <v>327</v>
      </c>
      <c r="G163" s="59" t="s">
        <v>320</v>
      </c>
      <c r="H163" s="59" t="s">
        <v>321</v>
      </c>
      <c r="I163" s="115" t="s">
        <v>328</v>
      </c>
      <c r="J163" s="125" t="s">
        <v>26</v>
      </c>
      <c r="K163" s="70">
        <v>819</v>
      </c>
      <c r="L163" s="139">
        <v>519.80000000000007</v>
      </c>
      <c r="M163" s="116"/>
      <c r="N163" s="71">
        <f t="shared" si="2"/>
        <v>0</v>
      </c>
      <c r="O163" s="76"/>
    </row>
    <row r="164" spans="1:20" x14ac:dyDescent="0.3">
      <c r="A164" s="148">
        <v>151</v>
      </c>
      <c r="B164" s="59" t="s">
        <v>324</v>
      </c>
      <c r="C164" s="59" t="s">
        <v>1</v>
      </c>
      <c r="D164" s="115" t="s">
        <v>372</v>
      </c>
      <c r="E164" s="59" t="s">
        <v>373</v>
      </c>
      <c r="F164" s="115" t="s">
        <v>1762</v>
      </c>
      <c r="G164" s="59" t="s">
        <v>367</v>
      </c>
      <c r="H164" s="59" t="s">
        <v>368</v>
      </c>
      <c r="I164" s="115" t="s">
        <v>374</v>
      </c>
      <c r="J164" s="125" t="s">
        <v>101</v>
      </c>
      <c r="K164" s="70">
        <v>1699</v>
      </c>
      <c r="L164" s="139">
        <v>1078.3</v>
      </c>
      <c r="M164" s="116"/>
      <c r="N164" s="71">
        <f t="shared" si="2"/>
        <v>0</v>
      </c>
      <c r="O164" s="76"/>
    </row>
    <row r="165" spans="1:20" x14ac:dyDescent="0.3">
      <c r="A165" s="148">
        <v>152</v>
      </c>
      <c r="B165" s="59" t="s">
        <v>324</v>
      </c>
      <c r="C165" s="59" t="s">
        <v>1</v>
      </c>
      <c r="D165" s="115" t="s">
        <v>372</v>
      </c>
      <c r="E165" s="59" t="s">
        <v>375</v>
      </c>
      <c r="F165" s="115" t="s">
        <v>1762</v>
      </c>
      <c r="G165" s="59" t="s">
        <v>367</v>
      </c>
      <c r="H165" s="59" t="s">
        <v>368</v>
      </c>
      <c r="I165" s="115" t="s">
        <v>361</v>
      </c>
      <c r="J165" s="125" t="s">
        <v>101</v>
      </c>
      <c r="K165" s="70">
        <v>1749</v>
      </c>
      <c r="L165" s="139">
        <v>1110</v>
      </c>
      <c r="M165" s="116"/>
      <c r="N165" s="71">
        <f t="shared" si="2"/>
        <v>0</v>
      </c>
      <c r="O165" s="76"/>
    </row>
    <row r="166" spans="1:20" x14ac:dyDescent="0.3">
      <c r="A166" s="148">
        <v>153</v>
      </c>
      <c r="B166" s="59" t="s">
        <v>324</v>
      </c>
      <c r="C166" s="59" t="s">
        <v>1</v>
      </c>
      <c r="D166" s="115" t="s">
        <v>372</v>
      </c>
      <c r="E166" s="59" t="s">
        <v>376</v>
      </c>
      <c r="F166" s="115" t="s">
        <v>1762</v>
      </c>
      <c r="G166" s="59" t="s">
        <v>367</v>
      </c>
      <c r="H166" s="59" t="s">
        <v>368</v>
      </c>
      <c r="I166" s="115" t="s">
        <v>377</v>
      </c>
      <c r="J166" s="125" t="s">
        <v>101</v>
      </c>
      <c r="K166" s="70">
        <v>1799</v>
      </c>
      <c r="L166" s="139">
        <v>1141.6999999999998</v>
      </c>
      <c r="M166" s="116"/>
      <c r="N166" s="71">
        <f t="shared" si="2"/>
        <v>0</v>
      </c>
      <c r="O166" s="76"/>
    </row>
    <row r="167" spans="1:20" x14ac:dyDescent="0.3">
      <c r="A167" s="148">
        <v>154</v>
      </c>
      <c r="B167" s="59" t="s">
        <v>324</v>
      </c>
      <c r="C167" s="59" t="s">
        <v>1</v>
      </c>
      <c r="D167" s="115" t="s">
        <v>372</v>
      </c>
      <c r="E167" s="59" t="s">
        <v>378</v>
      </c>
      <c r="F167" s="115" t="s">
        <v>1762</v>
      </c>
      <c r="G167" s="59" t="s">
        <v>367</v>
      </c>
      <c r="H167" s="59" t="s">
        <v>368</v>
      </c>
      <c r="I167" s="115" t="s">
        <v>363</v>
      </c>
      <c r="J167" s="125" t="s">
        <v>101</v>
      </c>
      <c r="K167" s="70">
        <v>1849</v>
      </c>
      <c r="L167" s="139">
        <v>1173.5</v>
      </c>
      <c r="M167" s="117"/>
      <c r="N167" s="71">
        <f t="shared" si="2"/>
        <v>0</v>
      </c>
      <c r="O167" s="76"/>
    </row>
    <row r="168" spans="1:20" x14ac:dyDescent="0.3">
      <c r="A168" s="148">
        <v>155</v>
      </c>
      <c r="B168" s="59" t="s">
        <v>324</v>
      </c>
      <c r="C168" s="59" t="s">
        <v>1</v>
      </c>
      <c r="D168" s="115" t="s">
        <v>379</v>
      </c>
      <c r="E168" s="59" t="s">
        <v>380</v>
      </c>
      <c r="F168" s="115" t="s">
        <v>1761</v>
      </c>
      <c r="G168" s="59" t="s">
        <v>367</v>
      </c>
      <c r="H168" s="59" t="s">
        <v>368</v>
      </c>
      <c r="I168" s="115" t="s">
        <v>381</v>
      </c>
      <c r="J168" s="125" t="s">
        <v>101</v>
      </c>
      <c r="K168" s="70">
        <v>1749</v>
      </c>
      <c r="L168" s="139">
        <v>1110</v>
      </c>
      <c r="M168" s="116"/>
      <c r="N168" s="71">
        <f t="shared" si="2"/>
        <v>0</v>
      </c>
      <c r="O168" s="76"/>
    </row>
    <row r="169" spans="1:20" x14ac:dyDescent="0.3">
      <c r="A169" s="148">
        <v>156</v>
      </c>
      <c r="B169" s="59" t="s">
        <v>324</v>
      </c>
      <c r="C169" s="59" t="s">
        <v>1</v>
      </c>
      <c r="D169" s="115" t="s">
        <v>379</v>
      </c>
      <c r="E169" s="59" t="s">
        <v>382</v>
      </c>
      <c r="F169" s="115" t="s">
        <v>1761</v>
      </c>
      <c r="G169" s="59" t="s">
        <v>367</v>
      </c>
      <c r="H169" s="59" t="s">
        <v>368</v>
      </c>
      <c r="I169" s="115" t="s">
        <v>383</v>
      </c>
      <c r="J169" s="125" t="s">
        <v>101</v>
      </c>
      <c r="K169" s="70">
        <v>1799</v>
      </c>
      <c r="L169" s="139">
        <v>1141.6999999999998</v>
      </c>
      <c r="M169" s="116"/>
      <c r="N169" s="71">
        <f t="shared" si="2"/>
        <v>0</v>
      </c>
      <c r="O169" s="76"/>
    </row>
    <row r="170" spans="1:20" x14ac:dyDescent="0.3">
      <c r="A170" s="148">
        <v>157</v>
      </c>
      <c r="B170" s="59" t="s">
        <v>324</v>
      </c>
      <c r="C170" s="59" t="s">
        <v>1</v>
      </c>
      <c r="D170" s="115" t="s">
        <v>379</v>
      </c>
      <c r="E170" s="59" t="s">
        <v>384</v>
      </c>
      <c r="F170" s="115" t="s">
        <v>1761</v>
      </c>
      <c r="G170" s="59" t="s">
        <v>367</v>
      </c>
      <c r="H170" s="59" t="s">
        <v>368</v>
      </c>
      <c r="I170" s="115" t="s">
        <v>303</v>
      </c>
      <c r="J170" s="125" t="s">
        <v>101</v>
      </c>
      <c r="K170" s="70">
        <v>1849</v>
      </c>
      <c r="L170" s="139">
        <v>1173.5</v>
      </c>
      <c r="M170" s="116"/>
      <c r="N170" s="71">
        <f t="shared" si="2"/>
        <v>0</v>
      </c>
      <c r="O170" s="76"/>
    </row>
    <row r="171" spans="1:20" x14ac:dyDescent="0.3">
      <c r="A171" s="148">
        <v>158</v>
      </c>
      <c r="B171" s="59" t="s">
        <v>324</v>
      </c>
      <c r="C171" s="59" t="s">
        <v>1</v>
      </c>
      <c r="D171" s="115" t="s">
        <v>379</v>
      </c>
      <c r="E171" s="59" t="s">
        <v>385</v>
      </c>
      <c r="F171" s="115" t="s">
        <v>1761</v>
      </c>
      <c r="G171" s="59" t="s">
        <v>367</v>
      </c>
      <c r="H171" s="59" t="s">
        <v>368</v>
      </c>
      <c r="I171" s="115" t="s">
        <v>305</v>
      </c>
      <c r="J171" s="125" t="s">
        <v>101</v>
      </c>
      <c r="K171" s="70">
        <v>1899</v>
      </c>
      <c r="L171" s="139">
        <v>1205.1999999999998</v>
      </c>
      <c r="M171" s="116"/>
      <c r="N171" s="71">
        <f t="shared" si="2"/>
        <v>0</v>
      </c>
      <c r="O171" s="76"/>
    </row>
    <row r="172" spans="1:20" x14ac:dyDescent="0.3">
      <c r="A172" s="148">
        <v>159</v>
      </c>
      <c r="B172" s="59" t="s">
        <v>324</v>
      </c>
      <c r="C172" s="59" t="s">
        <v>1</v>
      </c>
      <c r="D172" s="115" t="s">
        <v>379</v>
      </c>
      <c r="E172" s="59" t="s">
        <v>386</v>
      </c>
      <c r="F172" s="115" t="s">
        <v>1761</v>
      </c>
      <c r="G172" s="59" t="s">
        <v>367</v>
      </c>
      <c r="H172" s="59" t="s">
        <v>368</v>
      </c>
      <c r="I172" s="115" t="s">
        <v>307</v>
      </c>
      <c r="J172" s="125" t="s">
        <v>101</v>
      </c>
      <c r="K172" s="70">
        <v>1949</v>
      </c>
      <c r="L172" s="139">
        <v>1236.8999999999999</v>
      </c>
      <c r="M172" s="116"/>
      <c r="N172" s="71">
        <f t="shared" si="2"/>
        <v>0</v>
      </c>
      <c r="O172" s="76"/>
    </row>
    <row r="173" spans="1:20" x14ac:dyDescent="0.3">
      <c r="A173" s="148">
        <v>160</v>
      </c>
      <c r="B173" s="59" t="s">
        <v>324</v>
      </c>
      <c r="C173" s="59" t="s">
        <v>1</v>
      </c>
      <c r="D173" s="115" t="s">
        <v>387</v>
      </c>
      <c r="E173" s="59" t="s">
        <v>388</v>
      </c>
      <c r="F173" s="115" t="s">
        <v>389</v>
      </c>
      <c r="G173" s="59" t="s">
        <v>367</v>
      </c>
      <c r="H173" s="59" t="s">
        <v>368</v>
      </c>
      <c r="I173" s="115" t="s">
        <v>307</v>
      </c>
      <c r="J173" s="125" t="s">
        <v>101</v>
      </c>
      <c r="K173" s="70">
        <v>1599</v>
      </c>
      <c r="L173" s="139">
        <v>1014.8000000000001</v>
      </c>
      <c r="M173" s="116"/>
      <c r="N173" s="71">
        <f t="shared" si="2"/>
        <v>0</v>
      </c>
      <c r="O173" s="76"/>
    </row>
    <row r="174" spans="1:20" x14ac:dyDescent="0.3">
      <c r="A174" s="148">
        <v>161</v>
      </c>
      <c r="B174" s="59" t="s">
        <v>324</v>
      </c>
      <c r="C174" s="59" t="s">
        <v>1</v>
      </c>
      <c r="D174" s="115" t="s">
        <v>387</v>
      </c>
      <c r="E174" s="59" t="s">
        <v>390</v>
      </c>
      <c r="F174" s="115" t="s">
        <v>389</v>
      </c>
      <c r="G174" s="59" t="s">
        <v>367</v>
      </c>
      <c r="H174" s="59" t="s">
        <v>368</v>
      </c>
      <c r="I174" s="115" t="s">
        <v>312</v>
      </c>
      <c r="J174" s="125" t="s">
        <v>101</v>
      </c>
      <c r="K174" s="70">
        <v>1629</v>
      </c>
      <c r="L174" s="139">
        <v>1033.8</v>
      </c>
      <c r="M174" s="116"/>
      <c r="N174" s="71">
        <f t="shared" si="2"/>
        <v>0</v>
      </c>
      <c r="O174" s="76"/>
      <c r="P174" s="120"/>
      <c r="R174" s="120"/>
      <c r="T174" s="120"/>
    </row>
    <row r="175" spans="1:20" x14ac:dyDescent="0.3">
      <c r="A175" s="148">
        <v>162</v>
      </c>
      <c r="B175" s="59" t="s">
        <v>324</v>
      </c>
      <c r="C175" s="59" t="s">
        <v>1</v>
      </c>
      <c r="D175" s="115" t="s">
        <v>387</v>
      </c>
      <c r="E175" s="59" t="s">
        <v>391</v>
      </c>
      <c r="F175" s="115" t="s">
        <v>389</v>
      </c>
      <c r="G175" s="59" t="s">
        <v>367</v>
      </c>
      <c r="H175" s="59" t="s">
        <v>368</v>
      </c>
      <c r="I175" s="115" t="s">
        <v>314</v>
      </c>
      <c r="J175" s="125" t="s">
        <v>101</v>
      </c>
      <c r="K175" s="70">
        <v>1659</v>
      </c>
      <c r="L175" s="139">
        <v>1052.8999999999999</v>
      </c>
      <c r="M175" s="116"/>
      <c r="N175" s="71">
        <f t="shared" si="2"/>
        <v>0</v>
      </c>
      <c r="O175" s="76"/>
    </row>
    <row r="176" spans="1:20" x14ac:dyDescent="0.3">
      <c r="A176" s="148">
        <v>163</v>
      </c>
      <c r="B176" s="122" t="s">
        <v>324</v>
      </c>
      <c r="C176" s="122" t="s">
        <v>1</v>
      </c>
      <c r="D176" s="123" t="s">
        <v>387</v>
      </c>
      <c r="E176" s="122" t="s">
        <v>392</v>
      </c>
      <c r="F176" s="123" t="s">
        <v>389</v>
      </c>
      <c r="G176" s="122" t="s">
        <v>367</v>
      </c>
      <c r="H176" s="122" t="s">
        <v>368</v>
      </c>
      <c r="I176" s="123" t="s">
        <v>316</v>
      </c>
      <c r="J176" s="125" t="s">
        <v>101</v>
      </c>
      <c r="K176" s="70">
        <v>1689</v>
      </c>
      <c r="L176" s="139">
        <v>1071.8999999999999</v>
      </c>
      <c r="M176" s="116"/>
      <c r="N176" s="71">
        <f t="shared" si="2"/>
        <v>0</v>
      </c>
      <c r="O176" s="76"/>
    </row>
    <row r="177" spans="1:21" x14ac:dyDescent="0.3">
      <c r="A177" s="148">
        <v>164</v>
      </c>
      <c r="B177" s="59" t="s">
        <v>324</v>
      </c>
      <c r="C177" s="59" t="s">
        <v>1</v>
      </c>
      <c r="D177" s="115" t="s">
        <v>329</v>
      </c>
      <c r="E177" s="59" t="s">
        <v>330</v>
      </c>
      <c r="F177" s="115" t="s">
        <v>331</v>
      </c>
      <c r="G177" s="59" t="s">
        <v>320</v>
      </c>
      <c r="H177" s="59" t="s">
        <v>321</v>
      </c>
      <c r="I177" s="115" t="s">
        <v>332</v>
      </c>
      <c r="J177" s="125" t="s">
        <v>26</v>
      </c>
      <c r="K177" s="70">
        <v>1125</v>
      </c>
      <c r="L177" s="139">
        <v>714</v>
      </c>
      <c r="M177" s="116"/>
      <c r="N177" s="71">
        <f t="shared" si="2"/>
        <v>0</v>
      </c>
      <c r="O177" s="76"/>
    </row>
    <row r="178" spans="1:21" x14ac:dyDescent="0.3">
      <c r="A178" s="148">
        <v>165</v>
      </c>
      <c r="B178" s="59" t="s">
        <v>324</v>
      </c>
      <c r="C178" s="59" t="s">
        <v>1</v>
      </c>
      <c r="D178" s="115" t="s">
        <v>329</v>
      </c>
      <c r="E178" s="59" t="s">
        <v>333</v>
      </c>
      <c r="F178" s="115" t="s">
        <v>331</v>
      </c>
      <c r="G178" s="59" t="s">
        <v>320</v>
      </c>
      <c r="H178" s="59" t="s">
        <v>321</v>
      </c>
      <c r="I178" s="115" t="s">
        <v>303</v>
      </c>
      <c r="J178" s="125" t="s">
        <v>26</v>
      </c>
      <c r="K178" s="70">
        <v>1179</v>
      </c>
      <c r="L178" s="139">
        <v>748.30000000000007</v>
      </c>
      <c r="M178" s="116"/>
      <c r="N178" s="71">
        <f t="shared" si="2"/>
        <v>0</v>
      </c>
      <c r="O178" s="76"/>
    </row>
    <row r="179" spans="1:21" x14ac:dyDescent="0.3">
      <c r="A179" s="148">
        <v>166</v>
      </c>
      <c r="B179" s="59" t="s">
        <v>324</v>
      </c>
      <c r="C179" s="59" t="s">
        <v>1</v>
      </c>
      <c r="D179" s="115" t="s">
        <v>329</v>
      </c>
      <c r="E179" s="59" t="s">
        <v>334</v>
      </c>
      <c r="F179" s="115" t="s">
        <v>331</v>
      </c>
      <c r="G179" s="59" t="s">
        <v>320</v>
      </c>
      <c r="H179" s="59" t="s">
        <v>321</v>
      </c>
      <c r="I179" s="115" t="s">
        <v>307</v>
      </c>
      <c r="J179" s="125" t="s">
        <v>26</v>
      </c>
      <c r="K179" s="70">
        <v>1229</v>
      </c>
      <c r="L179" s="139">
        <v>780</v>
      </c>
      <c r="M179" s="116"/>
      <c r="N179" s="71">
        <f t="shared" si="2"/>
        <v>0</v>
      </c>
      <c r="O179" s="76"/>
    </row>
    <row r="180" spans="1:21" x14ac:dyDescent="0.3">
      <c r="A180" s="148">
        <v>167</v>
      </c>
      <c r="B180" s="59" t="s">
        <v>324</v>
      </c>
      <c r="C180" s="59" t="s">
        <v>1</v>
      </c>
      <c r="D180" s="115" t="s">
        <v>329</v>
      </c>
      <c r="E180" s="59" t="s">
        <v>335</v>
      </c>
      <c r="F180" s="115" t="s">
        <v>331</v>
      </c>
      <c r="G180" s="59" t="s">
        <v>320</v>
      </c>
      <c r="H180" s="59" t="s">
        <v>321</v>
      </c>
      <c r="I180" s="115" t="s">
        <v>314</v>
      </c>
      <c r="J180" s="125" t="s">
        <v>26</v>
      </c>
      <c r="K180" s="70">
        <v>1279</v>
      </c>
      <c r="L180" s="139">
        <v>811.7</v>
      </c>
      <c r="M180" s="116"/>
      <c r="N180" s="71">
        <f t="shared" si="2"/>
        <v>0</v>
      </c>
      <c r="O180" s="76"/>
    </row>
    <row r="181" spans="1:21" x14ac:dyDescent="0.3">
      <c r="A181" s="148">
        <v>168</v>
      </c>
      <c r="B181" s="59" t="s">
        <v>324</v>
      </c>
      <c r="C181" s="59" t="s">
        <v>1</v>
      </c>
      <c r="D181" s="115" t="s">
        <v>329</v>
      </c>
      <c r="E181" s="59" t="s">
        <v>336</v>
      </c>
      <c r="F181" s="115" t="s">
        <v>331</v>
      </c>
      <c r="G181" s="59" t="s">
        <v>320</v>
      </c>
      <c r="H181" s="115" t="s">
        <v>321</v>
      </c>
      <c r="I181" s="115" t="s">
        <v>337</v>
      </c>
      <c r="J181" s="125" t="s">
        <v>26</v>
      </c>
      <c r="K181" s="70">
        <v>1329</v>
      </c>
      <c r="L181" s="139">
        <v>843.5</v>
      </c>
      <c r="M181" s="116"/>
      <c r="N181" s="71">
        <f t="shared" si="2"/>
        <v>0</v>
      </c>
      <c r="O181" s="76"/>
    </row>
    <row r="182" spans="1:21" x14ac:dyDescent="0.3">
      <c r="A182" s="148">
        <v>169</v>
      </c>
      <c r="B182" s="59" t="s">
        <v>324</v>
      </c>
      <c r="C182" s="59" t="s">
        <v>1</v>
      </c>
      <c r="D182" s="115" t="s">
        <v>338</v>
      </c>
      <c r="E182" s="59" t="s">
        <v>339</v>
      </c>
      <c r="F182" s="115" t="s">
        <v>340</v>
      </c>
      <c r="G182" s="59" t="s">
        <v>320</v>
      </c>
      <c r="H182" s="115" t="s">
        <v>321</v>
      </c>
      <c r="I182" s="115" t="s">
        <v>341</v>
      </c>
      <c r="J182" s="125" t="s">
        <v>26</v>
      </c>
      <c r="K182" s="70">
        <v>1379</v>
      </c>
      <c r="L182" s="139">
        <v>875.2</v>
      </c>
      <c r="M182" s="116"/>
      <c r="N182" s="71">
        <f t="shared" si="2"/>
        <v>0</v>
      </c>
      <c r="O182" s="76"/>
    </row>
    <row r="183" spans="1:21" x14ac:dyDescent="0.3">
      <c r="A183" s="148">
        <v>170</v>
      </c>
      <c r="B183" s="59" t="s">
        <v>324</v>
      </c>
      <c r="C183" s="59" t="s">
        <v>1</v>
      </c>
      <c r="D183" s="115" t="s">
        <v>338</v>
      </c>
      <c r="E183" s="59" t="s">
        <v>342</v>
      </c>
      <c r="F183" s="115" t="s">
        <v>340</v>
      </c>
      <c r="G183" s="59" t="s">
        <v>320</v>
      </c>
      <c r="H183" s="115" t="s">
        <v>321</v>
      </c>
      <c r="I183" s="115" t="s">
        <v>343</v>
      </c>
      <c r="J183" s="125" t="s">
        <v>26</v>
      </c>
      <c r="K183" s="70">
        <v>1429</v>
      </c>
      <c r="L183" s="139">
        <v>906.9</v>
      </c>
      <c r="M183" s="116"/>
      <c r="N183" s="71">
        <f t="shared" si="2"/>
        <v>0</v>
      </c>
      <c r="O183" s="76"/>
      <c r="P183" s="121"/>
      <c r="Q183" s="121"/>
      <c r="R183" s="121"/>
      <c r="S183" s="121"/>
      <c r="T183" s="121"/>
      <c r="U183" s="121"/>
    </row>
    <row r="184" spans="1:21" x14ac:dyDescent="0.3">
      <c r="A184" s="148">
        <v>171</v>
      </c>
      <c r="B184" s="59" t="s">
        <v>324</v>
      </c>
      <c r="C184" s="59" t="s">
        <v>1</v>
      </c>
      <c r="D184" s="115" t="s">
        <v>354</v>
      </c>
      <c r="E184" s="59" t="s">
        <v>355</v>
      </c>
      <c r="F184" s="115" t="s">
        <v>356</v>
      </c>
      <c r="G184" s="59" t="s">
        <v>357</v>
      </c>
      <c r="H184" s="59" t="s">
        <v>358</v>
      </c>
      <c r="I184" s="115" t="s">
        <v>359</v>
      </c>
      <c r="J184" s="125" t="s">
        <v>26</v>
      </c>
      <c r="K184" s="70">
        <v>1789</v>
      </c>
      <c r="L184" s="139">
        <v>1135.3999999999999</v>
      </c>
      <c r="M184" s="116"/>
      <c r="N184" s="71">
        <f t="shared" si="2"/>
        <v>0</v>
      </c>
      <c r="O184" s="76"/>
    </row>
    <row r="185" spans="1:21" x14ac:dyDescent="0.3">
      <c r="A185" s="148">
        <v>172</v>
      </c>
      <c r="B185" s="59" t="s">
        <v>324</v>
      </c>
      <c r="C185" s="59" t="s">
        <v>1</v>
      </c>
      <c r="D185" s="115" t="s">
        <v>354</v>
      </c>
      <c r="E185" s="59" t="s">
        <v>360</v>
      </c>
      <c r="F185" s="115" t="s">
        <v>356</v>
      </c>
      <c r="G185" s="59" t="s">
        <v>357</v>
      </c>
      <c r="H185" s="59" t="s">
        <v>358</v>
      </c>
      <c r="I185" s="115" t="s">
        <v>361</v>
      </c>
      <c r="J185" s="125" t="s">
        <v>26</v>
      </c>
      <c r="K185" s="70">
        <v>1839</v>
      </c>
      <c r="L185" s="139">
        <v>1167.0999999999999</v>
      </c>
      <c r="M185" s="116"/>
      <c r="N185" s="71">
        <f t="shared" si="2"/>
        <v>0</v>
      </c>
      <c r="O185" s="76"/>
    </row>
    <row r="186" spans="1:21" x14ac:dyDescent="0.3">
      <c r="A186" s="148">
        <v>173</v>
      </c>
      <c r="B186" s="59" t="s">
        <v>324</v>
      </c>
      <c r="C186" s="59" t="s">
        <v>1</v>
      </c>
      <c r="D186" s="115" t="s">
        <v>354</v>
      </c>
      <c r="E186" s="59" t="s">
        <v>362</v>
      </c>
      <c r="F186" s="115" t="s">
        <v>356</v>
      </c>
      <c r="G186" s="59" t="s">
        <v>357</v>
      </c>
      <c r="H186" s="59" t="s">
        <v>358</v>
      </c>
      <c r="I186" s="115" t="s">
        <v>363</v>
      </c>
      <c r="J186" s="125" t="s">
        <v>26</v>
      </c>
      <c r="K186" s="70">
        <v>1895</v>
      </c>
      <c r="L186" s="139">
        <v>1202.5999999999999</v>
      </c>
      <c r="M186" s="116"/>
      <c r="N186" s="71">
        <f t="shared" si="2"/>
        <v>0</v>
      </c>
      <c r="O186" s="76"/>
    </row>
    <row r="187" spans="1:21" x14ac:dyDescent="0.3">
      <c r="A187" s="148">
        <v>174</v>
      </c>
      <c r="B187" s="59" t="s">
        <v>324</v>
      </c>
      <c r="C187" s="59" t="s">
        <v>1</v>
      </c>
      <c r="D187" s="115" t="s">
        <v>393</v>
      </c>
      <c r="E187" s="59" t="s">
        <v>394</v>
      </c>
      <c r="F187" s="115" t="s">
        <v>395</v>
      </c>
      <c r="G187" s="59" t="s">
        <v>367</v>
      </c>
      <c r="H187" s="59" t="s">
        <v>368</v>
      </c>
      <c r="I187" s="115" t="s">
        <v>381</v>
      </c>
      <c r="J187" s="125" t="s">
        <v>353</v>
      </c>
      <c r="K187" s="70">
        <v>1439</v>
      </c>
      <c r="L187" s="139">
        <v>913.30000000000007</v>
      </c>
      <c r="M187" s="116"/>
      <c r="N187" s="71">
        <f t="shared" si="2"/>
        <v>0</v>
      </c>
      <c r="O187" s="76"/>
    </row>
    <row r="188" spans="1:21" x14ac:dyDescent="0.3">
      <c r="A188" s="148">
        <v>175</v>
      </c>
      <c r="B188" s="59" t="s">
        <v>324</v>
      </c>
      <c r="C188" s="59" t="s">
        <v>1</v>
      </c>
      <c r="D188" s="115" t="s">
        <v>393</v>
      </c>
      <c r="E188" s="59" t="s">
        <v>396</v>
      </c>
      <c r="F188" s="115" t="s">
        <v>395</v>
      </c>
      <c r="G188" s="59" t="s">
        <v>367</v>
      </c>
      <c r="H188" s="59" t="s">
        <v>368</v>
      </c>
      <c r="I188" s="115" t="s">
        <v>361</v>
      </c>
      <c r="J188" s="125" t="s">
        <v>353</v>
      </c>
      <c r="K188" s="70">
        <v>1459</v>
      </c>
      <c r="L188" s="139">
        <v>926</v>
      </c>
      <c r="M188" s="116"/>
      <c r="N188" s="71">
        <f t="shared" si="2"/>
        <v>0</v>
      </c>
      <c r="O188" s="76"/>
    </row>
    <row r="189" spans="1:21" x14ac:dyDescent="0.3">
      <c r="A189" s="148">
        <v>176</v>
      </c>
      <c r="B189" s="59" t="s">
        <v>324</v>
      </c>
      <c r="C189" s="59" t="s">
        <v>1</v>
      </c>
      <c r="D189" s="115" t="s">
        <v>393</v>
      </c>
      <c r="E189" s="59" t="s">
        <v>397</v>
      </c>
      <c r="F189" s="115" t="s">
        <v>395</v>
      </c>
      <c r="G189" s="59" t="s">
        <v>367</v>
      </c>
      <c r="H189" s="59" t="s">
        <v>368</v>
      </c>
      <c r="I189" s="115" t="s">
        <v>305</v>
      </c>
      <c r="J189" s="125" t="s">
        <v>26</v>
      </c>
      <c r="K189" s="70">
        <v>1479</v>
      </c>
      <c r="L189" s="139">
        <v>938.6</v>
      </c>
      <c r="M189" s="116"/>
      <c r="N189" s="71">
        <f t="shared" si="2"/>
        <v>0</v>
      </c>
      <c r="O189" s="76"/>
    </row>
    <row r="190" spans="1:21" x14ac:dyDescent="0.3">
      <c r="A190" s="148">
        <v>177</v>
      </c>
      <c r="B190" s="59" t="s">
        <v>324</v>
      </c>
      <c r="C190" s="59" t="s">
        <v>1</v>
      </c>
      <c r="D190" s="115" t="s">
        <v>393</v>
      </c>
      <c r="E190" s="59" t="s">
        <v>398</v>
      </c>
      <c r="F190" s="115" t="s">
        <v>395</v>
      </c>
      <c r="G190" s="59" t="s">
        <v>367</v>
      </c>
      <c r="H190" s="59" t="s">
        <v>368</v>
      </c>
      <c r="I190" s="115" t="s">
        <v>399</v>
      </c>
      <c r="J190" s="125" t="s">
        <v>26</v>
      </c>
      <c r="K190" s="70">
        <v>1499</v>
      </c>
      <c r="L190" s="139">
        <v>951.30000000000007</v>
      </c>
      <c r="M190" s="116"/>
      <c r="N190" s="71">
        <f t="shared" si="2"/>
        <v>0</v>
      </c>
      <c r="O190" s="76"/>
    </row>
    <row r="191" spans="1:21" x14ac:dyDescent="0.3">
      <c r="A191" s="148">
        <v>178</v>
      </c>
      <c r="B191" s="59" t="s">
        <v>324</v>
      </c>
      <c r="C191" s="59" t="s">
        <v>1</v>
      </c>
      <c r="D191" s="115" t="s">
        <v>344</v>
      </c>
      <c r="E191" s="59" t="s">
        <v>345</v>
      </c>
      <c r="F191" s="115" t="s">
        <v>346</v>
      </c>
      <c r="G191" s="59" t="s">
        <v>320</v>
      </c>
      <c r="H191" s="115" t="s">
        <v>321</v>
      </c>
      <c r="I191" s="115" t="s">
        <v>347</v>
      </c>
      <c r="J191" s="125" t="s">
        <v>26</v>
      </c>
      <c r="K191" s="70">
        <v>1229</v>
      </c>
      <c r="L191" s="139">
        <v>780</v>
      </c>
      <c r="M191" s="116"/>
      <c r="N191" s="71">
        <f t="shared" si="2"/>
        <v>0</v>
      </c>
      <c r="O191" s="76"/>
    </row>
    <row r="192" spans="1:21" x14ac:dyDescent="0.3">
      <c r="A192" s="148">
        <v>179</v>
      </c>
      <c r="B192" s="59" t="s">
        <v>324</v>
      </c>
      <c r="C192" s="59" t="s">
        <v>1</v>
      </c>
      <c r="D192" s="115" t="s">
        <v>344</v>
      </c>
      <c r="E192" s="59" t="s">
        <v>348</v>
      </c>
      <c r="F192" s="115" t="s">
        <v>346</v>
      </c>
      <c r="G192" s="59" t="s">
        <v>320</v>
      </c>
      <c r="H192" s="115" t="s">
        <v>321</v>
      </c>
      <c r="I192" s="115" t="s">
        <v>349</v>
      </c>
      <c r="J192" s="125" t="s">
        <v>26</v>
      </c>
      <c r="K192" s="70">
        <v>1279</v>
      </c>
      <c r="L192" s="139">
        <v>811.7</v>
      </c>
      <c r="M192" s="116"/>
      <c r="N192" s="71">
        <f t="shared" si="2"/>
        <v>0</v>
      </c>
      <c r="O192" s="76"/>
    </row>
    <row r="193" spans="1:15" x14ac:dyDescent="0.3">
      <c r="A193" s="148">
        <v>180</v>
      </c>
      <c r="B193" s="59" t="s">
        <v>324</v>
      </c>
      <c r="C193" s="59" t="s">
        <v>1</v>
      </c>
      <c r="D193" s="115" t="s">
        <v>344</v>
      </c>
      <c r="E193" s="59" t="s">
        <v>350</v>
      </c>
      <c r="F193" s="115" t="s">
        <v>346</v>
      </c>
      <c r="G193" s="59" t="s">
        <v>320</v>
      </c>
      <c r="H193" s="115" t="s">
        <v>321</v>
      </c>
      <c r="I193" s="115" t="s">
        <v>351</v>
      </c>
      <c r="J193" s="125" t="s">
        <v>26</v>
      </c>
      <c r="K193" s="70">
        <v>1329</v>
      </c>
      <c r="L193" s="139">
        <v>843.5</v>
      </c>
      <c r="M193" s="116"/>
      <c r="N193" s="71">
        <f t="shared" si="2"/>
        <v>0</v>
      </c>
      <c r="O193" s="76"/>
    </row>
    <row r="194" spans="1:15" x14ac:dyDescent="0.3">
      <c r="A194" s="148">
        <v>181</v>
      </c>
      <c r="B194" s="59" t="s">
        <v>324</v>
      </c>
      <c r="C194" s="59" t="s">
        <v>1</v>
      </c>
      <c r="D194" s="115" t="s">
        <v>344</v>
      </c>
      <c r="E194" s="59" t="s">
        <v>352</v>
      </c>
      <c r="F194" s="115" t="s">
        <v>346</v>
      </c>
      <c r="G194" s="59" t="s">
        <v>320</v>
      </c>
      <c r="H194" s="59" t="s">
        <v>321</v>
      </c>
      <c r="I194" s="115" t="s">
        <v>332</v>
      </c>
      <c r="J194" s="125" t="s">
        <v>353</v>
      </c>
      <c r="K194" s="70">
        <v>1379</v>
      </c>
      <c r="L194" s="139">
        <v>875.2</v>
      </c>
      <c r="M194" s="116"/>
      <c r="N194" s="71">
        <f t="shared" si="2"/>
        <v>0</v>
      </c>
      <c r="O194" s="76"/>
    </row>
    <row r="195" spans="1:15" x14ac:dyDescent="0.3">
      <c r="A195" s="148">
        <v>182</v>
      </c>
      <c r="B195" s="59" t="s">
        <v>324</v>
      </c>
      <c r="C195" s="59" t="s">
        <v>1</v>
      </c>
      <c r="D195" s="115" t="s">
        <v>364</v>
      </c>
      <c r="E195" s="59" t="s">
        <v>365</v>
      </c>
      <c r="F195" s="115" t="s">
        <v>366</v>
      </c>
      <c r="G195" s="59" t="s">
        <v>367</v>
      </c>
      <c r="H195" s="59" t="s">
        <v>368</v>
      </c>
      <c r="I195" s="115" t="s">
        <v>369</v>
      </c>
      <c r="J195" s="125" t="s">
        <v>101</v>
      </c>
      <c r="K195" s="70">
        <v>1249</v>
      </c>
      <c r="L195" s="139">
        <v>792.7</v>
      </c>
      <c r="M195" s="116"/>
      <c r="N195" s="71">
        <f t="shared" si="2"/>
        <v>0</v>
      </c>
      <c r="O195" s="76"/>
    </row>
    <row r="196" spans="1:15" x14ac:dyDescent="0.3">
      <c r="A196" s="148">
        <v>183</v>
      </c>
      <c r="B196" s="59" t="s">
        <v>324</v>
      </c>
      <c r="C196" s="59" t="s">
        <v>1</v>
      </c>
      <c r="D196" s="115" t="s">
        <v>364</v>
      </c>
      <c r="E196" s="59" t="s">
        <v>370</v>
      </c>
      <c r="F196" s="115" t="s">
        <v>366</v>
      </c>
      <c r="G196" s="59" t="s">
        <v>367</v>
      </c>
      <c r="H196" s="59" t="s">
        <v>368</v>
      </c>
      <c r="I196" s="115" t="s">
        <v>371</v>
      </c>
      <c r="J196" s="125" t="s">
        <v>101</v>
      </c>
      <c r="K196" s="70">
        <v>1299</v>
      </c>
      <c r="L196" s="139">
        <v>824.4</v>
      </c>
      <c r="M196" s="116"/>
      <c r="N196" s="71">
        <f t="shared" si="2"/>
        <v>0</v>
      </c>
      <c r="O196" s="76"/>
    </row>
    <row r="197" spans="1:15" x14ac:dyDescent="0.3">
      <c r="A197" s="148">
        <v>184</v>
      </c>
      <c r="B197" s="59" t="s">
        <v>400</v>
      </c>
      <c r="C197" s="59" t="s">
        <v>1</v>
      </c>
      <c r="D197" s="115" t="s">
        <v>437</v>
      </c>
      <c r="E197" s="59" t="s">
        <v>438</v>
      </c>
      <c r="F197" s="115" t="s">
        <v>439</v>
      </c>
      <c r="G197" s="59" t="s">
        <v>58</v>
      </c>
      <c r="H197" s="59" t="s">
        <v>59</v>
      </c>
      <c r="I197" s="115" t="s">
        <v>440</v>
      </c>
      <c r="J197" s="125" t="s">
        <v>101</v>
      </c>
      <c r="K197" s="70">
        <v>1129</v>
      </c>
      <c r="L197" s="139">
        <v>572.9</v>
      </c>
      <c r="M197" s="116"/>
      <c r="N197" s="71">
        <f t="shared" si="2"/>
        <v>0</v>
      </c>
      <c r="O197" s="76"/>
    </row>
    <row r="198" spans="1:15" x14ac:dyDescent="0.3">
      <c r="A198" s="148">
        <v>185</v>
      </c>
      <c r="B198" s="59" t="s">
        <v>400</v>
      </c>
      <c r="C198" s="59" t="s">
        <v>1</v>
      </c>
      <c r="D198" s="115" t="s">
        <v>437</v>
      </c>
      <c r="E198" s="59" t="s">
        <v>441</v>
      </c>
      <c r="F198" s="115" t="s">
        <v>439</v>
      </c>
      <c r="G198" s="59" t="s">
        <v>58</v>
      </c>
      <c r="H198" s="59" t="s">
        <v>59</v>
      </c>
      <c r="I198" s="115" t="s">
        <v>424</v>
      </c>
      <c r="J198" s="125" t="s">
        <v>101</v>
      </c>
      <c r="K198" s="70">
        <v>1179</v>
      </c>
      <c r="L198" s="139">
        <v>598.30000000000007</v>
      </c>
      <c r="M198" s="116"/>
      <c r="N198" s="71">
        <f t="shared" si="2"/>
        <v>0</v>
      </c>
      <c r="O198" s="76"/>
    </row>
    <row r="199" spans="1:15" x14ac:dyDescent="0.3">
      <c r="A199" s="148">
        <v>186</v>
      </c>
      <c r="B199" s="59" t="s">
        <v>400</v>
      </c>
      <c r="C199" s="59" t="s">
        <v>1</v>
      </c>
      <c r="D199" s="115" t="s">
        <v>437</v>
      </c>
      <c r="E199" s="59" t="s">
        <v>442</v>
      </c>
      <c r="F199" s="115" t="s">
        <v>439</v>
      </c>
      <c r="G199" s="59" t="s">
        <v>58</v>
      </c>
      <c r="H199" s="59" t="s">
        <v>59</v>
      </c>
      <c r="I199" s="115" t="s">
        <v>60</v>
      </c>
      <c r="J199" s="125" t="s">
        <v>101</v>
      </c>
      <c r="K199" s="70">
        <v>1279</v>
      </c>
      <c r="L199" s="139">
        <v>649</v>
      </c>
      <c r="M199" s="116"/>
      <c r="N199" s="71">
        <f t="shared" si="2"/>
        <v>0</v>
      </c>
      <c r="O199" s="76"/>
    </row>
    <row r="200" spans="1:15" x14ac:dyDescent="0.3">
      <c r="A200" s="148">
        <v>187</v>
      </c>
      <c r="B200" s="59" t="s">
        <v>400</v>
      </c>
      <c r="C200" s="59" t="s">
        <v>1</v>
      </c>
      <c r="D200" s="115" t="s">
        <v>437</v>
      </c>
      <c r="E200" s="59" t="s">
        <v>443</v>
      </c>
      <c r="F200" s="115" t="s">
        <v>439</v>
      </c>
      <c r="G200" s="59" t="s">
        <v>58</v>
      </c>
      <c r="H200" s="59" t="s">
        <v>59</v>
      </c>
      <c r="I200" s="115" t="s">
        <v>404</v>
      </c>
      <c r="J200" s="125" t="s">
        <v>101</v>
      </c>
      <c r="K200" s="70">
        <v>1379</v>
      </c>
      <c r="L200" s="139">
        <v>699.80000000000007</v>
      </c>
      <c r="M200" s="116"/>
      <c r="N200" s="71">
        <f t="shared" si="2"/>
        <v>0</v>
      </c>
      <c r="O200" s="76"/>
    </row>
    <row r="201" spans="1:15" x14ac:dyDescent="0.3">
      <c r="A201" s="148">
        <v>188</v>
      </c>
      <c r="B201" s="59" t="s">
        <v>400</v>
      </c>
      <c r="C201" s="59" t="s">
        <v>1</v>
      </c>
      <c r="D201" s="115" t="s">
        <v>437</v>
      </c>
      <c r="E201" s="59" t="s">
        <v>444</v>
      </c>
      <c r="F201" s="115" t="s">
        <v>439</v>
      </c>
      <c r="G201" s="59" t="s">
        <v>58</v>
      </c>
      <c r="H201" s="59" t="s">
        <v>59</v>
      </c>
      <c r="I201" s="115" t="s">
        <v>406</v>
      </c>
      <c r="J201" s="125" t="s">
        <v>101</v>
      </c>
      <c r="K201" s="70">
        <v>1419</v>
      </c>
      <c r="L201" s="139">
        <v>720.1</v>
      </c>
      <c r="M201" s="116"/>
      <c r="N201" s="71">
        <f t="shared" si="2"/>
        <v>0</v>
      </c>
      <c r="O201" s="76"/>
    </row>
    <row r="202" spans="1:15" x14ac:dyDescent="0.3">
      <c r="A202" s="148">
        <v>189</v>
      </c>
      <c r="B202" s="59" t="s">
        <v>400</v>
      </c>
      <c r="C202" s="59" t="s">
        <v>1</v>
      </c>
      <c r="D202" s="115" t="s">
        <v>437</v>
      </c>
      <c r="E202" s="59" t="s">
        <v>445</v>
      </c>
      <c r="F202" s="115" t="s">
        <v>439</v>
      </c>
      <c r="G202" s="59" t="s">
        <v>58</v>
      </c>
      <c r="H202" s="59" t="s">
        <v>59</v>
      </c>
      <c r="I202" s="115" t="s">
        <v>408</v>
      </c>
      <c r="J202" s="125" t="s">
        <v>101</v>
      </c>
      <c r="K202" s="70">
        <v>1429</v>
      </c>
      <c r="L202" s="139">
        <v>725.2</v>
      </c>
      <c r="M202" s="116"/>
      <c r="N202" s="71">
        <f t="shared" si="2"/>
        <v>0</v>
      </c>
      <c r="O202" s="76"/>
    </row>
    <row r="203" spans="1:15" x14ac:dyDescent="0.3">
      <c r="A203" s="148">
        <v>190</v>
      </c>
      <c r="B203" s="59" t="s">
        <v>400</v>
      </c>
      <c r="C203" s="59" t="s">
        <v>1</v>
      </c>
      <c r="D203" s="115" t="s">
        <v>437</v>
      </c>
      <c r="E203" s="59" t="s">
        <v>446</v>
      </c>
      <c r="F203" s="115" t="s">
        <v>439</v>
      </c>
      <c r="G203" s="59" t="s">
        <v>58</v>
      </c>
      <c r="H203" s="59" t="s">
        <v>59</v>
      </c>
      <c r="I203" s="115" t="s">
        <v>410</v>
      </c>
      <c r="J203" s="125" t="s">
        <v>101</v>
      </c>
      <c r="K203" s="70">
        <v>1469</v>
      </c>
      <c r="L203" s="139">
        <v>745.4</v>
      </c>
      <c r="M203" s="116"/>
      <c r="N203" s="71">
        <f t="shared" si="2"/>
        <v>0</v>
      </c>
      <c r="O203" s="76"/>
    </row>
    <row r="204" spans="1:15" x14ac:dyDescent="0.3">
      <c r="A204" s="148">
        <v>191</v>
      </c>
      <c r="B204" s="59" t="s">
        <v>400</v>
      </c>
      <c r="C204" s="59" t="s">
        <v>1</v>
      </c>
      <c r="D204" s="115" t="s">
        <v>401</v>
      </c>
      <c r="E204" s="59" t="s">
        <v>402</v>
      </c>
      <c r="F204" s="115" t="s">
        <v>403</v>
      </c>
      <c r="G204" s="59" t="s">
        <v>30</v>
      </c>
      <c r="H204" s="59" t="s">
        <v>31</v>
      </c>
      <c r="I204" s="115" t="s">
        <v>404</v>
      </c>
      <c r="J204" s="125" t="s">
        <v>101</v>
      </c>
      <c r="K204" s="70">
        <v>1199</v>
      </c>
      <c r="L204" s="139">
        <v>608.4</v>
      </c>
      <c r="M204" s="116"/>
      <c r="N204" s="71">
        <f t="shared" si="2"/>
        <v>0</v>
      </c>
      <c r="O204" s="76"/>
    </row>
    <row r="205" spans="1:15" x14ac:dyDescent="0.3">
      <c r="A205" s="148">
        <v>192</v>
      </c>
      <c r="B205" s="59" t="s">
        <v>400</v>
      </c>
      <c r="C205" s="59" t="s">
        <v>1</v>
      </c>
      <c r="D205" s="115" t="s">
        <v>401</v>
      </c>
      <c r="E205" s="59" t="s">
        <v>405</v>
      </c>
      <c r="F205" s="115" t="s">
        <v>403</v>
      </c>
      <c r="G205" s="59" t="s">
        <v>30</v>
      </c>
      <c r="H205" s="59" t="s">
        <v>31</v>
      </c>
      <c r="I205" s="115" t="s">
        <v>406</v>
      </c>
      <c r="J205" s="125" t="s">
        <v>101</v>
      </c>
      <c r="K205" s="70">
        <v>1249</v>
      </c>
      <c r="L205" s="139">
        <v>633.80000000000007</v>
      </c>
      <c r="M205" s="116"/>
      <c r="N205" s="71">
        <f t="shared" si="2"/>
        <v>0</v>
      </c>
      <c r="O205" s="76"/>
    </row>
    <row r="206" spans="1:15" x14ac:dyDescent="0.3">
      <c r="A206" s="148">
        <v>193</v>
      </c>
      <c r="B206" s="59" t="s">
        <v>400</v>
      </c>
      <c r="C206" s="59" t="s">
        <v>1</v>
      </c>
      <c r="D206" s="115" t="s">
        <v>401</v>
      </c>
      <c r="E206" s="59" t="s">
        <v>407</v>
      </c>
      <c r="F206" s="115" t="s">
        <v>403</v>
      </c>
      <c r="G206" s="59" t="s">
        <v>30</v>
      </c>
      <c r="H206" s="59" t="s">
        <v>31</v>
      </c>
      <c r="I206" s="115" t="s">
        <v>408</v>
      </c>
      <c r="J206" s="125" t="s">
        <v>101</v>
      </c>
      <c r="K206" s="70">
        <v>1299</v>
      </c>
      <c r="L206" s="139">
        <v>659.2</v>
      </c>
      <c r="M206" s="116"/>
      <c r="N206" s="71">
        <f t="shared" ref="N206:N269" si="3">L206*M206</f>
        <v>0</v>
      </c>
      <c r="O206" s="76"/>
    </row>
    <row r="207" spans="1:15" x14ac:dyDescent="0.3">
      <c r="A207" s="148">
        <v>194</v>
      </c>
      <c r="B207" s="59" t="s">
        <v>400</v>
      </c>
      <c r="C207" s="59" t="s">
        <v>1</v>
      </c>
      <c r="D207" s="115" t="s">
        <v>401</v>
      </c>
      <c r="E207" s="59" t="s">
        <v>409</v>
      </c>
      <c r="F207" s="115" t="s">
        <v>403</v>
      </c>
      <c r="G207" s="59" t="s">
        <v>30</v>
      </c>
      <c r="H207" s="59" t="s">
        <v>31</v>
      </c>
      <c r="I207" s="115" t="s">
        <v>410</v>
      </c>
      <c r="J207" s="125" t="s">
        <v>101</v>
      </c>
      <c r="K207" s="70">
        <v>1349</v>
      </c>
      <c r="L207" s="139">
        <v>684.6</v>
      </c>
      <c r="M207" s="116"/>
      <c r="N207" s="71">
        <f t="shared" si="3"/>
        <v>0</v>
      </c>
      <c r="O207" s="76"/>
    </row>
    <row r="208" spans="1:15" x14ac:dyDescent="0.3">
      <c r="A208" s="148">
        <v>195</v>
      </c>
      <c r="B208" s="59" t="s">
        <v>400</v>
      </c>
      <c r="C208" s="59" t="s">
        <v>1</v>
      </c>
      <c r="D208" s="115" t="s">
        <v>401</v>
      </c>
      <c r="E208" s="59" t="s">
        <v>411</v>
      </c>
      <c r="F208" s="115" t="s">
        <v>403</v>
      </c>
      <c r="G208" s="59" t="s">
        <v>81</v>
      </c>
      <c r="H208" s="59" t="s">
        <v>82</v>
      </c>
      <c r="I208" s="115" t="s">
        <v>60</v>
      </c>
      <c r="J208" s="125" t="s">
        <v>101</v>
      </c>
      <c r="K208" s="70">
        <v>1149</v>
      </c>
      <c r="L208" s="139">
        <v>583.1</v>
      </c>
      <c r="M208" s="116"/>
      <c r="N208" s="71">
        <f t="shared" si="3"/>
        <v>0</v>
      </c>
      <c r="O208" s="76"/>
    </row>
    <row r="209" spans="1:15" x14ac:dyDescent="0.3">
      <c r="A209" s="148">
        <v>196</v>
      </c>
      <c r="B209" s="59" t="s">
        <v>400</v>
      </c>
      <c r="C209" s="59" t="s">
        <v>1</v>
      </c>
      <c r="D209" s="115" t="s">
        <v>401</v>
      </c>
      <c r="E209" s="59" t="s">
        <v>412</v>
      </c>
      <c r="F209" s="115" t="s">
        <v>403</v>
      </c>
      <c r="G209" s="59" t="s">
        <v>81</v>
      </c>
      <c r="H209" s="59" t="s">
        <v>82</v>
      </c>
      <c r="I209" s="115" t="s">
        <v>404</v>
      </c>
      <c r="J209" s="125" t="s">
        <v>101</v>
      </c>
      <c r="K209" s="70">
        <v>1199</v>
      </c>
      <c r="L209" s="139">
        <v>608.4</v>
      </c>
      <c r="M209" s="116"/>
      <c r="N209" s="71">
        <f t="shared" si="3"/>
        <v>0</v>
      </c>
      <c r="O209" s="76"/>
    </row>
    <row r="210" spans="1:15" x14ac:dyDescent="0.3">
      <c r="A210" s="148">
        <v>197</v>
      </c>
      <c r="B210" s="59" t="s">
        <v>400</v>
      </c>
      <c r="C210" s="59" t="s">
        <v>1</v>
      </c>
      <c r="D210" s="115" t="s">
        <v>401</v>
      </c>
      <c r="E210" s="59" t="s">
        <v>413</v>
      </c>
      <c r="F210" s="115" t="s">
        <v>403</v>
      </c>
      <c r="G210" s="59" t="s">
        <v>81</v>
      </c>
      <c r="H210" s="59" t="s">
        <v>82</v>
      </c>
      <c r="I210" s="115" t="s">
        <v>406</v>
      </c>
      <c r="J210" s="125" t="s">
        <v>101</v>
      </c>
      <c r="K210" s="70">
        <v>1249</v>
      </c>
      <c r="L210" s="139">
        <v>633.80000000000007</v>
      </c>
      <c r="M210" s="116"/>
      <c r="N210" s="71">
        <f t="shared" si="3"/>
        <v>0</v>
      </c>
      <c r="O210" s="76"/>
    </row>
    <row r="211" spans="1:15" x14ac:dyDescent="0.3">
      <c r="A211" s="148">
        <v>198</v>
      </c>
      <c r="B211" s="59" t="s">
        <v>400</v>
      </c>
      <c r="C211" s="59" t="s">
        <v>1</v>
      </c>
      <c r="D211" s="115" t="s">
        <v>401</v>
      </c>
      <c r="E211" s="59" t="s">
        <v>414</v>
      </c>
      <c r="F211" s="115" t="s">
        <v>403</v>
      </c>
      <c r="G211" s="59" t="s">
        <v>81</v>
      </c>
      <c r="H211" s="59" t="s">
        <v>82</v>
      </c>
      <c r="I211" s="115" t="s">
        <v>408</v>
      </c>
      <c r="J211" s="125" t="s">
        <v>101</v>
      </c>
      <c r="K211" s="70">
        <v>1299</v>
      </c>
      <c r="L211" s="139">
        <v>659.2</v>
      </c>
      <c r="M211" s="116"/>
      <c r="N211" s="71">
        <f t="shared" si="3"/>
        <v>0</v>
      </c>
      <c r="O211" s="76"/>
    </row>
    <row r="212" spans="1:15" x14ac:dyDescent="0.3">
      <c r="A212" s="148">
        <v>199</v>
      </c>
      <c r="B212" s="59" t="s">
        <v>400</v>
      </c>
      <c r="C212" s="59" t="s">
        <v>1</v>
      </c>
      <c r="D212" s="115" t="s">
        <v>401</v>
      </c>
      <c r="E212" s="59" t="s">
        <v>415</v>
      </c>
      <c r="F212" s="115" t="s">
        <v>403</v>
      </c>
      <c r="G212" s="59" t="s">
        <v>81</v>
      </c>
      <c r="H212" s="59" t="s">
        <v>82</v>
      </c>
      <c r="I212" s="115" t="s">
        <v>410</v>
      </c>
      <c r="J212" s="125" t="s">
        <v>101</v>
      </c>
      <c r="K212" s="70">
        <v>1349</v>
      </c>
      <c r="L212" s="139">
        <v>684.6</v>
      </c>
      <c r="M212" s="116"/>
      <c r="N212" s="71">
        <f t="shared" si="3"/>
        <v>0</v>
      </c>
      <c r="O212" s="76"/>
    </row>
    <row r="213" spans="1:15" x14ac:dyDescent="0.3">
      <c r="A213" s="148">
        <v>200</v>
      </c>
      <c r="B213" s="59" t="s">
        <v>400</v>
      </c>
      <c r="C213" s="59" t="s">
        <v>1</v>
      </c>
      <c r="D213" s="115" t="s">
        <v>401</v>
      </c>
      <c r="E213" s="59" t="s">
        <v>416</v>
      </c>
      <c r="F213" s="115" t="s">
        <v>403</v>
      </c>
      <c r="G213" s="59" t="s">
        <v>81</v>
      </c>
      <c r="H213" s="59" t="s">
        <v>82</v>
      </c>
      <c r="I213" s="115" t="s">
        <v>36</v>
      </c>
      <c r="J213" s="125" t="s">
        <v>101</v>
      </c>
      <c r="K213" s="70">
        <v>1399</v>
      </c>
      <c r="L213" s="139">
        <v>709.9</v>
      </c>
      <c r="M213" s="116"/>
      <c r="N213" s="71">
        <f t="shared" si="3"/>
        <v>0</v>
      </c>
      <c r="O213" s="76"/>
    </row>
    <row r="214" spans="1:15" x14ac:dyDescent="0.3">
      <c r="A214" s="148">
        <v>201</v>
      </c>
      <c r="B214" s="59" t="s">
        <v>400</v>
      </c>
      <c r="C214" s="59" t="s">
        <v>1</v>
      </c>
      <c r="D214" s="115" t="s">
        <v>401</v>
      </c>
      <c r="E214" s="59" t="s">
        <v>417</v>
      </c>
      <c r="F214" s="115" t="s">
        <v>403</v>
      </c>
      <c r="G214" s="59" t="s">
        <v>91</v>
      </c>
      <c r="H214" s="59" t="s">
        <v>92</v>
      </c>
      <c r="I214" s="115" t="s">
        <v>404</v>
      </c>
      <c r="J214" s="125" t="s">
        <v>101</v>
      </c>
      <c r="K214" s="70">
        <v>1199</v>
      </c>
      <c r="L214" s="139">
        <v>608.4</v>
      </c>
      <c r="M214" s="116"/>
      <c r="N214" s="71">
        <f t="shared" si="3"/>
        <v>0</v>
      </c>
      <c r="O214" s="76"/>
    </row>
    <row r="215" spans="1:15" x14ac:dyDescent="0.3">
      <c r="A215" s="148">
        <v>202</v>
      </c>
      <c r="B215" s="59" t="s">
        <v>400</v>
      </c>
      <c r="C215" s="59" t="s">
        <v>1</v>
      </c>
      <c r="D215" s="115" t="s">
        <v>401</v>
      </c>
      <c r="E215" s="59" t="s">
        <v>418</v>
      </c>
      <c r="F215" s="115" t="s">
        <v>403</v>
      </c>
      <c r="G215" s="59" t="s">
        <v>91</v>
      </c>
      <c r="H215" s="59" t="s">
        <v>92</v>
      </c>
      <c r="I215" s="115" t="s">
        <v>406</v>
      </c>
      <c r="J215" s="125" t="s">
        <v>101</v>
      </c>
      <c r="K215" s="70">
        <v>1249</v>
      </c>
      <c r="L215" s="139">
        <v>633.80000000000007</v>
      </c>
      <c r="M215" s="116"/>
      <c r="N215" s="71">
        <f t="shared" si="3"/>
        <v>0</v>
      </c>
      <c r="O215" s="76"/>
    </row>
    <row r="216" spans="1:15" x14ac:dyDescent="0.3">
      <c r="A216" s="148">
        <v>203</v>
      </c>
      <c r="B216" s="59" t="s">
        <v>400</v>
      </c>
      <c r="C216" s="59" t="s">
        <v>1</v>
      </c>
      <c r="D216" s="115" t="s">
        <v>401</v>
      </c>
      <c r="E216" s="59" t="s">
        <v>419</v>
      </c>
      <c r="F216" s="115" t="s">
        <v>403</v>
      </c>
      <c r="G216" s="59" t="s">
        <v>91</v>
      </c>
      <c r="H216" s="59" t="s">
        <v>92</v>
      </c>
      <c r="I216" s="115" t="s">
        <v>408</v>
      </c>
      <c r="J216" s="125" t="s">
        <v>101</v>
      </c>
      <c r="K216" s="70">
        <v>1299</v>
      </c>
      <c r="L216" s="139">
        <v>659.2</v>
      </c>
      <c r="M216" s="116"/>
      <c r="N216" s="71">
        <f t="shared" si="3"/>
        <v>0</v>
      </c>
      <c r="O216" s="76"/>
    </row>
    <row r="217" spans="1:15" x14ac:dyDescent="0.3">
      <c r="A217" s="148">
        <v>204</v>
      </c>
      <c r="B217" s="59" t="s">
        <v>400</v>
      </c>
      <c r="C217" s="59" t="s">
        <v>1</v>
      </c>
      <c r="D217" s="115" t="s">
        <v>401</v>
      </c>
      <c r="E217" s="59" t="s">
        <v>420</v>
      </c>
      <c r="F217" s="115" t="s">
        <v>403</v>
      </c>
      <c r="G217" s="59" t="s">
        <v>91</v>
      </c>
      <c r="H217" s="59" t="s">
        <v>92</v>
      </c>
      <c r="I217" s="115" t="s">
        <v>410</v>
      </c>
      <c r="J217" s="125" t="s">
        <v>101</v>
      </c>
      <c r="K217" s="70">
        <v>1349</v>
      </c>
      <c r="L217" s="139">
        <v>684.6</v>
      </c>
      <c r="M217" s="116"/>
      <c r="N217" s="71">
        <f t="shared" si="3"/>
        <v>0</v>
      </c>
      <c r="O217" s="76"/>
    </row>
    <row r="218" spans="1:15" x14ac:dyDescent="0.3">
      <c r="A218" s="148">
        <v>205</v>
      </c>
      <c r="B218" s="59" t="s">
        <v>400</v>
      </c>
      <c r="C218" s="59" t="s">
        <v>1</v>
      </c>
      <c r="D218" s="115" t="s">
        <v>447</v>
      </c>
      <c r="E218" s="59" t="s">
        <v>448</v>
      </c>
      <c r="F218" s="115" t="s">
        <v>449</v>
      </c>
      <c r="G218" s="59" t="s">
        <v>58</v>
      </c>
      <c r="H218" s="59" t="s">
        <v>59</v>
      </c>
      <c r="I218" s="115" t="s">
        <v>404</v>
      </c>
      <c r="J218" s="125" t="s">
        <v>101</v>
      </c>
      <c r="K218" s="70">
        <v>1749</v>
      </c>
      <c r="L218" s="139">
        <v>887.5</v>
      </c>
      <c r="M218" s="116"/>
      <c r="N218" s="71">
        <f t="shared" si="3"/>
        <v>0</v>
      </c>
      <c r="O218" s="76"/>
    </row>
    <row r="219" spans="1:15" x14ac:dyDescent="0.3">
      <c r="A219" s="148">
        <v>206</v>
      </c>
      <c r="B219" s="59" t="s">
        <v>400</v>
      </c>
      <c r="C219" s="59" t="s">
        <v>1</v>
      </c>
      <c r="D219" s="115" t="s">
        <v>447</v>
      </c>
      <c r="E219" s="59" t="s">
        <v>450</v>
      </c>
      <c r="F219" s="115" t="s">
        <v>449</v>
      </c>
      <c r="G219" s="59" t="s">
        <v>58</v>
      </c>
      <c r="H219" s="59" t="s">
        <v>59</v>
      </c>
      <c r="I219" s="115" t="s">
        <v>406</v>
      </c>
      <c r="J219" s="125" t="s">
        <v>101</v>
      </c>
      <c r="K219" s="70">
        <v>1849</v>
      </c>
      <c r="L219" s="139">
        <v>938.30000000000007</v>
      </c>
      <c r="M219" s="116"/>
      <c r="N219" s="71">
        <f t="shared" si="3"/>
        <v>0</v>
      </c>
      <c r="O219" s="76"/>
    </row>
    <row r="220" spans="1:15" x14ac:dyDescent="0.3">
      <c r="A220" s="148">
        <v>207</v>
      </c>
      <c r="B220" s="59" t="s">
        <v>400</v>
      </c>
      <c r="C220" s="59" t="s">
        <v>1</v>
      </c>
      <c r="D220" s="115" t="s">
        <v>447</v>
      </c>
      <c r="E220" s="59" t="s">
        <v>451</v>
      </c>
      <c r="F220" s="115" t="s">
        <v>449</v>
      </c>
      <c r="G220" s="59" t="s">
        <v>58</v>
      </c>
      <c r="H220" s="59" t="s">
        <v>59</v>
      </c>
      <c r="I220" s="115" t="s">
        <v>408</v>
      </c>
      <c r="J220" s="125" t="s">
        <v>101</v>
      </c>
      <c r="K220" s="70">
        <v>1949</v>
      </c>
      <c r="L220" s="139">
        <v>989</v>
      </c>
      <c r="M220" s="116"/>
      <c r="N220" s="71">
        <f t="shared" si="3"/>
        <v>0</v>
      </c>
      <c r="O220" s="76"/>
    </row>
    <row r="221" spans="1:15" x14ac:dyDescent="0.3">
      <c r="A221" s="148">
        <v>208</v>
      </c>
      <c r="B221" s="59" t="s">
        <v>400</v>
      </c>
      <c r="C221" s="59" t="s">
        <v>1</v>
      </c>
      <c r="D221" s="115" t="s">
        <v>447</v>
      </c>
      <c r="E221" s="59" t="s">
        <v>452</v>
      </c>
      <c r="F221" s="115" t="s">
        <v>449</v>
      </c>
      <c r="G221" s="59" t="s">
        <v>58</v>
      </c>
      <c r="H221" s="59" t="s">
        <v>59</v>
      </c>
      <c r="I221" s="115" t="s">
        <v>410</v>
      </c>
      <c r="J221" s="125" t="s">
        <v>101</v>
      </c>
      <c r="K221" s="70">
        <v>2049</v>
      </c>
      <c r="L221" s="139">
        <v>1039.8</v>
      </c>
      <c r="M221" s="116"/>
      <c r="N221" s="71">
        <f t="shared" si="3"/>
        <v>0</v>
      </c>
      <c r="O221" s="76"/>
    </row>
    <row r="222" spans="1:15" x14ac:dyDescent="0.3">
      <c r="A222" s="148">
        <v>209</v>
      </c>
      <c r="B222" s="59" t="s">
        <v>400</v>
      </c>
      <c r="C222" s="59" t="s">
        <v>1</v>
      </c>
      <c r="D222" s="115" t="s">
        <v>447</v>
      </c>
      <c r="E222" s="59" t="s">
        <v>453</v>
      </c>
      <c r="F222" s="115" t="s">
        <v>449</v>
      </c>
      <c r="G222" s="59" t="s">
        <v>58</v>
      </c>
      <c r="H222" s="59" t="s">
        <v>59</v>
      </c>
      <c r="I222" s="115" t="s">
        <v>431</v>
      </c>
      <c r="J222" s="125" t="s">
        <v>101</v>
      </c>
      <c r="K222" s="70">
        <v>2099</v>
      </c>
      <c r="L222" s="139">
        <v>1065.0999999999999</v>
      </c>
      <c r="M222" s="116"/>
      <c r="N222" s="71">
        <f t="shared" si="3"/>
        <v>0</v>
      </c>
      <c r="O222" s="76"/>
    </row>
    <row r="223" spans="1:15" x14ac:dyDescent="0.3">
      <c r="A223" s="148">
        <v>210</v>
      </c>
      <c r="B223" s="59" t="s">
        <v>400</v>
      </c>
      <c r="C223" s="59" t="s">
        <v>1</v>
      </c>
      <c r="D223" s="115" t="s">
        <v>447</v>
      </c>
      <c r="E223" s="59" t="s">
        <v>454</v>
      </c>
      <c r="F223" s="115" t="s">
        <v>449</v>
      </c>
      <c r="G223" s="59" t="s">
        <v>58</v>
      </c>
      <c r="H223" s="59" t="s">
        <v>59</v>
      </c>
      <c r="I223" s="115" t="s">
        <v>36</v>
      </c>
      <c r="J223" s="125" t="s">
        <v>101</v>
      </c>
      <c r="K223" s="70">
        <v>2149</v>
      </c>
      <c r="L223" s="139">
        <v>1090.5</v>
      </c>
      <c r="M223" s="116"/>
      <c r="N223" s="71">
        <f t="shared" si="3"/>
        <v>0</v>
      </c>
      <c r="O223" s="76"/>
    </row>
    <row r="224" spans="1:15" x14ac:dyDescent="0.3">
      <c r="A224" s="148">
        <v>211</v>
      </c>
      <c r="B224" s="59" t="s">
        <v>400</v>
      </c>
      <c r="C224" s="59" t="s">
        <v>1</v>
      </c>
      <c r="D224" s="115" t="s">
        <v>421</v>
      </c>
      <c r="E224" s="59" t="s">
        <v>422</v>
      </c>
      <c r="F224" s="115" t="s">
        <v>423</v>
      </c>
      <c r="G224" s="59" t="s">
        <v>58</v>
      </c>
      <c r="H224" s="59" t="s">
        <v>59</v>
      </c>
      <c r="I224" s="115" t="s">
        <v>424</v>
      </c>
      <c r="J224" s="125" t="s">
        <v>26</v>
      </c>
      <c r="K224" s="70">
        <v>1299</v>
      </c>
      <c r="L224" s="139">
        <v>659.2</v>
      </c>
      <c r="M224" s="116"/>
      <c r="N224" s="71">
        <f t="shared" si="3"/>
        <v>0</v>
      </c>
      <c r="O224" s="76"/>
    </row>
    <row r="225" spans="1:15" x14ac:dyDescent="0.3">
      <c r="A225" s="148">
        <v>212</v>
      </c>
      <c r="B225" s="59" t="s">
        <v>400</v>
      </c>
      <c r="C225" s="59" t="s">
        <v>1</v>
      </c>
      <c r="D225" s="115" t="s">
        <v>421</v>
      </c>
      <c r="E225" s="59" t="s">
        <v>425</v>
      </c>
      <c r="F225" s="115" t="s">
        <v>423</v>
      </c>
      <c r="G225" s="59" t="s">
        <v>58</v>
      </c>
      <c r="H225" s="59" t="s">
        <v>59</v>
      </c>
      <c r="I225" s="115" t="s">
        <v>60</v>
      </c>
      <c r="J225" s="125" t="s">
        <v>26</v>
      </c>
      <c r="K225" s="70">
        <v>1399</v>
      </c>
      <c r="L225" s="139">
        <v>709.9</v>
      </c>
      <c r="M225" s="116"/>
      <c r="N225" s="71">
        <f t="shared" si="3"/>
        <v>0</v>
      </c>
      <c r="O225" s="76"/>
    </row>
    <row r="226" spans="1:15" x14ac:dyDescent="0.3">
      <c r="A226" s="148">
        <v>213</v>
      </c>
      <c r="B226" s="59" t="s">
        <v>400</v>
      </c>
      <c r="C226" s="59" t="s">
        <v>1</v>
      </c>
      <c r="D226" s="115" t="s">
        <v>421</v>
      </c>
      <c r="E226" s="59" t="s">
        <v>426</v>
      </c>
      <c r="F226" s="115" t="s">
        <v>423</v>
      </c>
      <c r="G226" s="59" t="s">
        <v>58</v>
      </c>
      <c r="H226" s="59" t="s">
        <v>59</v>
      </c>
      <c r="I226" s="115" t="s">
        <v>404</v>
      </c>
      <c r="J226" s="125" t="s">
        <v>26</v>
      </c>
      <c r="K226" s="70">
        <v>1499</v>
      </c>
      <c r="L226" s="139">
        <v>760.7</v>
      </c>
      <c r="M226" s="116"/>
      <c r="N226" s="71">
        <f t="shared" si="3"/>
        <v>0</v>
      </c>
      <c r="O226" s="76"/>
    </row>
    <row r="227" spans="1:15" x14ac:dyDescent="0.3">
      <c r="A227" s="148">
        <v>214</v>
      </c>
      <c r="B227" s="59" t="s">
        <v>400</v>
      </c>
      <c r="C227" s="59" t="s">
        <v>1</v>
      </c>
      <c r="D227" s="115" t="s">
        <v>421</v>
      </c>
      <c r="E227" s="59" t="s">
        <v>427</v>
      </c>
      <c r="F227" s="115" t="s">
        <v>423</v>
      </c>
      <c r="G227" s="59" t="s">
        <v>58</v>
      </c>
      <c r="H227" s="59" t="s">
        <v>59</v>
      </c>
      <c r="I227" s="115" t="s">
        <v>406</v>
      </c>
      <c r="J227" s="125" t="s">
        <v>26</v>
      </c>
      <c r="K227" s="70">
        <v>1549</v>
      </c>
      <c r="L227" s="139">
        <v>786</v>
      </c>
      <c r="M227" s="116"/>
      <c r="N227" s="71">
        <f t="shared" si="3"/>
        <v>0</v>
      </c>
      <c r="O227" s="76"/>
    </row>
    <row r="228" spans="1:15" x14ac:dyDescent="0.3">
      <c r="A228" s="148">
        <v>215</v>
      </c>
      <c r="B228" s="59" t="s">
        <v>400</v>
      </c>
      <c r="C228" s="59" t="s">
        <v>1</v>
      </c>
      <c r="D228" s="115" t="s">
        <v>421</v>
      </c>
      <c r="E228" s="59" t="s">
        <v>428</v>
      </c>
      <c r="F228" s="115" t="s">
        <v>423</v>
      </c>
      <c r="G228" s="59" t="s">
        <v>58</v>
      </c>
      <c r="H228" s="59" t="s">
        <v>59</v>
      </c>
      <c r="I228" s="115" t="s">
        <v>429</v>
      </c>
      <c r="J228" s="125" t="s">
        <v>26</v>
      </c>
      <c r="K228" s="70">
        <v>1599</v>
      </c>
      <c r="L228" s="139">
        <v>811.4</v>
      </c>
      <c r="M228" s="116"/>
      <c r="N228" s="71">
        <f t="shared" si="3"/>
        <v>0</v>
      </c>
      <c r="O228" s="76"/>
    </row>
    <row r="229" spans="1:15" x14ac:dyDescent="0.3">
      <c r="A229" s="148">
        <v>216</v>
      </c>
      <c r="B229" s="59" t="s">
        <v>400</v>
      </c>
      <c r="C229" s="59" t="s">
        <v>1</v>
      </c>
      <c r="D229" s="115" t="s">
        <v>421</v>
      </c>
      <c r="E229" s="59" t="s">
        <v>430</v>
      </c>
      <c r="F229" s="115" t="s">
        <v>423</v>
      </c>
      <c r="G229" s="59" t="s">
        <v>58</v>
      </c>
      <c r="H229" s="59" t="s">
        <v>59</v>
      </c>
      <c r="I229" s="115" t="s">
        <v>431</v>
      </c>
      <c r="J229" s="125" t="s">
        <v>26</v>
      </c>
      <c r="K229" s="70">
        <v>1649</v>
      </c>
      <c r="L229" s="139">
        <v>836.80000000000007</v>
      </c>
      <c r="M229" s="116"/>
      <c r="N229" s="71">
        <f t="shared" si="3"/>
        <v>0</v>
      </c>
      <c r="O229" s="76"/>
    </row>
    <row r="230" spans="1:15" x14ac:dyDescent="0.3">
      <c r="A230" s="148">
        <v>217</v>
      </c>
      <c r="B230" s="59" t="s">
        <v>400</v>
      </c>
      <c r="C230" s="59" t="s">
        <v>1</v>
      </c>
      <c r="D230" s="115" t="s">
        <v>432</v>
      </c>
      <c r="E230" s="59" t="s">
        <v>433</v>
      </c>
      <c r="F230" s="115" t="s">
        <v>434</v>
      </c>
      <c r="G230" s="59" t="s">
        <v>58</v>
      </c>
      <c r="H230" s="59" t="s">
        <v>59</v>
      </c>
      <c r="I230" s="115" t="s">
        <v>34</v>
      </c>
      <c r="J230" s="125" t="s">
        <v>101</v>
      </c>
      <c r="K230" s="70">
        <v>1679</v>
      </c>
      <c r="L230" s="139">
        <v>852</v>
      </c>
      <c r="M230" s="116"/>
      <c r="N230" s="71">
        <f t="shared" si="3"/>
        <v>0</v>
      </c>
      <c r="O230" s="76"/>
    </row>
    <row r="231" spans="1:15" x14ac:dyDescent="0.3">
      <c r="A231" s="148">
        <v>218</v>
      </c>
      <c r="B231" s="59" t="s">
        <v>400</v>
      </c>
      <c r="C231" s="59" t="s">
        <v>1</v>
      </c>
      <c r="D231" s="115" t="s">
        <v>432</v>
      </c>
      <c r="E231" s="59" t="s">
        <v>435</v>
      </c>
      <c r="F231" s="115" t="s">
        <v>434</v>
      </c>
      <c r="G231" s="59" t="s">
        <v>58</v>
      </c>
      <c r="H231" s="59" t="s">
        <v>59</v>
      </c>
      <c r="I231" s="147" t="s">
        <v>36</v>
      </c>
      <c r="J231" s="125" t="s">
        <v>101</v>
      </c>
      <c r="K231" s="70">
        <v>1739</v>
      </c>
      <c r="L231" s="139">
        <v>882.5</v>
      </c>
      <c r="M231" s="116"/>
      <c r="N231" s="71">
        <f t="shared" si="3"/>
        <v>0</v>
      </c>
      <c r="O231" s="76"/>
    </row>
    <row r="232" spans="1:15" x14ac:dyDescent="0.3">
      <c r="A232" s="148">
        <v>219</v>
      </c>
      <c r="B232" s="59" t="s">
        <v>400</v>
      </c>
      <c r="C232" s="59" t="s">
        <v>1</v>
      </c>
      <c r="D232" s="115" t="s">
        <v>432</v>
      </c>
      <c r="E232" s="59" t="s">
        <v>436</v>
      </c>
      <c r="F232" s="115" t="s">
        <v>434</v>
      </c>
      <c r="G232" s="59" t="s">
        <v>58</v>
      </c>
      <c r="H232" s="59" t="s">
        <v>59</v>
      </c>
      <c r="I232" s="115" t="s">
        <v>38</v>
      </c>
      <c r="J232" s="125" t="s">
        <v>101</v>
      </c>
      <c r="K232" s="70">
        <v>1799</v>
      </c>
      <c r="L232" s="139">
        <v>912.9</v>
      </c>
      <c r="M232" s="116"/>
      <c r="N232" s="71">
        <f t="shared" si="3"/>
        <v>0</v>
      </c>
      <c r="O232" s="76"/>
    </row>
    <row r="233" spans="1:15" x14ac:dyDescent="0.3">
      <c r="A233" s="148">
        <v>220</v>
      </c>
      <c r="B233" s="59" t="s">
        <v>400</v>
      </c>
      <c r="C233" s="59" t="s">
        <v>1</v>
      </c>
      <c r="D233" s="115" t="s">
        <v>465</v>
      </c>
      <c r="E233" s="59" t="s">
        <v>466</v>
      </c>
      <c r="F233" s="115" t="s">
        <v>467</v>
      </c>
      <c r="G233" s="59" t="s">
        <v>468</v>
      </c>
      <c r="H233" s="59" t="s">
        <v>469</v>
      </c>
      <c r="I233" s="115" t="s">
        <v>470</v>
      </c>
      <c r="J233" s="125" t="s">
        <v>101</v>
      </c>
      <c r="K233" s="70">
        <v>849</v>
      </c>
      <c r="L233" s="139">
        <v>430.8</v>
      </c>
      <c r="M233" s="116"/>
      <c r="N233" s="71">
        <f t="shared" si="3"/>
        <v>0</v>
      </c>
      <c r="O233" s="76"/>
    </row>
    <row r="234" spans="1:15" x14ac:dyDescent="0.3">
      <c r="A234" s="148">
        <v>221</v>
      </c>
      <c r="B234" s="59" t="s">
        <v>400</v>
      </c>
      <c r="C234" s="59" t="s">
        <v>1</v>
      </c>
      <c r="D234" s="115" t="s">
        <v>465</v>
      </c>
      <c r="E234" s="59" t="s">
        <v>471</v>
      </c>
      <c r="F234" s="115" t="s">
        <v>467</v>
      </c>
      <c r="G234" s="59" t="s">
        <v>468</v>
      </c>
      <c r="H234" s="59" t="s">
        <v>469</v>
      </c>
      <c r="I234" s="115" t="s">
        <v>424</v>
      </c>
      <c r="J234" s="125" t="s">
        <v>101</v>
      </c>
      <c r="K234" s="70">
        <v>889</v>
      </c>
      <c r="L234" s="139">
        <v>451.1</v>
      </c>
      <c r="M234" s="116"/>
      <c r="N234" s="71">
        <f t="shared" si="3"/>
        <v>0</v>
      </c>
      <c r="O234" s="76"/>
    </row>
    <row r="235" spans="1:15" x14ac:dyDescent="0.3">
      <c r="A235" s="148">
        <v>222</v>
      </c>
      <c r="B235" s="59" t="s">
        <v>400</v>
      </c>
      <c r="C235" s="59" t="s">
        <v>1</v>
      </c>
      <c r="D235" s="115" t="s">
        <v>465</v>
      </c>
      <c r="E235" s="59" t="s">
        <v>472</v>
      </c>
      <c r="F235" s="115" t="s">
        <v>467</v>
      </c>
      <c r="G235" s="59" t="s">
        <v>468</v>
      </c>
      <c r="H235" s="59" t="s">
        <v>469</v>
      </c>
      <c r="I235" s="115" t="s">
        <v>60</v>
      </c>
      <c r="J235" s="125" t="s">
        <v>101</v>
      </c>
      <c r="K235" s="70">
        <v>929</v>
      </c>
      <c r="L235" s="139">
        <v>471.40000000000003</v>
      </c>
      <c r="M235" s="116"/>
      <c r="N235" s="71">
        <f t="shared" si="3"/>
        <v>0</v>
      </c>
      <c r="O235" s="76"/>
    </row>
    <row r="236" spans="1:15" x14ac:dyDescent="0.3">
      <c r="A236" s="148">
        <v>223</v>
      </c>
      <c r="B236" s="59" t="s">
        <v>400</v>
      </c>
      <c r="C236" s="59" t="s">
        <v>1</v>
      </c>
      <c r="D236" s="115" t="s">
        <v>465</v>
      </c>
      <c r="E236" s="59" t="s">
        <v>473</v>
      </c>
      <c r="F236" s="115" t="s">
        <v>467</v>
      </c>
      <c r="G236" s="59" t="s">
        <v>468</v>
      </c>
      <c r="H236" s="59" t="s">
        <v>469</v>
      </c>
      <c r="I236" s="115" t="s">
        <v>404</v>
      </c>
      <c r="J236" s="125" t="s">
        <v>101</v>
      </c>
      <c r="K236" s="70">
        <v>969</v>
      </c>
      <c r="L236" s="139">
        <v>491.70000000000005</v>
      </c>
      <c r="M236" s="116"/>
      <c r="N236" s="71">
        <f t="shared" si="3"/>
        <v>0</v>
      </c>
      <c r="O236" s="76"/>
    </row>
    <row r="237" spans="1:15" x14ac:dyDescent="0.3">
      <c r="A237" s="148">
        <v>224</v>
      </c>
      <c r="B237" s="59" t="s">
        <v>400</v>
      </c>
      <c r="C237" s="59" t="s">
        <v>1</v>
      </c>
      <c r="D237" s="115" t="s">
        <v>465</v>
      </c>
      <c r="E237" s="59" t="s">
        <v>474</v>
      </c>
      <c r="F237" s="115" t="s">
        <v>467</v>
      </c>
      <c r="G237" s="59" t="s">
        <v>468</v>
      </c>
      <c r="H237" s="59" t="s">
        <v>469</v>
      </c>
      <c r="I237" s="115" t="s">
        <v>475</v>
      </c>
      <c r="J237" s="125" t="s">
        <v>101</v>
      </c>
      <c r="K237" s="70">
        <v>1009</v>
      </c>
      <c r="L237" s="139">
        <v>512</v>
      </c>
      <c r="M237" s="116"/>
      <c r="N237" s="71">
        <f t="shared" si="3"/>
        <v>0</v>
      </c>
      <c r="O237" s="76"/>
    </row>
    <row r="238" spans="1:15" x14ac:dyDescent="0.3">
      <c r="A238" s="148">
        <v>225</v>
      </c>
      <c r="B238" s="59" t="s">
        <v>400</v>
      </c>
      <c r="C238" s="59" t="s">
        <v>1</v>
      </c>
      <c r="D238" s="115" t="s">
        <v>465</v>
      </c>
      <c r="E238" s="59" t="s">
        <v>476</v>
      </c>
      <c r="F238" s="115" t="s">
        <v>467</v>
      </c>
      <c r="G238" s="59" t="s">
        <v>468</v>
      </c>
      <c r="H238" s="59" t="s">
        <v>469</v>
      </c>
      <c r="I238" s="115" t="s">
        <v>34</v>
      </c>
      <c r="J238" s="125" t="s">
        <v>101</v>
      </c>
      <c r="K238" s="70">
        <v>1049</v>
      </c>
      <c r="L238" s="139">
        <v>532.30000000000007</v>
      </c>
      <c r="M238" s="116"/>
      <c r="N238" s="71">
        <f t="shared" si="3"/>
        <v>0</v>
      </c>
      <c r="O238" s="76"/>
    </row>
    <row r="239" spans="1:15" x14ac:dyDescent="0.3">
      <c r="A239" s="148">
        <v>226</v>
      </c>
      <c r="B239" s="59" t="s">
        <v>400</v>
      </c>
      <c r="C239" s="59" t="s">
        <v>1</v>
      </c>
      <c r="D239" s="115" t="s">
        <v>455</v>
      </c>
      <c r="E239" s="59" t="s">
        <v>456</v>
      </c>
      <c r="F239" s="115" t="s">
        <v>457</v>
      </c>
      <c r="G239" s="59" t="s">
        <v>458</v>
      </c>
      <c r="H239" s="59" t="s">
        <v>459</v>
      </c>
      <c r="I239" s="115" t="s">
        <v>440</v>
      </c>
      <c r="J239" s="125" t="s">
        <v>26</v>
      </c>
      <c r="K239" s="70">
        <v>599</v>
      </c>
      <c r="L239" s="139">
        <v>304</v>
      </c>
      <c r="M239" s="116"/>
      <c r="N239" s="71">
        <f t="shared" si="3"/>
        <v>0</v>
      </c>
      <c r="O239" s="76"/>
    </row>
    <row r="240" spans="1:15" x14ac:dyDescent="0.3">
      <c r="A240" s="148">
        <v>227</v>
      </c>
      <c r="B240" s="59" t="s">
        <v>400</v>
      </c>
      <c r="C240" s="59" t="s">
        <v>1</v>
      </c>
      <c r="D240" s="115" t="s">
        <v>455</v>
      </c>
      <c r="E240" s="59" t="s">
        <v>460</v>
      </c>
      <c r="F240" s="115" t="s">
        <v>457</v>
      </c>
      <c r="G240" s="59" t="s">
        <v>458</v>
      </c>
      <c r="H240" s="59" t="s">
        <v>459</v>
      </c>
      <c r="I240" s="115" t="s">
        <v>461</v>
      </c>
      <c r="J240" s="125" t="s">
        <v>26</v>
      </c>
      <c r="K240" s="70">
        <v>649</v>
      </c>
      <c r="L240" s="139">
        <v>329.40000000000003</v>
      </c>
      <c r="M240" s="116"/>
      <c r="N240" s="71">
        <f t="shared" si="3"/>
        <v>0</v>
      </c>
      <c r="O240" s="76"/>
    </row>
    <row r="241" spans="1:15" x14ac:dyDescent="0.3">
      <c r="A241" s="148">
        <v>228</v>
      </c>
      <c r="B241" s="59" t="s">
        <v>400</v>
      </c>
      <c r="C241" s="59" t="s">
        <v>1</v>
      </c>
      <c r="D241" s="115" t="s">
        <v>455</v>
      </c>
      <c r="E241" s="59" t="s">
        <v>462</v>
      </c>
      <c r="F241" s="115" t="s">
        <v>457</v>
      </c>
      <c r="G241" s="59" t="s">
        <v>458</v>
      </c>
      <c r="H241" s="59" t="s">
        <v>459</v>
      </c>
      <c r="I241" s="115" t="s">
        <v>404</v>
      </c>
      <c r="J241" s="125" t="s">
        <v>26</v>
      </c>
      <c r="K241" s="70">
        <v>699</v>
      </c>
      <c r="L241" s="139">
        <v>354.70000000000005</v>
      </c>
      <c r="M241" s="116"/>
      <c r="N241" s="71">
        <f t="shared" si="3"/>
        <v>0</v>
      </c>
      <c r="O241" s="76"/>
    </row>
    <row r="242" spans="1:15" x14ac:dyDescent="0.3">
      <c r="A242" s="148">
        <v>229</v>
      </c>
      <c r="B242" s="59" t="s">
        <v>400</v>
      </c>
      <c r="C242" s="59" t="s">
        <v>1</v>
      </c>
      <c r="D242" s="115" t="s">
        <v>455</v>
      </c>
      <c r="E242" s="59" t="s">
        <v>463</v>
      </c>
      <c r="F242" s="115" t="s">
        <v>457</v>
      </c>
      <c r="G242" s="59" t="s">
        <v>458</v>
      </c>
      <c r="H242" s="59" t="s">
        <v>459</v>
      </c>
      <c r="I242" s="115" t="s">
        <v>464</v>
      </c>
      <c r="J242" s="125" t="s">
        <v>26</v>
      </c>
      <c r="K242" s="70">
        <v>749</v>
      </c>
      <c r="L242" s="139">
        <v>380.1</v>
      </c>
      <c r="M242" s="116"/>
      <c r="N242" s="71">
        <f t="shared" si="3"/>
        <v>0</v>
      </c>
      <c r="O242" s="76"/>
    </row>
    <row r="243" spans="1:15" x14ac:dyDescent="0.3">
      <c r="A243" s="148">
        <v>230</v>
      </c>
      <c r="B243" s="59" t="s">
        <v>492</v>
      </c>
      <c r="C243" s="59" t="s">
        <v>1</v>
      </c>
      <c r="D243" s="115" t="s">
        <v>493</v>
      </c>
      <c r="E243" s="59" t="s">
        <v>494</v>
      </c>
      <c r="F243" s="115" t="s">
        <v>495</v>
      </c>
      <c r="G243" s="59" t="s">
        <v>161</v>
      </c>
      <c r="H243" s="59" t="s">
        <v>162</v>
      </c>
      <c r="I243" s="115" t="s">
        <v>280</v>
      </c>
      <c r="J243" s="125" t="s">
        <v>26</v>
      </c>
      <c r="K243" s="70">
        <v>69</v>
      </c>
      <c r="L243" s="139">
        <v>39</v>
      </c>
      <c r="M243" s="116"/>
      <c r="N243" s="71">
        <f t="shared" si="3"/>
        <v>0</v>
      </c>
      <c r="O243" s="76"/>
    </row>
    <row r="244" spans="1:15" x14ac:dyDescent="0.3">
      <c r="A244" s="148">
        <v>231</v>
      </c>
      <c r="B244" s="15" t="s">
        <v>492</v>
      </c>
      <c r="C244" s="15" t="s">
        <v>1</v>
      </c>
      <c r="D244" s="16" t="s">
        <v>1805</v>
      </c>
      <c r="E244" s="16" t="s">
        <v>1806</v>
      </c>
      <c r="F244" s="15" t="s">
        <v>1807</v>
      </c>
      <c r="G244" s="16" t="s">
        <v>161</v>
      </c>
      <c r="H244" s="15" t="s">
        <v>162</v>
      </c>
      <c r="I244" s="15" t="s">
        <v>280</v>
      </c>
      <c r="J244" s="125" t="s">
        <v>1808</v>
      </c>
      <c r="K244" s="70">
        <v>69</v>
      </c>
      <c r="L244" s="139">
        <v>39</v>
      </c>
      <c r="M244" s="116"/>
      <c r="N244" s="71">
        <f t="shared" si="3"/>
        <v>0</v>
      </c>
      <c r="O244" s="76"/>
    </row>
    <row r="245" spans="1:15" x14ac:dyDescent="0.3">
      <c r="A245" s="148">
        <v>232</v>
      </c>
      <c r="B245" s="59" t="s">
        <v>477</v>
      </c>
      <c r="C245" s="59" t="s">
        <v>1</v>
      </c>
      <c r="D245" s="115" t="s">
        <v>478</v>
      </c>
      <c r="E245" s="59" t="s">
        <v>479</v>
      </c>
      <c r="F245" s="115" t="s">
        <v>480</v>
      </c>
      <c r="G245" s="59" t="s">
        <v>133</v>
      </c>
      <c r="H245" s="59" t="s">
        <v>134</v>
      </c>
      <c r="I245" s="115" t="s">
        <v>357</v>
      </c>
      <c r="J245" s="125" t="s">
        <v>26</v>
      </c>
      <c r="K245" s="70">
        <v>80</v>
      </c>
      <c r="L245" s="139">
        <v>45.2</v>
      </c>
      <c r="M245" s="116"/>
      <c r="N245" s="71">
        <f t="shared" si="3"/>
        <v>0</v>
      </c>
      <c r="O245" s="76"/>
    </row>
    <row r="246" spans="1:15" x14ac:dyDescent="0.3">
      <c r="A246" s="148">
        <v>233</v>
      </c>
      <c r="B246" s="59" t="s">
        <v>477</v>
      </c>
      <c r="C246" s="59" t="s">
        <v>1</v>
      </c>
      <c r="D246" s="115" t="s">
        <v>478</v>
      </c>
      <c r="E246" s="59" t="s">
        <v>481</v>
      </c>
      <c r="F246" s="115" t="s">
        <v>480</v>
      </c>
      <c r="G246" s="59" t="s">
        <v>133</v>
      </c>
      <c r="H246" s="59" t="s">
        <v>134</v>
      </c>
      <c r="I246" s="115" t="s">
        <v>482</v>
      </c>
      <c r="J246" s="125" t="s">
        <v>26</v>
      </c>
      <c r="K246" s="70">
        <v>85</v>
      </c>
      <c r="L246" s="139">
        <v>48</v>
      </c>
      <c r="M246" s="116"/>
      <c r="N246" s="71">
        <f t="shared" si="3"/>
        <v>0</v>
      </c>
      <c r="O246" s="76"/>
    </row>
    <row r="247" spans="1:15" x14ac:dyDescent="0.3">
      <c r="A247" s="148">
        <v>234</v>
      </c>
      <c r="B247" s="59" t="s">
        <v>477</v>
      </c>
      <c r="C247" s="59" t="s">
        <v>1</v>
      </c>
      <c r="D247" s="115" t="s">
        <v>478</v>
      </c>
      <c r="E247" s="59" t="s">
        <v>483</v>
      </c>
      <c r="F247" s="115" t="s">
        <v>480</v>
      </c>
      <c r="G247" s="59" t="s">
        <v>133</v>
      </c>
      <c r="H247" s="59" t="s">
        <v>134</v>
      </c>
      <c r="I247" s="115" t="s">
        <v>484</v>
      </c>
      <c r="J247" s="125" t="s">
        <v>26</v>
      </c>
      <c r="K247" s="70">
        <v>97.5</v>
      </c>
      <c r="L247" s="139">
        <v>55.1</v>
      </c>
      <c r="M247" s="116"/>
      <c r="N247" s="71">
        <f t="shared" si="3"/>
        <v>0</v>
      </c>
      <c r="O247" s="76"/>
    </row>
    <row r="248" spans="1:15" x14ac:dyDescent="0.3">
      <c r="A248" s="148">
        <v>235</v>
      </c>
      <c r="B248" s="59" t="s">
        <v>477</v>
      </c>
      <c r="C248" s="59" t="s">
        <v>1</v>
      </c>
      <c r="D248" s="115" t="s">
        <v>478</v>
      </c>
      <c r="E248" s="59" t="s">
        <v>485</v>
      </c>
      <c r="F248" s="115" t="s">
        <v>480</v>
      </c>
      <c r="G248" s="59" t="s">
        <v>133</v>
      </c>
      <c r="H248" s="59" t="s">
        <v>134</v>
      </c>
      <c r="I248" s="115" t="s">
        <v>486</v>
      </c>
      <c r="J248" s="125" t="s">
        <v>26</v>
      </c>
      <c r="K248" s="70">
        <v>122.5</v>
      </c>
      <c r="L248" s="139">
        <v>69.199999999999989</v>
      </c>
      <c r="M248" s="116"/>
      <c r="N248" s="71">
        <f t="shared" si="3"/>
        <v>0</v>
      </c>
      <c r="O248" s="76"/>
    </row>
    <row r="249" spans="1:15" x14ac:dyDescent="0.3">
      <c r="A249" s="148">
        <v>236</v>
      </c>
      <c r="B249" s="59" t="s">
        <v>477</v>
      </c>
      <c r="C249" s="59" t="s">
        <v>1</v>
      </c>
      <c r="D249" s="115" t="s">
        <v>478</v>
      </c>
      <c r="E249" s="59" t="s">
        <v>487</v>
      </c>
      <c r="F249" s="115" t="s">
        <v>480</v>
      </c>
      <c r="G249" s="59" t="s">
        <v>133</v>
      </c>
      <c r="H249" s="59" t="s">
        <v>134</v>
      </c>
      <c r="I249" s="115" t="s">
        <v>488</v>
      </c>
      <c r="J249" s="125" t="s">
        <v>26</v>
      </c>
      <c r="K249" s="70">
        <v>132.5</v>
      </c>
      <c r="L249" s="139">
        <v>74.899999999999991</v>
      </c>
      <c r="M249" s="116"/>
      <c r="N249" s="71">
        <f t="shared" si="3"/>
        <v>0</v>
      </c>
      <c r="O249" s="76"/>
    </row>
    <row r="250" spans="1:15" x14ac:dyDescent="0.3">
      <c r="A250" s="148">
        <v>237</v>
      </c>
      <c r="B250" s="59" t="s">
        <v>477</v>
      </c>
      <c r="C250" s="59" t="s">
        <v>1</v>
      </c>
      <c r="D250" s="115" t="s">
        <v>489</v>
      </c>
      <c r="E250" s="59" t="s">
        <v>490</v>
      </c>
      <c r="F250" s="115" t="s">
        <v>491</v>
      </c>
      <c r="G250" s="59" t="s">
        <v>133</v>
      </c>
      <c r="H250" s="59" t="s">
        <v>134</v>
      </c>
      <c r="I250" s="115" t="s">
        <v>482</v>
      </c>
      <c r="J250" s="125" t="s">
        <v>26</v>
      </c>
      <c r="K250" s="70">
        <v>102.5</v>
      </c>
      <c r="L250" s="139">
        <v>57.9</v>
      </c>
      <c r="M250" s="116"/>
      <c r="N250" s="71">
        <f t="shared" si="3"/>
        <v>0</v>
      </c>
      <c r="O250" s="76"/>
    </row>
    <row r="251" spans="1:15" x14ac:dyDescent="0.3">
      <c r="A251" s="148">
        <v>238</v>
      </c>
      <c r="B251" s="59" t="s">
        <v>496</v>
      </c>
      <c r="C251" s="59" t="s">
        <v>1</v>
      </c>
      <c r="D251" s="115" t="s">
        <v>684</v>
      </c>
      <c r="E251" s="59" t="s">
        <v>685</v>
      </c>
      <c r="F251" s="115" t="s">
        <v>686</v>
      </c>
      <c r="G251" s="59" t="s">
        <v>133</v>
      </c>
      <c r="H251" s="59" t="s">
        <v>134</v>
      </c>
      <c r="I251" s="115" t="s">
        <v>687</v>
      </c>
      <c r="J251" s="125" t="s">
        <v>26</v>
      </c>
      <c r="K251" s="70">
        <v>635</v>
      </c>
      <c r="L251" s="139">
        <v>358.6</v>
      </c>
      <c r="M251" s="116"/>
      <c r="N251" s="71">
        <f t="shared" si="3"/>
        <v>0</v>
      </c>
      <c r="O251" s="76"/>
    </row>
    <row r="252" spans="1:15" x14ac:dyDescent="0.3">
      <c r="A252" s="148">
        <v>239</v>
      </c>
      <c r="B252" s="59" t="s">
        <v>496</v>
      </c>
      <c r="C252" s="59" t="s">
        <v>1</v>
      </c>
      <c r="D252" s="115" t="s">
        <v>646</v>
      </c>
      <c r="E252" s="59" t="s">
        <v>647</v>
      </c>
      <c r="F252" s="115" t="s">
        <v>648</v>
      </c>
      <c r="G252" s="59" t="s">
        <v>133</v>
      </c>
      <c r="H252" s="59" t="s">
        <v>134</v>
      </c>
      <c r="I252" s="115" t="s">
        <v>649</v>
      </c>
      <c r="J252" s="125" t="s">
        <v>26</v>
      </c>
      <c r="K252" s="70">
        <v>655</v>
      </c>
      <c r="L252" s="139">
        <v>369.90000000000003</v>
      </c>
      <c r="M252" s="116"/>
      <c r="N252" s="71">
        <f t="shared" si="3"/>
        <v>0</v>
      </c>
      <c r="O252" s="76"/>
    </row>
    <row r="253" spans="1:15" x14ac:dyDescent="0.3">
      <c r="A253" s="148">
        <v>240</v>
      </c>
      <c r="B253" s="59" t="s">
        <v>496</v>
      </c>
      <c r="C253" s="59" t="s">
        <v>1</v>
      </c>
      <c r="D253" s="115" t="s">
        <v>650</v>
      </c>
      <c r="E253" s="59" t="s">
        <v>651</v>
      </c>
      <c r="F253" s="115" t="s">
        <v>652</v>
      </c>
      <c r="G253" s="59" t="s">
        <v>133</v>
      </c>
      <c r="H253" s="59" t="s">
        <v>134</v>
      </c>
      <c r="I253" s="115" t="s">
        <v>653</v>
      </c>
      <c r="J253" s="125" t="s">
        <v>26</v>
      </c>
      <c r="K253" s="70">
        <v>675</v>
      </c>
      <c r="L253" s="139">
        <v>381.20000000000005</v>
      </c>
      <c r="M253" s="116"/>
      <c r="N253" s="71">
        <f t="shared" si="3"/>
        <v>0</v>
      </c>
      <c r="O253" s="76"/>
    </row>
    <row r="254" spans="1:15" x14ac:dyDescent="0.3">
      <c r="A254" s="148">
        <v>241</v>
      </c>
      <c r="B254" s="59" t="s">
        <v>496</v>
      </c>
      <c r="C254" s="59" t="s">
        <v>1</v>
      </c>
      <c r="D254" s="115" t="s">
        <v>509</v>
      </c>
      <c r="E254" s="59" t="s">
        <v>510</v>
      </c>
      <c r="F254" s="115" t="s">
        <v>511</v>
      </c>
      <c r="G254" s="59" t="s">
        <v>133</v>
      </c>
      <c r="H254" s="59" t="s">
        <v>134</v>
      </c>
      <c r="I254" s="115" t="s">
        <v>512</v>
      </c>
      <c r="J254" s="125" t="s">
        <v>26</v>
      </c>
      <c r="K254" s="70">
        <v>695</v>
      </c>
      <c r="L254" s="139">
        <v>392.5</v>
      </c>
      <c r="M254" s="116"/>
      <c r="N254" s="71">
        <f t="shared" si="3"/>
        <v>0</v>
      </c>
      <c r="O254" s="76"/>
    </row>
    <row r="255" spans="1:15" x14ac:dyDescent="0.3">
      <c r="A255" s="148">
        <v>242</v>
      </c>
      <c r="B255" s="59" t="s">
        <v>496</v>
      </c>
      <c r="C255" s="59" t="s">
        <v>1</v>
      </c>
      <c r="D255" s="115" t="s">
        <v>513</v>
      </c>
      <c r="E255" s="59" t="s">
        <v>514</v>
      </c>
      <c r="F255" s="115" t="s">
        <v>515</v>
      </c>
      <c r="G255" s="59" t="s">
        <v>133</v>
      </c>
      <c r="H255" s="59" t="s">
        <v>134</v>
      </c>
      <c r="I255" s="115" t="s">
        <v>516</v>
      </c>
      <c r="J255" s="125" t="s">
        <v>26</v>
      </c>
      <c r="K255" s="70">
        <v>715</v>
      </c>
      <c r="L255" s="139">
        <v>403.8</v>
      </c>
      <c r="M255" s="116"/>
      <c r="N255" s="71">
        <f t="shared" si="3"/>
        <v>0</v>
      </c>
      <c r="O255" s="76"/>
    </row>
    <row r="256" spans="1:15" x14ac:dyDescent="0.3">
      <c r="A256" s="148">
        <v>243</v>
      </c>
      <c r="B256" s="59" t="s">
        <v>496</v>
      </c>
      <c r="C256" s="59" t="s">
        <v>1</v>
      </c>
      <c r="D256" s="115" t="s">
        <v>517</v>
      </c>
      <c r="E256" s="59" t="s">
        <v>518</v>
      </c>
      <c r="F256" s="115" t="s">
        <v>519</v>
      </c>
      <c r="G256" s="59" t="s">
        <v>133</v>
      </c>
      <c r="H256" s="59" t="s">
        <v>134</v>
      </c>
      <c r="I256" s="115" t="s">
        <v>520</v>
      </c>
      <c r="J256" s="125" t="s">
        <v>26</v>
      </c>
      <c r="K256" s="70">
        <v>735</v>
      </c>
      <c r="L256" s="139">
        <v>415.1</v>
      </c>
      <c r="M256" s="116"/>
      <c r="N256" s="71">
        <f t="shared" si="3"/>
        <v>0</v>
      </c>
      <c r="O256" s="76"/>
    </row>
    <row r="257" spans="1:15" x14ac:dyDescent="0.3">
      <c r="A257" s="148">
        <v>244</v>
      </c>
      <c r="B257" s="59" t="s">
        <v>496</v>
      </c>
      <c r="C257" s="59" t="s">
        <v>1</v>
      </c>
      <c r="D257" s="115" t="s">
        <v>704</v>
      </c>
      <c r="E257" s="59" t="s">
        <v>705</v>
      </c>
      <c r="F257" s="115" t="s">
        <v>706</v>
      </c>
      <c r="G257" s="59" t="s">
        <v>133</v>
      </c>
      <c r="H257" s="59" t="s">
        <v>134</v>
      </c>
      <c r="I257" s="115" t="s">
        <v>707</v>
      </c>
      <c r="J257" s="125" t="s">
        <v>26</v>
      </c>
      <c r="K257" s="70">
        <v>200</v>
      </c>
      <c r="L257" s="139">
        <v>113</v>
      </c>
      <c r="M257" s="117"/>
      <c r="N257" s="71">
        <f t="shared" si="3"/>
        <v>0</v>
      </c>
      <c r="O257" s="76"/>
    </row>
    <row r="258" spans="1:15" x14ac:dyDescent="0.3">
      <c r="A258" s="148">
        <v>245</v>
      </c>
      <c r="B258" s="59" t="s">
        <v>496</v>
      </c>
      <c r="C258" s="59" t="s">
        <v>1</v>
      </c>
      <c r="D258" s="115" t="s">
        <v>654</v>
      </c>
      <c r="E258" s="59" t="s">
        <v>655</v>
      </c>
      <c r="F258" s="115" t="s">
        <v>656</v>
      </c>
      <c r="G258" s="59" t="s">
        <v>133</v>
      </c>
      <c r="H258" s="59" t="s">
        <v>134</v>
      </c>
      <c r="I258" s="115" t="s">
        <v>657</v>
      </c>
      <c r="J258" s="125" t="s">
        <v>26</v>
      </c>
      <c r="K258" s="70">
        <v>200</v>
      </c>
      <c r="L258" s="139">
        <v>113</v>
      </c>
      <c r="M258" s="116"/>
      <c r="N258" s="71">
        <f t="shared" si="3"/>
        <v>0</v>
      </c>
      <c r="O258" s="76"/>
    </row>
    <row r="259" spans="1:15" x14ac:dyDescent="0.3">
      <c r="A259" s="148">
        <v>246</v>
      </c>
      <c r="B259" s="59" t="s">
        <v>496</v>
      </c>
      <c r="C259" s="59" t="s">
        <v>1</v>
      </c>
      <c r="D259" s="115" t="s">
        <v>529</v>
      </c>
      <c r="E259" s="59" t="s">
        <v>530</v>
      </c>
      <c r="F259" s="115" t="s">
        <v>531</v>
      </c>
      <c r="G259" s="59" t="s">
        <v>133</v>
      </c>
      <c r="H259" s="59" t="s">
        <v>134</v>
      </c>
      <c r="I259" s="115" t="s">
        <v>532</v>
      </c>
      <c r="J259" s="125" t="s">
        <v>26</v>
      </c>
      <c r="K259" s="70">
        <v>200</v>
      </c>
      <c r="L259" s="139">
        <v>113</v>
      </c>
      <c r="M259" s="116"/>
      <c r="N259" s="71">
        <f t="shared" si="3"/>
        <v>0</v>
      </c>
      <c r="O259" s="76"/>
    </row>
    <row r="260" spans="1:15" x14ac:dyDescent="0.3">
      <c r="A260" s="148">
        <v>246</v>
      </c>
      <c r="B260" s="59" t="s">
        <v>496</v>
      </c>
      <c r="C260" s="59" t="s">
        <v>1</v>
      </c>
      <c r="D260" s="115" t="s">
        <v>676</v>
      </c>
      <c r="E260" s="59" t="s">
        <v>677</v>
      </c>
      <c r="F260" s="115" t="s">
        <v>678</v>
      </c>
      <c r="G260" s="59" t="s">
        <v>133</v>
      </c>
      <c r="H260" s="59" t="s">
        <v>134</v>
      </c>
      <c r="I260" s="115" t="s">
        <v>679</v>
      </c>
      <c r="J260" s="125" t="s">
        <v>26</v>
      </c>
      <c r="K260" s="70">
        <v>624.5</v>
      </c>
      <c r="L260" s="139">
        <v>352.70000000000005</v>
      </c>
      <c r="M260" s="116"/>
      <c r="N260" s="71">
        <f t="shared" si="3"/>
        <v>0</v>
      </c>
      <c r="O260" s="76"/>
    </row>
    <row r="261" spans="1:15" x14ac:dyDescent="0.3">
      <c r="A261" s="148">
        <v>247</v>
      </c>
      <c r="B261" s="59" t="s">
        <v>496</v>
      </c>
      <c r="C261" s="59" t="s">
        <v>1</v>
      </c>
      <c r="D261" s="115" t="s">
        <v>680</v>
      </c>
      <c r="E261" s="59" t="s">
        <v>681</v>
      </c>
      <c r="F261" s="115" t="s">
        <v>682</v>
      </c>
      <c r="G261" s="59" t="s">
        <v>133</v>
      </c>
      <c r="H261" s="59" t="s">
        <v>134</v>
      </c>
      <c r="I261" s="115" t="s">
        <v>683</v>
      </c>
      <c r="J261" s="125" t="s">
        <v>26</v>
      </c>
      <c r="K261" s="70">
        <v>634.5</v>
      </c>
      <c r="L261" s="139">
        <v>358.3</v>
      </c>
      <c r="M261" s="116"/>
      <c r="N261" s="71">
        <f t="shared" si="3"/>
        <v>0</v>
      </c>
      <c r="O261" s="76"/>
    </row>
    <row r="262" spans="1:15" x14ac:dyDescent="0.3">
      <c r="A262" s="148">
        <v>248</v>
      </c>
      <c r="B262" s="59" t="s">
        <v>496</v>
      </c>
      <c r="C262" s="59" t="s">
        <v>1</v>
      </c>
      <c r="D262" s="115" t="s">
        <v>627</v>
      </c>
      <c r="E262" s="59" t="s">
        <v>628</v>
      </c>
      <c r="F262" s="115" t="s">
        <v>629</v>
      </c>
      <c r="G262" s="59" t="s">
        <v>133</v>
      </c>
      <c r="H262" s="59" t="s">
        <v>134</v>
      </c>
      <c r="I262" s="115" t="s">
        <v>630</v>
      </c>
      <c r="J262" s="125" t="s">
        <v>26</v>
      </c>
      <c r="K262" s="70">
        <v>654.5</v>
      </c>
      <c r="L262" s="139">
        <v>369.6</v>
      </c>
      <c r="M262" s="116"/>
      <c r="N262" s="71">
        <f t="shared" si="3"/>
        <v>0</v>
      </c>
      <c r="O262" s="76"/>
    </row>
    <row r="263" spans="1:15" x14ac:dyDescent="0.3">
      <c r="A263" s="148">
        <v>249</v>
      </c>
      <c r="B263" s="59" t="s">
        <v>496</v>
      </c>
      <c r="C263" s="59" t="s">
        <v>1</v>
      </c>
      <c r="D263" s="115" t="s">
        <v>616</v>
      </c>
      <c r="E263" s="59" t="s">
        <v>617</v>
      </c>
      <c r="F263" s="115" t="s">
        <v>618</v>
      </c>
      <c r="G263" s="59" t="s">
        <v>133</v>
      </c>
      <c r="H263" s="59" t="s">
        <v>134</v>
      </c>
      <c r="I263" s="115" t="s">
        <v>548</v>
      </c>
      <c r="J263" s="125" t="s">
        <v>26</v>
      </c>
      <c r="K263" s="70">
        <v>675.5</v>
      </c>
      <c r="L263" s="139">
        <v>381.5</v>
      </c>
      <c r="M263" s="116"/>
      <c r="N263" s="71">
        <f t="shared" si="3"/>
        <v>0</v>
      </c>
      <c r="O263" s="76"/>
    </row>
    <row r="264" spans="1:15" x14ac:dyDescent="0.3">
      <c r="A264" s="148">
        <v>250</v>
      </c>
      <c r="B264" s="59" t="s">
        <v>496</v>
      </c>
      <c r="C264" s="59" t="s">
        <v>1</v>
      </c>
      <c r="D264" s="115" t="s">
        <v>726</v>
      </c>
      <c r="E264" s="59" t="s">
        <v>727</v>
      </c>
      <c r="F264" s="115" t="s">
        <v>728</v>
      </c>
      <c r="G264" s="59" t="s">
        <v>133</v>
      </c>
      <c r="H264" s="59" t="s">
        <v>134</v>
      </c>
      <c r="I264" s="115" t="s">
        <v>552</v>
      </c>
      <c r="J264" s="125" t="s">
        <v>101</v>
      </c>
      <c r="K264" s="70">
        <v>685.5</v>
      </c>
      <c r="L264" s="139">
        <v>387.1</v>
      </c>
      <c r="M264" s="117"/>
      <c r="N264" s="71">
        <f t="shared" si="3"/>
        <v>0</v>
      </c>
      <c r="O264" s="76"/>
    </row>
    <row r="265" spans="1:15" x14ac:dyDescent="0.3">
      <c r="A265" s="148">
        <v>251</v>
      </c>
      <c r="B265" s="59" t="s">
        <v>496</v>
      </c>
      <c r="C265" s="59" t="s">
        <v>1</v>
      </c>
      <c r="D265" s="115" t="s">
        <v>631</v>
      </c>
      <c r="E265" s="59" t="s">
        <v>632</v>
      </c>
      <c r="F265" s="115" t="s">
        <v>633</v>
      </c>
      <c r="G265" s="59" t="s">
        <v>133</v>
      </c>
      <c r="H265" s="59" t="s">
        <v>134</v>
      </c>
      <c r="I265" s="115" t="s">
        <v>556</v>
      </c>
      <c r="J265" s="125" t="s">
        <v>26</v>
      </c>
      <c r="K265" s="70">
        <v>695.5</v>
      </c>
      <c r="L265" s="139">
        <v>392.8</v>
      </c>
      <c r="M265" s="116"/>
      <c r="N265" s="71">
        <f t="shared" si="3"/>
        <v>0</v>
      </c>
      <c r="O265" s="76"/>
    </row>
    <row r="266" spans="1:15" x14ac:dyDescent="0.3">
      <c r="A266" s="148">
        <v>252</v>
      </c>
      <c r="B266" s="59" t="s">
        <v>496</v>
      </c>
      <c r="C266" s="59" t="s">
        <v>1</v>
      </c>
      <c r="D266" s="115" t="s">
        <v>634</v>
      </c>
      <c r="E266" s="59" t="s">
        <v>635</v>
      </c>
      <c r="F266" s="115" t="s">
        <v>636</v>
      </c>
      <c r="G266" s="59" t="s">
        <v>133</v>
      </c>
      <c r="H266" s="59" t="s">
        <v>134</v>
      </c>
      <c r="I266" s="115" t="s">
        <v>637</v>
      </c>
      <c r="J266" s="125" t="s">
        <v>26</v>
      </c>
      <c r="K266" s="70">
        <v>715</v>
      </c>
      <c r="L266" s="139">
        <v>403.8</v>
      </c>
      <c r="M266" s="116"/>
      <c r="N266" s="71">
        <f t="shared" si="3"/>
        <v>0</v>
      </c>
      <c r="O266" s="76"/>
    </row>
    <row r="267" spans="1:15" x14ac:dyDescent="0.3">
      <c r="A267" s="148">
        <v>253</v>
      </c>
      <c r="B267" s="59" t="s">
        <v>496</v>
      </c>
      <c r="C267" s="59" t="s">
        <v>1</v>
      </c>
      <c r="D267" s="115" t="s">
        <v>638</v>
      </c>
      <c r="E267" s="59" t="s">
        <v>639</v>
      </c>
      <c r="F267" s="115" t="s">
        <v>640</v>
      </c>
      <c r="G267" s="59" t="s">
        <v>133</v>
      </c>
      <c r="H267" s="59" t="s">
        <v>134</v>
      </c>
      <c r="I267" s="115" t="s">
        <v>641</v>
      </c>
      <c r="J267" s="125" t="s">
        <v>26</v>
      </c>
      <c r="K267" s="70">
        <v>725</v>
      </c>
      <c r="L267" s="139">
        <v>409.40000000000003</v>
      </c>
      <c r="M267" s="116"/>
      <c r="N267" s="71">
        <f t="shared" si="3"/>
        <v>0</v>
      </c>
      <c r="O267" s="76"/>
    </row>
    <row r="268" spans="1:15" x14ac:dyDescent="0.3">
      <c r="A268" s="148">
        <v>254</v>
      </c>
      <c r="B268" s="59" t="s">
        <v>496</v>
      </c>
      <c r="C268" s="59" t="s">
        <v>1</v>
      </c>
      <c r="D268" s="115" t="s">
        <v>619</v>
      </c>
      <c r="E268" s="59" t="s">
        <v>620</v>
      </c>
      <c r="F268" s="115" t="s">
        <v>621</v>
      </c>
      <c r="G268" s="59" t="s">
        <v>133</v>
      </c>
      <c r="H268" s="59" t="s">
        <v>134</v>
      </c>
      <c r="I268" s="115" t="s">
        <v>622</v>
      </c>
      <c r="J268" s="125" t="s">
        <v>26</v>
      </c>
      <c r="K268" s="70">
        <v>745</v>
      </c>
      <c r="L268" s="139">
        <v>420.70000000000005</v>
      </c>
      <c r="M268" s="116"/>
      <c r="N268" s="71">
        <f t="shared" si="3"/>
        <v>0</v>
      </c>
      <c r="O268" s="76"/>
    </row>
    <row r="269" spans="1:15" x14ac:dyDescent="0.3">
      <c r="A269" s="148">
        <v>255</v>
      </c>
      <c r="B269" s="59" t="s">
        <v>496</v>
      </c>
      <c r="C269" s="59" t="s">
        <v>1</v>
      </c>
      <c r="D269" s="115" t="s">
        <v>623</v>
      </c>
      <c r="E269" s="59" t="s">
        <v>624</v>
      </c>
      <c r="F269" s="115" t="s">
        <v>625</v>
      </c>
      <c r="G269" s="59" t="s">
        <v>133</v>
      </c>
      <c r="H269" s="59" t="s">
        <v>134</v>
      </c>
      <c r="I269" s="115" t="s">
        <v>626</v>
      </c>
      <c r="J269" s="125" t="s">
        <v>26</v>
      </c>
      <c r="K269" s="70">
        <v>765</v>
      </c>
      <c r="L269" s="139">
        <v>432</v>
      </c>
      <c r="M269" s="116"/>
      <c r="N269" s="71">
        <f t="shared" si="3"/>
        <v>0</v>
      </c>
      <c r="O269" s="76"/>
    </row>
    <row r="270" spans="1:15" x14ac:dyDescent="0.3">
      <c r="A270" s="148">
        <v>256</v>
      </c>
      <c r="B270" s="59" t="s">
        <v>496</v>
      </c>
      <c r="C270" s="59" t="s">
        <v>1</v>
      </c>
      <c r="D270" s="115" t="s">
        <v>711</v>
      </c>
      <c r="E270" s="59" t="s">
        <v>712</v>
      </c>
      <c r="F270" s="115" t="s">
        <v>713</v>
      </c>
      <c r="G270" s="59" t="s">
        <v>133</v>
      </c>
      <c r="H270" s="59" t="s">
        <v>134</v>
      </c>
      <c r="I270" s="115" t="s">
        <v>637</v>
      </c>
      <c r="J270" s="125" t="s">
        <v>26</v>
      </c>
      <c r="K270" s="70">
        <v>469</v>
      </c>
      <c r="L270" s="139">
        <v>264.90000000000003</v>
      </c>
      <c r="M270" s="117"/>
      <c r="N270" s="71">
        <f t="shared" ref="N270:N333" si="4">L270*M270</f>
        <v>0</v>
      </c>
      <c r="O270" s="76"/>
    </row>
    <row r="271" spans="1:15" x14ac:dyDescent="0.3">
      <c r="A271" s="148">
        <v>257</v>
      </c>
      <c r="B271" s="59" t="s">
        <v>496</v>
      </c>
      <c r="C271" s="59" t="s">
        <v>1</v>
      </c>
      <c r="D271" s="115" t="s">
        <v>708</v>
      </c>
      <c r="E271" s="59" t="s">
        <v>709</v>
      </c>
      <c r="F271" s="115" t="s">
        <v>710</v>
      </c>
      <c r="G271" s="59" t="s">
        <v>133</v>
      </c>
      <c r="H271" s="59" t="s">
        <v>134</v>
      </c>
      <c r="I271" s="115" t="s">
        <v>641</v>
      </c>
      <c r="J271" s="125" t="s">
        <v>26</v>
      </c>
      <c r="K271" s="70">
        <v>479</v>
      </c>
      <c r="L271" s="139">
        <v>270.5</v>
      </c>
      <c r="M271" s="117"/>
      <c r="N271" s="71">
        <f t="shared" si="4"/>
        <v>0</v>
      </c>
      <c r="O271" s="76"/>
    </row>
    <row r="272" spans="1:15" x14ac:dyDescent="0.3">
      <c r="A272" s="148">
        <v>258</v>
      </c>
      <c r="B272" s="59" t="s">
        <v>496</v>
      </c>
      <c r="C272" s="59" t="s">
        <v>1</v>
      </c>
      <c r="D272" s="115" t="s">
        <v>666</v>
      </c>
      <c r="E272" s="59" t="s">
        <v>667</v>
      </c>
      <c r="F272" s="115" t="s">
        <v>668</v>
      </c>
      <c r="G272" s="59" t="s">
        <v>133</v>
      </c>
      <c r="H272" s="59" t="s">
        <v>134</v>
      </c>
      <c r="I272" s="115" t="s">
        <v>622</v>
      </c>
      <c r="J272" s="125" t="s">
        <v>26</v>
      </c>
      <c r="K272" s="70">
        <v>489</v>
      </c>
      <c r="L272" s="139">
        <v>276.20000000000005</v>
      </c>
      <c r="M272" s="116"/>
      <c r="N272" s="71">
        <f t="shared" si="4"/>
        <v>0</v>
      </c>
      <c r="O272" s="76"/>
    </row>
    <row r="273" spans="1:15" x14ac:dyDescent="0.3">
      <c r="A273" s="148">
        <v>259</v>
      </c>
      <c r="B273" s="59" t="s">
        <v>496</v>
      </c>
      <c r="C273" s="59" t="s">
        <v>1</v>
      </c>
      <c r="D273" s="115" t="s">
        <v>669</v>
      </c>
      <c r="E273" s="59" t="s">
        <v>670</v>
      </c>
      <c r="F273" s="115" t="s">
        <v>671</v>
      </c>
      <c r="G273" s="59" t="s">
        <v>133</v>
      </c>
      <c r="H273" s="59" t="s">
        <v>134</v>
      </c>
      <c r="I273" s="115" t="s">
        <v>626</v>
      </c>
      <c r="J273" s="125" t="s">
        <v>26</v>
      </c>
      <c r="K273" s="70">
        <v>499</v>
      </c>
      <c r="L273" s="139">
        <v>281.8</v>
      </c>
      <c r="M273" s="116"/>
      <c r="N273" s="71">
        <f t="shared" si="4"/>
        <v>0</v>
      </c>
      <c r="O273" s="76"/>
    </row>
    <row r="274" spans="1:15" x14ac:dyDescent="0.3">
      <c r="A274" s="148">
        <v>260</v>
      </c>
      <c r="B274" s="59" t="s">
        <v>496</v>
      </c>
      <c r="C274" s="59" t="s">
        <v>1</v>
      </c>
      <c r="D274" s="115" t="s">
        <v>642</v>
      </c>
      <c r="E274" s="59" t="s">
        <v>643</v>
      </c>
      <c r="F274" s="115" t="s">
        <v>644</v>
      </c>
      <c r="G274" s="59" t="s">
        <v>133</v>
      </c>
      <c r="H274" s="59" t="s">
        <v>134</v>
      </c>
      <c r="I274" s="115" t="s">
        <v>645</v>
      </c>
      <c r="J274" s="125" t="s">
        <v>26</v>
      </c>
      <c r="K274" s="70">
        <v>509</v>
      </c>
      <c r="L274" s="139">
        <v>287.5</v>
      </c>
      <c r="M274" s="116"/>
      <c r="N274" s="71">
        <f t="shared" si="4"/>
        <v>0</v>
      </c>
      <c r="O274" s="76"/>
    </row>
    <row r="275" spans="1:15" x14ac:dyDescent="0.3">
      <c r="A275" s="148">
        <v>261</v>
      </c>
      <c r="B275" s="59" t="s">
        <v>496</v>
      </c>
      <c r="C275" s="59" t="s">
        <v>1</v>
      </c>
      <c r="D275" s="115" t="s">
        <v>497</v>
      </c>
      <c r="E275" s="59" t="s">
        <v>498</v>
      </c>
      <c r="F275" s="115" t="s">
        <v>499</v>
      </c>
      <c r="G275" s="59" t="s">
        <v>133</v>
      </c>
      <c r="H275" s="59" t="s">
        <v>134</v>
      </c>
      <c r="I275" s="115" t="s">
        <v>500</v>
      </c>
      <c r="J275" s="125" t="s">
        <v>26</v>
      </c>
      <c r="K275" s="70">
        <v>200</v>
      </c>
      <c r="L275" s="139">
        <v>113</v>
      </c>
      <c r="M275" s="116"/>
      <c r="N275" s="71">
        <f t="shared" si="4"/>
        <v>0</v>
      </c>
      <c r="O275" s="76"/>
    </row>
    <row r="276" spans="1:15" x14ac:dyDescent="0.3">
      <c r="A276" s="148">
        <v>262</v>
      </c>
      <c r="B276" s="59" t="s">
        <v>496</v>
      </c>
      <c r="C276" s="59" t="s">
        <v>1</v>
      </c>
      <c r="D276" s="115" t="s">
        <v>501</v>
      </c>
      <c r="E276" s="59" t="s">
        <v>502</v>
      </c>
      <c r="F276" s="115" t="s">
        <v>503</v>
      </c>
      <c r="G276" s="59" t="s">
        <v>133</v>
      </c>
      <c r="H276" s="59" t="s">
        <v>134</v>
      </c>
      <c r="I276" s="115" t="s">
        <v>504</v>
      </c>
      <c r="J276" s="125" t="s">
        <v>26</v>
      </c>
      <c r="K276" s="70">
        <v>200</v>
      </c>
      <c r="L276" s="139">
        <v>113</v>
      </c>
      <c r="M276" s="116"/>
      <c r="N276" s="71">
        <f t="shared" si="4"/>
        <v>0</v>
      </c>
      <c r="O276" s="76"/>
    </row>
    <row r="277" spans="1:15" x14ac:dyDescent="0.3">
      <c r="A277" s="148">
        <v>263</v>
      </c>
      <c r="B277" s="59" t="s">
        <v>496</v>
      </c>
      <c r="C277" s="59" t="s">
        <v>1</v>
      </c>
      <c r="D277" s="115" t="s">
        <v>505</v>
      </c>
      <c r="E277" s="59" t="s">
        <v>506</v>
      </c>
      <c r="F277" s="115" t="s">
        <v>507</v>
      </c>
      <c r="G277" s="59" t="s">
        <v>133</v>
      </c>
      <c r="H277" s="59" t="s">
        <v>134</v>
      </c>
      <c r="I277" s="115" t="s">
        <v>508</v>
      </c>
      <c r="J277" s="125" t="s">
        <v>26</v>
      </c>
      <c r="K277" s="70">
        <v>200</v>
      </c>
      <c r="L277" s="139">
        <v>113</v>
      </c>
      <c r="M277" s="116"/>
      <c r="N277" s="71">
        <f t="shared" si="4"/>
        <v>0</v>
      </c>
      <c r="O277" s="76"/>
    </row>
    <row r="278" spans="1:15" x14ac:dyDescent="0.3">
      <c r="A278" s="148">
        <v>264</v>
      </c>
      <c r="B278" s="59" t="s">
        <v>496</v>
      </c>
      <c r="C278" s="59" t="s">
        <v>1</v>
      </c>
      <c r="D278" s="115" t="s">
        <v>533</v>
      </c>
      <c r="E278" s="59" t="s">
        <v>534</v>
      </c>
      <c r="F278" s="115" t="s">
        <v>535</v>
      </c>
      <c r="G278" s="59" t="s">
        <v>133</v>
      </c>
      <c r="H278" s="59" t="s">
        <v>134</v>
      </c>
      <c r="I278" s="115" t="s">
        <v>536</v>
      </c>
      <c r="J278" s="125" t="s">
        <v>26</v>
      </c>
      <c r="K278" s="70">
        <v>635</v>
      </c>
      <c r="L278" s="139">
        <v>358.6</v>
      </c>
      <c r="M278" s="116"/>
      <c r="N278" s="71">
        <f t="shared" si="4"/>
        <v>0</v>
      </c>
      <c r="O278" s="76"/>
    </row>
    <row r="279" spans="1:15" x14ac:dyDescent="0.3">
      <c r="A279" s="148">
        <v>265</v>
      </c>
      <c r="B279" s="59" t="s">
        <v>496</v>
      </c>
      <c r="C279" s="59" t="s">
        <v>1</v>
      </c>
      <c r="D279" s="115" t="s">
        <v>537</v>
      </c>
      <c r="E279" s="59" t="s">
        <v>538</v>
      </c>
      <c r="F279" s="115" t="s">
        <v>539</v>
      </c>
      <c r="G279" s="59" t="s">
        <v>133</v>
      </c>
      <c r="H279" s="59" t="s">
        <v>134</v>
      </c>
      <c r="I279" s="115" t="s">
        <v>540</v>
      </c>
      <c r="J279" s="125" t="s">
        <v>26</v>
      </c>
      <c r="K279" s="70">
        <v>645</v>
      </c>
      <c r="L279" s="139">
        <v>364.3</v>
      </c>
      <c r="M279" s="116"/>
      <c r="N279" s="71">
        <f t="shared" si="4"/>
        <v>0</v>
      </c>
      <c r="O279" s="76"/>
    </row>
    <row r="280" spans="1:15" x14ac:dyDescent="0.3">
      <c r="A280" s="148">
        <v>266</v>
      </c>
      <c r="B280" s="59" t="s">
        <v>496</v>
      </c>
      <c r="C280" s="59" t="s">
        <v>1</v>
      </c>
      <c r="D280" s="115" t="s">
        <v>541</v>
      </c>
      <c r="E280" s="59" t="s">
        <v>542</v>
      </c>
      <c r="F280" s="115" t="s">
        <v>543</v>
      </c>
      <c r="G280" s="59" t="s">
        <v>133</v>
      </c>
      <c r="H280" s="59" t="s">
        <v>134</v>
      </c>
      <c r="I280" s="115" t="s">
        <v>544</v>
      </c>
      <c r="J280" s="125" t="s">
        <v>26</v>
      </c>
      <c r="K280" s="70">
        <v>655</v>
      </c>
      <c r="L280" s="139">
        <v>369.90000000000003</v>
      </c>
      <c r="M280" s="116"/>
      <c r="N280" s="71">
        <f t="shared" si="4"/>
        <v>0</v>
      </c>
      <c r="O280" s="76"/>
    </row>
    <row r="281" spans="1:15" x14ac:dyDescent="0.3">
      <c r="A281" s="148">
        <v>267</v>
      </c>
      <c r="B281" s="59" t="s">
        <v>496</v>
      </c>
      <c r="C281" s="59" t="s">
        <v>1</v>
      </c>
      <c r="D281" s="115" t="s">
        <v>545</v>
      </c>
      <c r="E281" s="59" t="s">
        <v>546</v>
      </c>
      <c r="F281" s="115" t="s">
        <v>547</v>
      </c>
      <c r="G281" s="59" t="s">
        <v>133</v>
      </c>
      <c r="H281" s="59" t="s">
        <v>134</v>
      </c>
      <c r="I281" s="115" t="s">
        <v>548</v>
      </c>
      <c r="J281" s="125" t="s">
        <v>26</v>
      </c>
      <c r="K281" s="70">
        <v>665</v>
      </c>
      <c r="L281" s="139">
        <v>375.6</v>
      </c>
      <c r="M281" s="116"/>
      <c r="N281" s="71">
        <f t="shared" si="4"/>
        <v>0</v>
      </c>
      <c r="O281" s="76"/>
    </row>
    <row r="282" spans="1:15" x14ac:dyDescent="0.3">
      <c r="A282" s="148">
        <v>268</v>
      </c>
      <c r="B282" s="59" t="s">
        <v>496</v>
      </c>
      <c r="C282" s="59" t="s">
        <v>1</v>
      </c>
      <c r="D282" s="115" t="s">
        <v>549</v>
      </c>
      <c r="E282" s="59" t="s">
        <v>550</v>
      </c>
      <c r="F282" s="115" t="s">
        <v>551</v>
      </c>
      <c r="G282" s="59" t="s">
        <v>133</v>
      </c>
      <c r="H282" s="59" t="s">
        <v>134</v>
      </c>
      <c r="I282" s="115" t="s">
        <v>552</v>
      </c>
      <c r="J282" s="125" t="s">
        <v>26</v>
      </c>
      <c r="K282" s="70">
        <v>675</v>
      </c>
      <c r="L282" s="139">
        <v>381.20000000000005</v>
      </c>
      <c r="M282" s="116"/>
      <c r="N282" s="71">
        <f t="shared" si="4"/>
        <v>0</v>
      </c>
      <c r="O282" s="76"/>
    </row>
    <row r="283" spans="1:15" x14ac:dyDescent="0.3">
      <c r="A283" s="148">
        <v>269</v>
      </c>
      <c r="B283" s="59" t="s">
        <v>496</v>
      </c>
      <c r="C283" s="59" t="s">
        <v>1</v>
      </c>
      <c r="D283" s="115" t="s">
        <v>553</v>
      </c>
      <c r="E283" s="59" t="s">
        <v>554</v>
      </c>
      <c r="F283" s="115" t="s">
        <v>555</v>
      </c>
      <c r="G283" s="59" t="s">
        <v>133</v>
      </c>
      <c r="H283" s="59" t="s">
        <v>134</v>
      </c>
      <c r="I283" s="115" t="s">
        <v>556</v>
      </c>
      <c r="J283" s="125" t="s">
        <v>26</v>
      </c>
      <c r="K283" s="70">
        <v>685</v>
      </c>
      <c r="L283" s="139">
        <v>386.8</v>
      </c>
      <c r="M283" s="116"/>
      <c r="N283" s="71">
        <f t="shared" si="4"/>
        <v>0</v>
      </c>
      <c r="O283" s="76"/>
    </row>
    <row r="284" spans="1:15" x14ac:dyDescent="0.3">
      <c r="A284" s="148">
        <v>270</v>
      </c>
      <c r="B284" s="59" t="s">
        <v>496</v>
      </c>
      <c r="C284" s="59" t="s">
        <v>1</v>
      </c>
      <c r="D284" s="115" t="s">
        <v>557</v>
      </c>
      <c r="E284" s="59" t="s">
        <v>558</v>
      </c>
      <c r="F284" s="115" t="s">
        <v>559</v>
      </c>
      <c r="G284" s="59" t="s">
        <v>133</v>
      </c>
      <c r="H284" s="59" t="s">
        <v>134</v>
      </c>
      <c r="I284" s="115" t="s">
        <v>560</v>
      </c>
      <c r="J284" s="125" t="s">
        <v>26</v>
      </c>
      <c r="K284" s="70">
        <v>695</v>
      </c>
      <c r="L284" s="139">
        <v>392.5</v>
      </c>
      <c r="M284" s="116"/>
      <c r="N284" s="71">
        <f t="shared" si="4"/>
        <v>0</v>
      </c>
      <c r="O284" s="76"/>
    </row>
    <row r="285" spans="1:15" x14ac:dyDescent="0.3">
      <c r="A285" s="148">
        <v>271</v>
      </c>
      <c r="B285" s="59" t="s">
        <v>496</v>
      </c>
      <c r="C285" s="59" t="s">
        <v>1</v>
      </c>
      <c r="D285" s="115" t="s">
        <v>561</v>
      </c>
      <c r="E285" s="59" t="s">
        <v>562</v>
      </c>
      <c r="F285" s="115" t="s">
        <v>563</v>
      </c>
      <c r="G285" s="59" t="s">
        <v>133</v>
      </c>
      <c r="H285" s="59" t="s">
        <v>134</v>
      </c>
      <c r="I285" s="115" t="s">
        <v>564</v>
      </c>
      <c r="J285" s="125" t="s">
        <v>26</v>
      </c>
      <c r="K285" s="70">
        <v>705</v>
      </c>
      <c r="L285" s="139">
        <v>398.1</v>
      </c>
      <c r="M285" s="116"/>
      <c r="N285" s="71">
        <f t="shared" si="4"/>
        <v>0</v>
      </c>
      <c r="O285" s="76"/>
    </row>
    <row r="286" spans="1:15" x14ac:dyDescent="0.3">
      <c r="A286" s="148">
        <v>272</v>
      </c>
      <c r="B286" s="59" t="s">
        <v>496</v>
      </c>
      <c r="C286" s="59" t="s">
        <v>1</v>
      </c>
      <c r="D286" s="115" t="s">
        <v>565</v>
      </c>
      <c r="E286" s="59" t="s">
        <v>566</v>
      </c>
      <c r="F286" s="115" t="s">
        <v>567</v>
      </c>
      <c r="G286" s="59" t="s">
        <v>133</v>
      </c>
      <c r="H286" s="59" t="s">
        <v>134</v>
      </c>
      <c r="I286" s="115" t="s">
        <v>568</v>
      </c>
      <c r="J286" s="125" t="s">
        <v>26</v>
      </c>
      <c r="K286" s="70">
        <v>725</v>
      </c>
      <c r="L286" s="139">
        <v>409.40000000000003</v>
      </c>
      <c r="M286" s="116"/>
      <c r="N286" s="71">
        <f t="shared" si="4"/>
        <v>0</v>
      </c>
      <c r="O286" s="76"/>
    </row>
    <row r="287" spans="1:15" x14ac:dyDescent="0.3">
      <c r="A287" s="148">
        <v>273</v>
      </c>
      <c r="B287" s="59" t="s">
        <v>496</v>
      </c>
      <c r="C287" s="59" t="s">
        <v>1</v>
      </c>
      <c r="D287" s="115" t="s">
        <v>700</v>
      </c>
      <c r="E287" s="59" t="s">
        <v>701</v>
      </c>
      <c r="F287" s="115" t="s">
        <v>702</v>
      </c>
      <c r="G287" s="59" t="s">
        <v>133</v>
      </c>
      <c r="H287" s="59" t="s">
        <v>134</v>
      </c>
      <c r="I287" s="115" t="s">
        <v>703</v>
      </c>
      <c r="J287" s="125" t="s">
        <v>26</v>
      </c>
      <c r="K287" s="70">
        <v>215</v>
      </c>
      <c r="L287" s="139">
        <v>121.5</v>
      </c>
      <c r="M287" s="116"/>
      <c r="N287" s="71">
        <f t="shared" si="4"/>
        <v>0</v>
      </c>
      <c r="O287" s="76"/>
    </row>
    <row r="288" spans="1:15" x14ac:dyDescent="0.3">
      <c r="A288" s="148">
        <v>274</v>
      </c>
      <c r="B288" s="59" t="s">
        <v>496</v>
      </c>
      <c r="C288" s="59" t="s">
        <v>1</v>
      </c>
      <c r="D288" s="115" t="s">
        <v>729</v>
      </c>
      <c r="E288" s="59" t="s">
        <v>730</v>
      </c>
      <c r="F288" s="115" t="s">
        <v>731</v>
      </c>
      <c r="G288" s="59" t="s">
        <v>133</v>
      </c>
      <c r="H288" s="59" t="s">
        <v>134</v>
      </c>
      <c r="I288" s="115" t="s">
        <v>732</v>
      </c>
      <c r="J288" s="125" t="s">
        <v>101</v>
      </c>
      <c r="K288" s="70">
        <v>200</v>
      </c>
      <c r="L288" s="139">
        <v>113</v>
      </c>
      <c r="M288" s="117"/>
      <c r="N288" s="71">
        <f t="shared" si="4"/>
        <v>0</v>
      </c>
      <c r="O288" s="76"/>
    </row>
    <row r="289" spans="1:15" x14ac:dyDescent="0.3">
      <c r="A289" s="148">
        <v>275</v>
      </c>
      <c r="B289" s="59" t="s">
        <v>496</v>
      </c>
      <c r="C289" s="59" t="s">
        <v>1</v>
      </c>
      <c r="D289" s="115" t="s">
        <v>525</v>
      </c>
      <c r="E289" s="59" t="s">
        <v>526</v>
      </c>
      <c r="F289" s="115" t="s">
        <v>527</v>
      </c>
      <c r="G289" s="59" t="s">
        <v>133</v>
      </c>
      <c r="H289" s="59" t="s">
        <v>134</v>
      </c>
      <c r="I289" s="115" t="s">
        <v>528</v>
      </c>
      <c r="J289" s="125" t="s">
        <v>26</v>
      </c>
      <c r="K289" s="70">
        <v>200</v>
      </c>
      <c r="L289" s="139">
        <v>113</v>
      </c>
      <c r="M289" s="116"/>
      <c r="N289" s="71">
        <f t="shared" si="4"/>
        <v>0</v>
      </c>
      <c r="O289" s="76"/>
    </row>
    <row r="290" spans="1:15" x14ac:dyDescent="0.3">
      <c r="A290" s="148">
        <v>276</v>
      </c>
      <c r="B290" s="59" t="s">
        <v>496</v>
      </c>
      <c r="C290" s="59" t="s">
        <v>1</v>
      </c>
      <c r="D290" s="115" t="s">
        <v>733</v>
      </c>
      <c r="E290" s="59" t="s">
        <v>734</v>
      </c>
      <c r="F290" s="115" t="s">
        <v>735</v>
      </c>
      <c r="G290" s="59" t="s">
        <v>133</v>
      </c>
      <c r="H290" s="59" t="s">
        <v>134</v>
      </c>
      <c r="I290" s="115" t="s">
        <v>736</v>
      </c>
      <c r="J290" s="125" t="s">
        <v>101</v>
      </c>
      <c r="K290" s="70">
        <v>200</v>
      </c>
      <c r="L290" s="139">
        <v>113</v>
      </c>
      <c r="M290" s="117"/>
      <c r="N290" s="71">
        <f t="shared" si="4"/>
        <v>0</v>
      </c>
      <c r="O290" s="76"/>
    </row>
    <row r="291" spans="1:15" x14ac:dyDescent="0.3">
      <c r="A291" s="148">
        <v>277</v>
      </c>
      <c r="B291" s="59" t="s">
        <v>496</v>
      </c>
      <c r="C291" s="59" t="s">
        <v>1</v>
      </c>
      <c r="D291" s="115" t="s">
        <v>521</v>
      </c>
      <c r="E291" s="59" t="s">
        <v>522</v>
      </c>
      <c r="F291" s="115" t="s">
        <v>523</v>
      </c>
      <c r="G291" s="59" t="s">
        <v>133</v>
      </c>
      <c r="H291" s="59" t="s">
        <v>134</v>
      </c>
      <c r="I291" s="115" t="s">
        <v>524</v>
      </c>
      <c r="J291" s="125" t="s">
        <v>26</v>
      </c>
      <c r="K291" s="70">
        <v>200</v>
      </c>
      <c r="L291" s="139">
        <v>113</v>
      </c>
      <c r="M291" s="116"/>
      <c r="N291" s="71">
        <f t="shared" si="4"/>
        <v>0</v>
      </c>
      <c r="O291" s="76"/>
    </row>
    <row r="292" spans="1:15" x14ac:dyDescent="0.3">
      <c r="A292" s="148">
        <v>278</v>
      </c>
      <c r="B292" s="59" t="s">
        <v>496</v>
      </c>
      <c r="C292" s="59" t="s">
        <v>1</v>
      </c>
      <c r="D292" s="115" t="s">
        <v>658</v>
      </c>
      <c r="E292" s="59" t="s">
        <v>659</v>
      </c>
      <c r="F292" s="115" t="s">
        <v>660</v>
      </c>
      <c r="G292" s="59" t="s">
        <v>133</v>
      </c>
      <c r="H292" s="59" t="s">
        <v>134</v>
      </c>
      <c r="I292" s="115" t="s">
        <v>661</v>
      </c>
      <c r="J292" s="125" t="s">
        <v>26</v>
      </c>
      <c r="K292" s="70">
        <v>200</v>
      </c>
      <c r="L292" s="139">
        <v>113</v>
      </c>
      <c r="M292" s="116"/>
      <c r="N292" s="71">
        <f t="shared" si="4"/>
        <v>0</v>
      </c>
      <c r="O292" s="76"/>
    </row>
    <row r="293" spans="1:15" x14ac:dyDescent="0.3">
      <c r="A293" s="148">
        <v>279</v>
      </c>
      <c r="B293" s="59" t="s">
        <v>496</v>
      </c>
      <c r="C293" s="59" t="s">
        <v>1</v>
      </c>
      <c r="D293" s="115" t="s">
        <v>688</v>
      </c>
      <c r="E293" s="59" t="s">
        <v>689</v>
      </c>
      <c r="F293" s="115" t="s">
        <v>690</v>
      </c>
      <c r="G293" s="59" t="s">
        <v>133</v>
      </c>
      <c r="H293" s="59" t="s">
        <v>134</v>
      </c>
      <c r="I293" s="115" t="s">
        <v>691</v>
      </c>
      <c r="J293" s="125" t="s">
        <v>26</v>
      </c>
      <c r="K293" s="70">
        <v>755</v>
      </c>
      <c r="L293" s="139">
        <v>426.40000000000003</v>
      </c>
      <c r="M293" s="116"/>
      <c r="N293" s="71">
        <f t="shared" si="4"/>
        <v>0</v>
      </c>
      <c r="O293" s="76"/>
    </row>
    <row r="294" spans="1:15" x14ac:dyDescent="0.3">
      <c r="A294" s="148">
        <v>280</v>
      </c>
      <c r="B294" s="59" t="s">
        <v>496</v>
      </c>
      <c r="C294" s="59" t="s">
        <v>1</v>
      </c>
      <c r="D294" s="115" t="s">
        <v>575</v>
      </c>
      <c r="E294" s="59" t="s">
        <v>576</v>
      </c>
      <c r="F294" s="115" t="s">
        <v>577</v>
      </c>
      <c r="G294" s="59" t="s">
        <v>133</v>
      </c>
      <c r="H294" s="59" t="s">
        <v>134</v>
      </c>
      <c r="I294" s="115" t="s">
        <v>544</v>
      </c>
      <c r="J294" s="125" t="s">
        <v>26</v>
      </c>
      <c r="K294" s="70">
        <v>780</v>
      </c>
      <c r="L294" s="139">
        <v>440.5</v>
      </c>
      <c r="M294" s="116"/>
      <c r="N294" s="71">
        <f t="shared" si="4"/>
        <v>0</v>
      </c>
      <c r="O294" s="76"/>
    </row>
    <row r="295" spans="1:15" x14ac:dyDescent="0.3">
      <c r="A295" s="148">
        <v>281</v>
      </c>
      <c r="B295" s="59" t="s">
        <v>496</v>
      </c>
      <c r="C295" s="59" t="s">
        <v>1</v>
      </c>
      <c r="D295" s="115" t="s">
        <v>692</v>
      </c>
      <c r="E295" s="59" t="s">
        <v>693</v>
      </c>
      <c r="F295" s="115" t="s">
        <v>694</v>
      </c>
      <c r="G295" s="59" t="s">
        <v>133</v>
      </c>
      <c r="H295" s="59" t="s">
        <v>134</v>
      </c>
      <c r="I295" s="115" t="s">
        <v>695</v>
      </c>
      <c r="J295" s="125" t="s">
        <v>26</v>
      </c>
      <c r="K295" s="70">
        <v>799</v>
      </c>
      <c r="L295" s="139">
        <v>451.20000000000005</v>
      </c>
      <c r="M295" s="116"/>
      <c r="N295" s="71">
        <f t="shared" si="4"/>
        <v>0</v>
      </c>
      <c r="O295" s="76"/>
    </row>
    <row r="296" spans="1:15" x14ac:dyDescent="0.3">
      <c r="A296" s="148">
        <v>282</v>
      </c>
      <c r="B296" s="59" t="s">
        <v>496</v>
      </c>
      <c r="C296" s="59" t="s">
        <v>1</v>
      </c>
      <c r="D296" s="115" t="s">
        <v>604</v>
      </c>
      <c r="E296" s="59" t="s">
        <v>605</v>
      </c>
      <c r="F296" s="115" t="s">
        <v>606</v>
      </c>
      <c r="G296" s="59" t="s">
        <v>133</v>
      </c>
      <c r="H296" s="59" t="s">
        <v>134</v>
      </c>
      <c r="I296" s="115" t="s">
        <v>607</v>
      </c>
      <c r="J296" s="125" t="s">
        <v>26</v>
      </c>
      <c r="K296" s="70">
        <v>819</v>
      </c>
      <c r="L296" s="139">
        <v>462.5</v>
      </c>
      <c r="M296" s="116"/>
      <c r="N296" s="71">
        <f t="shared" si="4"/>
        <v>0</v>
      </c>
      <c r="O296" s="76"/>
    </row>
    <row r="297" spans="1:15" x14ac:dyDescent="0.3">
      <c r="A297" s="148">
        <v>283</v>
      </c>
      <c r="B297" s="59" t="s">
        <v>496</v>
      </c>
      <c r="C297" s="59" t="s">
        <v>1</v>
      </c>
      <c r="D297" s="115" t="s">
        <v>608</v>
      </c>
      <c r="E297" s="59" t="s">
        <v>609</v>
      </c>
      <c r="F297" s="115" t="s">
        <v>610</v>
      </c>
      <c r="G297" s="59" t="s">
        <v>133</v>
      </c>
      <c r="H297" s="59" t="s">
        <v>134</v>
      </c>
      <c r="I297" s="115" t="s">
        <v>611</v>
      </c>
      <c r="J297" s="125" t="s">
        <v>26</v>
      </c>
      <c r="K297" s="70">
        <v>839</v>
      </c>
      <c r="L297" s="139">
        <v>473.8</v>
      </c>
      <c r="M297" s="116"/>
      <c r="N297" s="71">
        <f t="shared" si="4"/>
        <v>0</v>
      </c>
      <c r="O297" s="76"/>
    </row>
    <row r="298" spans="1:15" x14ac:dyDescent="0.3">
      <c r="A298" s="148">
        <v>284</v>
      </c>
      <c r="B298" s="59" t="s">
        <v>496</v>
      </c>
      <c r="C298" s="59" t="s">
        <v>1</v>
      </c>
      <c r="D298" s="115" t="s">
        <v>612</v>
      </c>
      <c r="E298" s="59" t="s">
        <v>613</v>
      </c>
      <c r="F298" s="115" t="s">
        <v>614</v>
      </c>
      <c r="G298" s="59" t="s">
        <v>133</v>
      </c>
      <c r="H298" s="59" t="s">
        <v>134</v>
      </c>
      <c r="I298" s="115" t="s">
        <v>615</v>
      </c>
      <c r="J298" s="125" t="s">
        <v>26</v>
      </c>
      <c r="K298" s="70">
        <v>859</v>
      </c>
      <c r="L298" s="139">
        <v>485.1</v>
      </c>
      <c r="M298" s="116"/>
      <c r="N298" s="71">
        <f t="shared" si="4"/>
        <v>0</v>
      </c>
      <c r="O298" s="76"/>
    </row>
    <row r="299" spans="1:15" x14ac:dyDescent="0.3">
      <c r="A299" s="148">
        <v>285</v>
      </c>
      <c r="B299" s="59" t="s">
        <v>496</v>
      </c>
      <c r="C299" s="59" t="s">
        <v>1</v>
      </c>
      <c r="D299" s="115" t="s">
        <v>596</v>
      </c>
      <c r="E299" s="59" t="s">
        <v>597</v>
      </c>
      <c r="F299" s="115" t="s">
        <v>598</v>
      </c>
      <c r="G299" s="59" t="s">
        <v>133</v>
      </c>
      <c r="H299" s="59" t="s">
        <v>134</v>
      </c>
      <c r="I299" s="115" t="s">
        <v>599</v>
      </c>
      <c r="J299" s="125" t="s">
        <v>26</v>
      </c>
      <c r="K299" s="70">
        <v>715</v>
      </c>
      <c r="L299" s="139">
        <v>403.8</v>
      </c>
      <c r="M299" s="116"/>
      <c r="N299" s="71">
        <f t="shared" si="4"/>
        <v>0</v>
      </c>
      <c r="O299" s="76"/>
    </row>
    <row r="300" spans="1:15" x14ac:dyDescent="0.3">
      <c r="A300" s="148">
        <v>286</v>
      </c>
      <c r="B300" s="59" t="s">
        <v>496</v>
      </c>
      <c r="C300" s="59" t="s">
        <v>1</v>
      </c>
      <c r="D300" s="115" t="s">
        <v>600</v>
      </c>
      <c r="E300" s="59" t="s">
        <v>601</v>
      </c>
      <c r="F300" s="115" t="s">
        <v>602</v>
      </c>
      <c r="G300" s="59" t="s">
        <v>133</v>
      </c>
      <c r="H300" s="59" t="s">
        <v>134</v>
      </c>
      <c r="I300" s="115" t="s">
        <v>603</v>
      </c>
      <c r="J300" s="125" t="s">
        <v>26</v>
      </c>
      <c r="K300" s="70">
        <v>735</v>
      </c>
      <c r="L300" s="139">
        <v>415.1</v>
      </c>
      <c r="M300" s="116"/>
      <c r="N300" s="71">
        <f t="shared" si="4"/>
        <v>0</v>
      </c>
      <c r="O300" s="76"/>
    </row>
    <row r="301" spans="1:15" x14ac:dyDescent="0.3">
      <c r="A301" s="148">
        <v>287</v>
      </c>
      <c r="B301" s="59" t="s">
        <v>496</v>
      </c>
      <c r="C301" s="59" t="s">
        <v>1</v>
      </c>
      <c r="D301" s="115" t="s">
        <v>696</v>
      </c>
      <c r="E301" s="59" t="s">
        <v>697</v>
      </c>
      <c r="F301" s="115" t="s">
        <v>698</v>
      </c>
      <c r="G301" s="59" t="s">
        <v>133</v>
      </c>
      <c r="H301" s="59" t="s">
        <v>134</v>
      </c>
      <c r="I301" s="115" t="s">
        <v>699</v>
      </c>
      <c r="J301" s="125" t="s">
        <v>26</v>
      </c>
      <c r="K301" s="70">
        <v>215</v>
      </c>
      <c r="L301" s="139">
        <v>121.5</v>
      </c>
      <c r="M301" s="116"/>
      <c r="N301" s="71">
        <f t="shared" si="4"/>
        <v>0</v>
      </c>
      <c r="O301" s="76"/>
    </row>
    <row r="302" spans="1:15" x14ac:dyDescent="0.3">
      <c r="A302" s="148">
        <v>288</v>
      </c>
      <c r="B302" s="59" t="s">
        <v>496</v>
      </c>
      <c r="C302" s="59" t="s">
        <v>1</v>
      </c>
      <c r="D302" s="115" t="s">
        <v>662</v>
      </c>
      <c r="E302" s="59" t="s">
        <v>663</v>
      </c>
      <c r="F302" s="115" t="s">
        <v>664</v>
      </c>
      <c r="G302" s="59" t="s">
        <v>133</v>
      </c>
      <c r="H302" s="59" t="s">
        <v>134</v>
      </c>
      <c r="I302" s="115" t="s">
        <v>665</v>
      </c>
      <c r="J302" s="125" t="s">
        <v>26</v>
      </c>
      <c r="K302" s="70">
        <v>215</v>
      </c>
      <c r="L302" s="139">
        <v>121.5</v>
      </c>
      <c r="M302" s="116"/>
      <c r="N302" s="71">
        <f t="shared" si="4"/>
        <v>0</v>
      </c>
      <c r="O302" s="76"/>
    </row>
    <row r="303" spans="1:15" x14ac:dyDescent="0.3">
      <c r="A303" s="148">
        <v>289</v>
      </c>
      <c r="B303" s="59" t="s">
        <v>496</v>
      </c>
      <c r="C303" s="59" t="s">
        <v>1</v>
      </c>
      <c r="D303" s="115" t="s">
        <v>672</v>
      </c>
      <c r="E303" s="59" t="s">
        <v>673</v>
      </c>
      <c r="F303" s="115" t="s">
        <v>674</v>
      </c>
      <c r="G303" s="59" t="s">
        <v>133</v>
      </c>
      <c r="H303" s="59" t="s">
        <v>134</v>
      </c>
      <c r="I303" s="115" t="s">
        <v>675</v>
      </c>
      <c r="J303" s="125" t="s">
        <v>26</v>
      </c>
      <c r="K303" s="70">
        <v>200</v>
      </c>
      <c r="L303" s="139">
        <v>113</v>
      </c>
      <c r="M303" s="116"/>
      <c r="N303" s="71">
        <f t="shared" si="4"/>
        <v>0</v>
      </c>
      <c r="O303" s="76"/>
    </row>
    <row r="304" spans="1:15" x14ac:dyDescent="0.3">
      <c r="A304" s="148">
        <v>290</v>
      </c>
      <c r="B304" s="59" t="s">
        <v>496</v>
      </c>
      <c r="C304" s="59" t="s">
        <v>1</v>
      </c>
      <c r="D304" s="115" t="s">
        <v>578</v>
      </c>
      <c r="E304" s="59" t="s">
        <v>579</v>
      </c>
      <c r="F304" s="115" t="s">
        <v>580</v>
      </c>
      <c r="G304" s="59" t="s">
        <v>133</v>
      </c>
      <c r="H304" s="59" t="s">
        <v>134</v>
      </c>
      <c r="I304" s="115" t="s">
        <v>581</v>
      </c>
      <c r="J304" s="125" t="s">
        <v>26</v>
      </c>
      <c r="K304" s="70">
        <v>1535</v>
      </c>
      <c r="L304" s="139">
        <v>866.80000000000007</v>
      </c>
      <c r="M304" s="116"/>
      <c r="N304" s="71">
        <f t="shared" si="4"/>
        <v>0</v>
      </c>
      <c r="O304" s="76"/>
    </row>
    <row r="305" spans="1:15" x14ac:dyDescent="0.3">
      <c r="A305" s="148">
        <v>291</v>
      </c>
      <c r="B305" s="59" t="s">
        <v>496</v>
      </c>
      <c r="C305" s="59" t="s">
        <v>1</v>
      </c>
      <c r="D305" s="115" t="s">
        <v>578</v>
      </c>
      <c r="E305" s="59" t="s">
        <v>582</v>
      </c>
      <c r="F305" s="115" t="s">
        <v>580</v>
      </c>
      <c r="G305" s="59" t="s">
        <v>133</v>
      </c>
      <c r="H305" s="59" t="s">
        <v>134</v>
      </c>
      <c r="I305" s="115" t="s">
        <v>583</v>
      </c>
      <c r="J305" s="125" t="s">
        <v>26</v>
      </c>
      <c r="K305" s="70">
        <v>1639</v>
      </c>
      <c r="L305" s="139">
        <v>925.5</v>
      </c>
      <c r="M305" s="116"/>
      <c r="N305" s="71">
        <f t="shared" si="4"/>
        <v>0</v>
      </c>
      <c r="O305" s="76"/>
    </row>
    <row r="306" spans="1:15" x14ac:dyDescent="0.3">
      <c r="A306" s="148">
        <v>292</v>
      </c>
      <c r="B306" s="59" t="s">
        <v>496</v>
      </c>
      <c r="C306" s="59" t="s">
        <v>1</v>
      </c>
      <c r="D306" s="115" t="s">
        <v>569</v>
      </c>
      <c r="E306" s="59" t="s">
        <v>570</v>
      </c>
      <c r="F306" s="115" t="s">
        <v>571</v>
      </c>
      <c r="G306" s="59" t="s">
        <v>133</v>
      </c>
      <c r="H306" s="59" t="s">
        <v>134</v>
      </c>
      <c r="I306" s="115" t="s">
        <v>572</v>
      </c>
      <c r="J306" s="125" t="s">
        <v>26</v>
      </c>
      <c r="K306" s="70">
        <v>849</v>
      </c>
      <c r="L306" s="139">
        <v>479.5</v>
      </c>
      <c r="M306" s="116"/>
      <c r="N306" s="71">
        <f t="shared" si="4"/>
        <v>0</v>
      </c>
      <c r="O306" s="76"/>
    </row>
    <row r="307" spans="1:15" x14ac:dyDescent="0.3">
      <c r="A307" s="148">
        <v>293</v>
      </c>
      <c r="B307" s="59" t="s">
        <v>496</v>
      </c>
      <c r="C307" s="59" t="s">
        <v>1</v>
      </c>
      <c r="D307" s="115" t="s">
        <v>569</v>
      </c>
      <c r="E307" s="59" t="s">
        <v>573</v>
      </c>
      <c r="F307" s="115" t="s">
        <v>571</v>
      </c>
      <c r="G307" s="59" t="s">
        <v>133</v>
      </c>
      <c r="H307" s="59" t="s">
        <v>134</v>
      </c>
      <c r="I307" s="115" t="s">
        <v>574</v>
      </c>
      <c r="J307" s="125" t="s">
        <v>26</v>
      </c>
      <c r="K307" s="70">
        <v>899</v>
      </c>
      <c r="L307" s="139">
        <v>507.70000000000005</v>
      </c>
      <c r="M307" s="116"/>
      <c r="N307" s="71">
        <f t="shared" si="4"/>
        <v>0</v>
      </c>
      <c r="O307" s="76"/>
    </row>
    <row r="308" spans="1:15" x14ac:dyDescent="0.3">
      <c r="A308" s="148">
        <v>294</v>
      </c>
      <c r="B308" s="59" t="s">
        <v>496</v>
      </c>
      <c r="C308" s="59" t="s">
        <v>1</v>
      </c>
      <c r="D308" s="115" t="s">
        <v>714</v>
      </c>
      <c r="E308" s="59" t="s">
        <v>715</v>
      </c>
      <c r="F308" s="115" t="s">
        <v>716</v>
      </c>
      <c r="G308" s="59" t="s">
        <v>133</v>
      </c>
      <c r="H308" s="59" t="s">
        <v>134</v>
      </c>
      <c r="I308" s="115" t="s">
        <v>717</v>
      </c>
      <c r="J308" s="125" t="s">
        <v>26</v>
      </c>
      <c r="K308" s="70">
        <v>1329</v>
      </c>
      <c r="L308" s="139">
        <v>750.5</v>
      </c>
      <c r="M308" s="117"/>
      <c r="N308" s="71">
        <f t="shared" si="4"/>
        <v>0</v>
      </c>
      <c r="O308" s="76"/>
    </row>
    <row r="309" spans="1:15" x14ac:dyDescent="0.3">
      <c r="A309" s="148">
        <v>295</v>
      </c>
      <c r="B309" s="59" t="s">
        <v>496</v>
      </c>
      <c r="C309" s="59" t="s">
        <v>1</v>
      </c>
      <c r="D309" s="115" t="s">
        <v>714</v>
      </c>
      <c r="E309" s="59" t="s">
        <v>718</v>
      </c>
      <c r="F309" s="115" t="s">
        <v>716</v>
      </c>
      <c r="G309" s="59" t="s">
        <v>133</v>
      </c>
      <c r="H309" s="59" t="s">
        <v>134</v>
      </c>
      <c r="I309" s="115" t="s">
        <v>719</v>
      </c>
      <c r="J309" s="125" t="s">
        <v>26</v>
      </c>
      <c r="K309" s="70">
        <v>1329</v>
      </c>
      <c r="L309" s="139">
        <v>750.5</v>
      </c>
      <c r="M309" s="118"/>
      <c r="N309" s="71">
        <f t="shared" si="4"/>
        <v>0</v>
      </c>
      <c r="O309" s="76"/>
    </row>
    <row r="310" spans="1:15" x14ac:dyDescent="0.3">
      <c r="A310" s="148">
        <v>296</v>
      </c>
      <c r="B310" s="59" t="s">
        <v>496</v>
      </c>
      <c r="C310" s="59" t="s">
        <v>1</v>
      </c>
      <c r="D310" s="115" t="s">
        <v>714</v>
      </c>
      <c r="E310" s="59" t="s">
        <v>720</v>
      </c>
      <c r="F310" s="115" t="s">
        <v>716</v>
      </c>
      <c r="G310" s="59" t="s">
        <v>133</v>
      </c>
      <c r="H310" s="59" t="s">
        <v>134</v>
      </c>
      <c r="I310" s="115" t="s">
        <v>721</v>
      </c>
      <c r="J310" s="125" t="s">
        <v>26</v>
      </c>
      <c r="K310" s="70">
        <v>1329</v>
      </c>
      <c r="L310" s="139">
        <v>750.5</v>
      </c>
      <c r="M310" s="118"/>
      <c r="N310" s="71">
        <f t="shared" si="4"/>
        <v>0</v>
      </c>
      <c r="O310" s="76"/>
    </row>
    <row r="311" spans="1:15" x14ac:dyDescent="0.3">
      <c r="A311" s="148">
        <v>297</v>
      </c>
      <c r="B311" s="59" t="s">
        <v>496</v>
      </c>
      <c r="C311" s="59" t="s">
        <v>1</v>
      </c>
      <c r="D311" s="115" t="s">
        <v>714</v>
      </c>
      <c r="E311" s="59" t="s">
        <v>722</v>
      </c>
      <c r="F311" s="115" t="s">
        <v>716</v>
      </c>
      <c r="G311" s="59" t="s">
        <v>133</v>
      </c>
      <c r="H311" s="59" t="s">
        <v>134</v>
      </c>
      <c r="I311" s="115" t="s">
        <v>723</v>
      </c>
      <c r="J311" s="125" t="s">
        <v>26</v>
      </c>
      <c r="K311" s="70">
        <v>1329</v>
      </c>
      <c r="L311" s="139">
        <v>750.5</v>
      </c>
      <c r="M311" s="118"/>
      <c r="N311" s="71">
        <f t="shared" si="4"/>
        <v>0</v>
      </c>
      <c r="O311" s="76"/>
    </row>
    <row r="312" spans="1:15" x14ac:dyDescent="0.3">
      <c r="A312" s="148">
        <v>298</v>
      </c>
      <c r="B312" s="59" t="s">
        <v>496</v>
      </c>
      <c r="C312" s="59" t="s">
        <v>1</v>
      </c>
      <c r="D312" s="115" t="s">
        <v>714</v>
      </c>
      <c r="E312" s="59" t="s">
        <v>724</v>
      </c>
      <c r="F312" s="115" t="s">
        <v>716</v>
      </c>
      <c r="G312" s="59" t="s">
        <v>133</v>
      </c>
      <c r="H312" s="59" t="s">
        <v>134</v>
      </c>
      <c r="I312" s="115" t="s">
        <v>725</v>
      </c>
      <c r="J312" s="125" t="s">
        <v>26</v>
      </c>
      <c r="K312" s="70">
        <v>1329</v>
      </c>
      <c r="L312" s="139">
        <v>750.5</v>
      </c>
      <c r="M312" s="118"/>
      <c r="N312" s="71">
        <f t="shared" si="4"/>
        <v>0</v>
      </c>
      <c r="O312" s="76"/>
    </row>
    <row r="313" spans="1:15" x14ac:dyDescent="0.3">
      <c r="A313" s="148">
        <v>299</v>
      </c>
      <c r="B313" s="59" t="s">
        <v>496</v>
      </c>
      <c r="C313" s="59" t="s">
        <v>1</v>
      </c>
      <c r="D313" s="115" t="s">
        <v>584</v>
      </c>
      <c r="E313" s="59" t="s">
        <v>585</v>
      </c>
      <c r="F313" s="115" t="s">
        <v>586</v>
      </c>
      <c r="G313" s="59" t="s">
        <v>133</v>
      </c>
      <c r="H313" s="59" t="s">
        <v>134</v>
      </c>
      <c r="I313" s="115" t="s">
        <v>587</v>
      </c>
      <c r="J313" s="125" t="s">
        <v>353</v>
      </c>
      <c r="K313" s="70">
        <v>1329</v>
      </c>
      <c r="L313" s="139">
        <v>750.5</v>
      </c>
      <c r="M313" s="119"/>
      <c r="N313" s="71">
        <f t="shared" si="4"/>
        <v>0</v>
      </c>
      <c r="O313" s="76"/>
    </row>
    <row r="314" spans="1:15" x14ac:dyDescent="0.3">
      <c r="A314" s="148">
        <v>300</v>
      </c>
      <c r="B314" s="59" t="s">
        <v>496</v>
      </c>
      <c r="C314" s="59" t="s">
        <v>1</v>
      </c>
      <c r="D314" s="115" t="s">
        <v>584</v>
      </c>
      <c r="E314" s="59" t="s">
        <v>588</v>
      </c>
      <c r="F314" s="115" t="s">
        <v>586</v>
      </c>
      <c r="G314" s="59" t="s">
        <v>133</v>
      </c>
      <c r="H314" s="59" t="s">
        <v>134</v>
      </c>
      <c r="I314" s="115" t="s">
        <v>589</v>
      </c>
      <c r="J314" s="125" t="s">
        <v>26</v>
      </c>
      <c r="K314" s="70">
        <v>1379</v>
      </c>
      <c r="L314" s="139">
        <v>778.7</v>
      </c>
      <c r="M314" s="119"/>
      <c r="N314" s="71">
        <f t="shared" si="4"/>
        <v>0</v>
      </c>
      <c r="O314" s="76"/>
    </row>
    <row r="315" spans="1:15" x14ac:dyDescent="0.3">
      <c r="A315" s="148">
        <v>301</v>
      </c>
      <c r="B315" s="59" t="s">
        <v>496</v>
      </c>
      <c r="C315" s="59" t="s">
        <v>1</v>
      </c>
      <c r="D315" s="115" t="s">
        <v>584</v>
      </c>
      <c r="E315" s="59" t="s">
        <v>590</v>
      </c>
      <c r="F315" s="115" t="s">
        <v>586</v>
      </c>
      <c r="G315" s="59" t="s">
        <v>133</v>
      </c>
      <c r="H315" s="59" t="s">
        <v>134</v>
      </c>
      <c r="I315" s="115" t="s">
        <v>591</v>
      </c>
      <c r="J315" s="125" t="s">
        <v>26</v>
      </c>
      <c r="K315" s="70">
        <v>1429</v>
      </c>
      <c r="L315" s="139">
        <v>807</v>
      </c>
      <c r="M315" s="119"/>
      <c r="N315" s="71">
        <f t="shared" si="4"/>
        <v>0</v>
      </c>
      <c r="O315" s="76"/>
    </row>
    <row r="316" spans="1:15" x14ac:dyDescent="0.3">
      <c r="A316" s="148">
        <v>302</v>
      </c>
      <c r="B316" s="59" t="s">
        <v>496</v>
      </c>
      <c r="C316" s="59" t="s">
        <v>1</v>
      </c>
      <c r="D316" s="115" t="s">
        <v>584</v>
      </c>
      <c r="E316" s="59" t="s">
        <v>592</v>
      </c>
      <c r="F316" s="115" t="s">
        <v>586</v>
      </c>
      <c r="G316" s="59" t="s">
        <v>133</v>
      </c>
      <c r="H316" s="59" t="s">
        <v>134</v>
      </c>
      <c r="I316" s="115" t="s">
        <v>593</v>
      </c>
      <c r="J316" s="125" t="s">
        <v>26</v>
      </c>
      <c r="K316" s="70">
        <v>1479</v>
      </c>
      <c r="L316" s="139">
        <v>835.2</v>
      </c>
      <c r="M316" s="119"/>
      <c r="N316" s="71">
        <f t="shared" si="4"/>
        <v>0</v>
      </c>
      <c r="O316" s="76"/>
    </row>
    <row r="317" spans="1:15" x14ac:dyDescent="0.3">
      <c r="A317" s="148">
        <v>303</v>
      </c>
      <c r="B317" s="59" t="s">
        <v>496</v>
      </c>
      <c r="C317" s="59" t="s">
        <v>1</v>
      </c>
      <c r="D317" s="115" t="s">
        <v>584</v>
      </c>
      <c r="E317" s="59" t="s">
        <v>594</v>
      </c>
      <c r="F317" s="115" t="s">
        <v>586</v>
      </c>
      <c r="G317" s="59" t="s">
        <v>133</v>
      </c>
      <c r="H317" s="59" t="s">
        <v>134</v>
      </c>
      <c r="I317" s="115" t="s">
        <v>595</v>
      </c>
      <c r="J317" s="125" t="s">
        <v>26</v>
      </c>
      <c r="K317" s="70">
        <v>1539</v>
      </c>
      <c r="L317" s="139">
        <v>869.1</v>
      </c>
      <c r="M317" s="119"/>
      <c r="N317" s="71">
        <f t="shared" si="4"/>
        <v>0</v>
      </c>
      <c r="O317" s="76"/>
    </row>
    <row r="318" spans="1:15" x14ac:dyDescent="0.3">
      <c r="A318" s="148">
        <v>304</v>
      </c>
      <c r="B318" s="59" t="s">
        <v>496</v>
      </c>
      <c r="C318" s="59" t="s">
        <v>1</v>
      </c>
      <c r="D318" s="115" t="s">
        <v>762</v>
      </c>
      <c r="E318" s="59" t="s">
        <v>763</v>
      </c>
      <c r="F318" s="115" t="s">
        <v>764</v>
      </c>
      <c r="G318" s="59" t="s">
        <v>133</v>
      </c>
      <c r="H318" s="59" t="s">
        <v>134</v>
      </c>
      <c r="I318" s="115" t="s">
        <v>581</v>
      </c>
      <c r="J318" s="125" t="s">
        <v>26</v>
      </c>
      <c r="K318" s="70">
        <v>972.5</v>
      </c>
      <c r="L318" s="139">
        <v>549.20000000000005</v>
      </c>
      <c r="M318" s="118"/>
      <c r="N318" s="71">
        <f t="shared" si="4"/>
        <v>0</v>
      </c>
      <c r="O318" s="76"/>
    </row>
    <row r="319" spans="1:15" x14ac:dyDescent="0.3">
      <c r="A319" s="148">
        <v>305</v>
      </c>
      <c r="B319" s="59" t="s">
        <v>496</v>
      </c>
      <c r="C319" s="59" t="s">
        <v>1</v>
      </c>
      <c r="D319" s="115" t="s">
        <v>762</v>
      </c>
      <c r="E319" s="59" t="s">
        <v>765</v>
      </c>
      <c r="F319" s="115" t="s">
        <v>764</v>
      </c>
      <c r="G319" s="59" t="s">
        <v>133</v>
      </c>
      <c r="H319" s="59" t="s">
        <v>134</v>
      </c>
      <c r="I319" s="115" t="s">
        <v>583</v>
      </c>
      <c r="J319" s="125" t="s">
        <v>26</v>
      </c>
      <c r="K319" s="70">
        <v>1025</v>
      </c>
      <c r="L319" s="139">
        <v>578.80000000000007</v>
      </c>
      <c r="M319" s="118"/>
      <c r="N319" s="71">
        <f t="shared" si="4"/>
        <v>0</v>
      </c>
      <c r="O319" s="76"/>
    </row>
    <row r="320" spans="1:15" x14ac:dyDescent="0.3">
      <c r="A320" s="148">
        <v>306</v>
      </c>
      <c r="B320" s="59" t="s">
        <v>496</v>
      </c>
      <c r="C320" s="59" t="s">
        <v>1</v>
      </c>
      <c r="D320" s="115" t="s">
        <v>754</v>
      </c>
      <c r="E320" s="59" t="s">
        <v>755</v>
      </c>
      <c r="F320" s="115" t="s">
        <v>756</v>
      </c>
      <c r="G320" s="59" t="s">
        <v>133</v>
      </c>
      <c r="H320" s="59" t="s">
        <v>134</v>
      </c>
      <c r="I320" s="115" t="s">
        <v>757</v>
      </c>
      <c r="J320" s="125" t="s">
        <v>26</v>
      </c>
      <c r="K320" s="70">
        <v>175</v>
      </c>
      <c r="L320" s="139">
        <v>98.899999999999991</v>
      </c>
      <c r="M320" s="118"/>
      <c r="N320" s="71">
        <f t="shared" si="4"/>
        <v>0</v>
      </c>
      <c r="O320" s="76"/>
    </row>
    <row r="321" spans="1:15" x14ac:dyDescent="0.3">
      <c r="A321" s="148">
        <v>307</v>
      </c>
      <c r="B321" s="59" t="s">
        <v>496</v>
      </c>
      <c r="C321" s="59" t="s">
        <v>1</v>
      </c>
      <c r="D321" s="115" t="s">
        <v>754</v>
      </c>
      <c r="E321" s="59" t="s">
        <v>758</v>
      </c>
      <c r="F321" s="115" t="s">
        <v>756</v>
      </c>
      <c r="G321" s="59" t="s">
        <v>133</v>
      </c>
      <c r="H321" s="59" t="s">
        <v>134</v>
      </c>
      <c r="I321" s="115" t="s">
        <v>572</v>
      </c>
      <c r="J321" s="125" t="s">
        <v>26</v>
      </c>
      <c r="K321" s="70">
        <v>195</v>
      </c>
      <c r="L321" s="139">
        <v>110.19999999999999</v>
      </c>
      <c r="M321" s="118"/>
      <c r="N321" s="71">
        <f t="shared" si="4"/>
        <v>0</v>
      </c>
      <c r="O321" s="76"/>
    </row>
    <row r="322" spans="1:15" x14ac:dyDescent="0.3">
      <c r="A322" s="148">
        <v>308</v>
      </c>
      <c r="B322" s="59" t="s">
        <v>496</v>
      </c>
      <c r="C322" s="59" t="s">
        <v>1</v>
      </c>
      <c r="D322" s="115" t="s">
        <v>754</v>
      </c>
      <c r="E322" s="59" t="s">
        <v>759</v>
      </c>
      <c r="F322" s="115" t="s">
        <v>756</v>
      </c>
      <c r="G322" s="59" t="s">
        <v>133</v>
      </c>
      <c r="H322" s="59" t="s">
        <v>134</v>
      </c>
      <c r="I322" s="115" t="s">
        <v>760</v>
      </c>
      <c r="J322" s="125" t="s">
        <v>26</v>
      </c>
      <c r="K322" s="70">
        <v>195</v>
      </c>
      <c r="L322" s="139">
        <v>110.19999999999999</v>
      </c>
      <c r="M322" s="118"/>
      <c r="N322" s="71">
        <f t="shared" si="4"/>
        <v>0</v>
      </c>
      <c r="O322" s="76"/>
    </row>
    <row r="323" spans="1:15" x14ac:dyDescent="0.3">
      <c r="A323" s="148">
        <v>309</v>
      </c>
      <c r="B323" s="59" t="s">
        <v>496</v>
      </c>
      <c r="C323" s="59" t="s">
        <v>1</v>
      </c>
      <c r="D323" s="115" t="s">
        <v>754</v>
      </c>
      <c r="E323" s="59" t="s">
        <v>761</v>
      </c>
      <c r="F323" s="115" t="s">
        <v>756</v>
      </c>
      <c r="G323" s="59" t="s">
        <v>133</v>
      </c>
      <c r="H323" s="59" t="s">
        <v>134</v>
      </c>
      <c r="I323" s="115" t="s">
        <v>574</v>
      </c>
      <c r="J323" s="125" t="s">
        <v>26</v>
      </c>
      <c r="K323" s="70">
        <v>215</v>
      </c>
      <c r="L323" s="139">
        <v>121.5</v>
      </c>
      <c r="M323" s="118"/>
      <c r="N323" s="71">
        <f t="shared" si="4"/>
        <v>0</v>
      </c>
      <c r="O323" s="76"/>
    </row>
    <row r="324" spans="1:15" x14ac:dyDescent="0.3">
      <c r="A324" s="148">
        <v>310</v>
      </c>
      <c r="B324" s="59" t="s">
        <v>496</v>
      </c>
      <c r="C324" s="59" t="s">
        <v>1</v>
      </c>
      <c r="D324" s="115" t="s">
        <v>743</v>
      </c>
      <c r="E324" s="59" t="s">
        <v>744</v>
      </c>
      <c r="F324" s="115" t="s">
        <v>745</v>
      </c>
      <c r="G324" s="59" t="s">
        <v>133</v>
      </c>
      <c r="H324" s="59" t="s">
        <v>134</v>
      </c>
      <c r="I324" s="115" t="s">
        <v>746</v>
      </c>
      <c r="J324" s="125" t="s">
        <v>26</v>
      </c>
      <c r="K324" s="70">
        <v>305</v>
      </c>
      <c r="L324" s="139">
        <v>172.29999999999998</v>
      </c>
      <c r="M324" s="118"/>
      <c r="N324" s="71">
        <f t="shared" si="4"/>
        <v>0</v>
      </c>
      <c r="O324" s="76"/>
    </row>
    <row r="325" spans="1:15" x14ac:dyDescent="0.3">
      <c r="A325" s="148">
        <v>311</v>
      </c>
      <c r="B325" s="59" t="s">
        <v>496</v>
      </c>
      <c r="C325" s="59" t="s">
        <v>1</v>
      </c>
      <c r="D325" s="115" t="s">
        <v>743</v>
      </c>
      <c r="E325" s="59" t="s">
        <v>747</v>
      </c>
      <c r="F325" s="115" t="s">
        <v>745</v>
      </c>
      <c r="G325" s="59" t="s">
        <v>133</v>
      </c>
      <c r="H325" s="59" t="s">
        <v>134</v>
      </c>
      <c r="I325" s="115" t="s">
        <v>748</v>
      </c>
      <c r="J325" s="125" t="s">
        <v>26</v>
      </c>
      <c r="K325" s="70">
        <v>315</v>
      </c>
      <c r="L325" s="139">
        <v>177.9</v>
      </c>
      <c r="M325" s="118"/>
      <c r="N325" s="71">
        <f t="shared" si="4"/>
        <v>0</v>
      </c>
      <c r="O325" s="76"/>
    </row>
    <row r="326" spans="1:15" x14ac:dyDescent="0.3">
      <c r="A326" s="148">
        <v>312</v>
      </c>
      <c r="B326" s="59" t="s">
        <v>496</v>
      </c>
      <c r="C326" s="59" t="s">
        <v>1</v>
      </c>
      <c r="D326" s="115" t="s">
        <v>743</v>
      </c>
      <c r="E326" s="59" t="s">
        <v>749</v>
      </c>
      <c r="F326" s="115" t="s">
        <v>745</v>
      </c>
      <c r="G326" s="59" t="s">
        <v>133</v>
      </c>
      <c r="H326" s="59" t="s">
        <v>134</v>
      </c>
      <c r="I326" s="115" t="s">
        <v>750</v>
      </c>
      <c r="J326" s="125" t="s">
        <v>26</v>
      </c>
      <c r="K326" s="70">
        <v>325</v>
      </c>
      <c r="L326" s="139">
        <v>183.6</v>
      </c>
      <c r="M326" s="118"/>
      <c r="N326" s="71">
        <f t="shared" si="4"/>
        <v>0</v>
      </c>
      <c r="O326" s="76"/>
    </row>
    <row r="327" spans="1:15" x14ac:dyDescent="0.3">
      <c r="A327" s="148">
        <v>313</v>
      </c>
      <c r="B327" s="59" t="s">
        <v>496</v>
      </c>
      <c r="C327" s="59" t="s">
        <v>1</v>
      </c>
      <c r="D327" s="115" t="s">
        <v>737</v>
      </c>
      <c r="E327" s="59" t="s">
        <v>738</v>
      </c>
      <c r="F327" s="115" t="s">
        <v>739</v>
      </c>
      <c r="G327" s="59" t="s">
        <v>133</v>
      </c>
      <c r="H327" s="59" t="s">
        <v>134</v>
      </c>
      <c r="I327" s="115" t="s">
        <v>740</v>
      </c>
      <c r="J327" s="125" t="s">
        <v>26</v>
      </c>
      <c r="K327" s="70">
        <v>245</v>
      </c>
      <c r="L327" s="139">
        <v>138.4</v>
      </c>
      <c r="M327" s="118"/>
      <c r="N327" s="71">
        <f t="shared" si="4"/>
        <v>0</v>
      </c>
      <c r="O327" s="76"/>
    </row>
    <row r="328" spans="1:15" x14ac:dyDescent="0.3">
      <c r="A328" s="148">
        <v>314</v>
      </c>
      <c r="B328" s="59" t="s">
        <v>496</v>
      </c>
      <c r="C328" s="59" t="s">
        <v>1</v>
      </c>
      <c r="D328" s="115" t="s">
        <v>737</v>
      </c>
      <c r="E328" s="59" t="s">
        <v>741</v>
      </c>
      <c r="F328" s="115" t="s">
        <v>739</v>
      </c>
      <c r="G328" s="59" t="s">
        <v>133</v>
      </c>
      <c r="H328" s="59" t="s">
        <v>134</v>
      </c>
      <c r="I328" s="115" t="s">
        <v>742</v>
      </c>
      <c r="J328" s="125" t="s">
        <v>26</v>
      </c>
      <c r="K328" s="70">
        <v>265</v>
      </c>
      <c r="L328" s="139">
        <v>149.69999999999999</v>
      </c>
      <c r="M328" s="118"/>
      <c r="N328" s="71">
        <f t="shared" si="4"/>
        <v>0</v>
      </c>
      <c r="O328" s="76"/>
    </row>
    <row r="329" spans="1:15" x14ac:dyDescent="0.3">
      <c r="A329" s="148">
        <v>315</v>
      </c>
      <c r="B329" s="59" t="s">
        <v>496</v>
      </c>
      <c r="C329" s="59" t="s">
        <v>1</v>
      </c>
      <c r="D329" s="115" t="s">
        <v>751</v>
      </c>
      <c r="E329" s="59" t="s">
        <v>752</v>
      </c>
      <c r="F329" s="115" t="s">
        <v>753</v>
      </c>
      <c r="G329" s="59" t="s">
        <v>133</v>
      </c>
      <c r="H329" s="59" t="s">
        <v>134</v>
      </c>
      <c r="I329" s="115" t="s">
        <v>280</v>
      </c>
      <c r="J329" s="125" t="s">
        <v>26</v>
      </c>
      <c r="K329" s="70">
        <v>205</v>
      </c>
      <c r="L329" s="139">
        <v>115.8</v>
      </c>
      <c r="M329" s="118"/>
      <c r="N329" s="71">
        <f t="shared" si="4"/>
        <v>0</v>
      </c>
      <c r="O329" s="76"/>
    </row>
    <row r="330" spans="1:15" x14ac:dyDescent="0.3">
      <c r="A330" s="148">
        <v>316</v>
      </c>
      <c r="B330" s="59" t="s">
        <v>766</v>
      </c>
      <c r="C330" s="59" t="s">
        <v>1</v>
      </c>
      <c r="D330" s="115" t="s">
        <v>767</v>
      </c>
      <c r="E330" s="59" t="s">
        <v>768</v>
      </c>
      <c r="F330" s="115" t="s">
        <v>769</v>
      </c>
      <c r="G330" s="59" t="s">
        <v>133</v>
      </c>
      <c r="H330" s="59" t="s">
        <v>134</v>
      </c>
      <c r="I330" s="115" t="s">
        <v>280</v>
      </c>
      <c r="J330" s="125" t="s">
        <v>26</v>
      </c>
      <c r="K330" s="70">
        <v>499</v>
      </c>
      <c r="L330" s="139">
        <v>292.20000000000005</v>
      </c>
      <c r="M330" s="118"/>
      <c r="N330" s="71">
        <f t="shared" si="4"/>
        <v>0</v>
      </c>
      <c r="O330" s="76"/>
    </row>
    <row r="331" spans="1:15" x14ac:dyDescent="0.3">
      <c r="A331" s="148">
        <v>317</v>
      </c>
      <c r="B331" s="59" t="s">
        <v>766</v>
      </c>
      <c r="C331" s="59" t="s">
        <v>1</v>
      </c>
      <c r="D331" s="115" t="s">
        <v>770</v>
      </c>
      <c r="E331" s="59" t="s">
        <v>771</v>
      </c>
      <c r="F331" s="115" t="s">
        <v>772</v>
      </c>
      <c r="G331" s="59" t="s">
        <v>133</v>
      </c>
      <c r="H331" s="59" t="s">
        <v>134</v>
      </c>
      <c r="I331" s="115" t="s">
        <v>280</v>
      </c>
      <c r="J331" s="125" t="s">
        <v>26</v>
      </c>
      <c r="K331" s="70">
        <v>229</v>
      </c>
      <c r="L331" s="139">
        <v>134.1</v>
      </c>
      <c r="M331" s="118"/>
      <c r="N331" s="71">
        <f t="shared" si="4"/>
        <v>0</v>
      </c>
      <c r="O331" s="76"/>
    </row>
    <row r="332" spans="1:15" x14ac:dyDescent="0.3">
      <c r="A332" s="148">
        <v>318</v>
      </c>
      <c r="B332" s="59" t="s">
        <v>766</v>
      </c>
      <c r="C332" s="59" t="s">
        <v>1</v>
      </c>
      <c r="D332" s="115" t="s">
        <v>773</v>
      </c>
      <c r="E332" s="59" t="s">
        <v>774</v>
      </c>
      <c r="F332" s="115" t="s">
        <v>775</v>
      </c>
      <c r="G332" s="59" t="s">
        <v>161</v>
      </c>
      <c r="H332" s="59" t="s">
        <v>162</v>
      </c>
      <c r="I332" s="115" t="s">
        <v>280</v>
      </c>
      <c r="J332" s="125" t="s">
        <v>26</v>
      </c>
      <c r="K332" s="132">
        <v>119</v>
      </c>
      <c r="L332" s="139">
        <v>65.099999999999994</v>
      </c>
      <c r="M332" s="118"/>
      <c r="N332" s="60">
        <f t="shared" si="4"/>
        <v>0</v>
      </c>
      <c r="O332" s="76"/>
    </row>
  </sheetData>
  <autoFilter ref="A13:N332" xr:uid="{00000000-0001-0000-0000-000000000000}">
    <sortState xmlns:xlrd2="http://schemas.microsoft.com/office/spreadsheetml/2017/richdata2" ref="A14:N332">
      <sortCondition ref="A13:A332"/>
    </sortState>
  </autoFilter>
  <customSheetViews>
    <customSheetView guid="{E0BAB3EC-1201-4193-B59E-5B286709951D}" scale="90" showGridLines="0" printArea="1" showAutoFilter="1">
      <selection activeCell="M14" sqref="M14"/>
      <colBreaks count="1" manualBreakCount="1">
        <brk id="13" max="1048575" man="1"/>
      </colBreaks>
      <pageMargins left="0" right="0" top="0" bottom="0" header="0" footer="0"/>
      <pageSetup paperSize="9" scale="60" orientation="landscape" r:id="rId1"/>
      <autoFilter ref="A12:N316" xr:uid="{E4B2D0A6-5506-41B3-BA98-392EB725E43A}">
        <sortState xmlns:xlrd2="http://schemas.microsoft.com/office/spreadsheetml/2017/richdata2" ref="A13:N316">
          <sortCondition ref="A12:A313"/>
        </sortState>
      </autoFilter>
    </customSheetView>
  </customSheetViews>
  <pageMargins left="0.70866141732283472" right="0.70866141732283472" top="0.74803149606299213" bottom="0.74803149606299213" header="0.31496062992125984" footer="0.31496062992125984"/>
  <pageSetup paperSize="9" scale="5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F03B-6322-4410-9244-1737776077B4}">
  <sheetPr>
    <tabColor rgb="FFBDE35F"/>
  </sheetPr>
  <dimension ref="A2:O122"/>
  <sheetViews>
    <sheetView showGridLines="0" zoomScaleNormal="100" workbookViewId="0">
      <selection activeCell="F8" sqref="F8"/>
    </sheetView>
  </sheetViews>
  <sheetFormatPr defaultColWidth="9.109375" defaultRowHeight="14.4" x14ac:dyDescent="0.3"/>
  <cols>
    <col min="1" max="1" width="6.88671875" style="53" customWidth="1"/>
    <col min="2" max="2" width="26.33203125" style="53" bestFit="1" customWidth="1"/>
    <col min="3" max="3" width="17.88671875" style="53" bestFit="1" customWidth="1"/>
    <col min="4" max="4" width="14.33203125" style="53" customWidth="1"/>
    <col min="5" max="5" width="15.109375" style="53" bestFit="1" customWidth="1"/>
    <col min="6" max="6" width="42.6640625" bestFit="1" customWidth="1"/>
    <col min="7" max="7" width="7.6640625" style="53" bestFit="1" customWidth="1"/>
    <col min="8" max="8" width="17.44140625" style="53" bestFit="1" customWidth="1"/>
    <col min="9" max="9" width="11.6640625" style="53" customWidth="1"/>
    <col min="10" max="10" width="19.5546875" style="53" bestFit="1" customWidth="1"/>
    <col min="11" max="11" width="21.6640625" style="53" bestFit="1" customWidth="1"/>
    <col min="12" max="12" width="24.6640625" style="53" bestFit="1" customWidth="1"/>
    <col min="13" max="13" width="7.6640625" style="53" bestFit="1" customWidth="1"/>
    <col min="14" max="14" width="10" style="53" customWidth="1"/>
    <col min="15" max="16384" width="9.109375" style="53"/>
  </cols>
  <sheetData>
    <row r="2" spans="1:15" x14ac:dyDescent="0.3">
      <c r="B2"/>
    </row>
    <row r="4" spans="1:15" x14ac:dyDescent="0.3">
      <c r="A4"/>
    </row>
    <row r="5" spans="1:15" x14ac:dyDescent="0.3">
      <c r="G5" s="57" t="s">
        <v>1810</v>
      </c>
      <c r="H5" s="55"/>
      <c r="K5" s="94" t="s">
        <v>0</v>
      </c>
      <c r="L5" s="143">
        <f>SUM(N15:N122)</f>
        <v>0</v>
      </c>
    </row>
    <row r="6" spans="1:15" x14ac:dyDescent="0.3">
      <c r="G6" s="92" t="s">
        <v>776</v>
      </c>
      <c r="H6" s="93"/>
      <c r="K6" s="94" t="s">
        <v>2</v>
      </c>
      <c r="L6" s="74">
        <f>SUM(M15:M122)</f>
        <v>0</v>
      </c>
    </row>
    <row r="14" spans="1:15" ht="13.8" x14ac:dyDescent="0.3">
      <c r="A14" s="126" t="s">
        <v>5</v>
      </c>
      <c r="B14" s="127" t="s">
        <v>6</v>
      </c>
      <c r="C14" s="127" t="s">
        <v>7</v>
      </c>
      <c r="D14" s="127" t="s">
        <v>8</v>
      </c>
      <c r="E14" s="127" t="s">
        <v>9</v>
      </c>
      <c r="F14" s="127" t="s">
        <v>10</v>
      </c>
      <c r="G14" s="127" t="s">
        <v>11</v>
      </c>
      <c r="H14" s="127" t="s">
        <v>12</v>
      </c>
      <c r="I14" s="127" t="s">
        <v>13</v>
      </c>
      <c r="J14" s="66" t="s">
        <v>14</v>
      </c>
      <c r="K14" s="67" t="s">
        <v>15</v>
      </c>
      <c r="L14" s="137" t="s">
        <v>1809</v>
      </c>
      <c r="M14" s="67" t="s">
        <v>17</v>
      </c>
      <c r="N14" s="68" t="s">
        <v>18</v>
      </c>
    </row>
    <row r="15" spans="1:15" x14ac:dyDescent="0.3">
      <c r="A15" s="148">
        <v>319</v>
      </c>
      <c r="B15" s="59" t="s">
        <v>477</v>
      </c>
      <c r="C15" s="59" t="s">
        <v>776</v>
      </c>
      <c r="D15" s="115" t="s">
        <v>777</v>
      </c>
      <c r="E15" s="59" t="s">
        <v>778</v>
      </c>
      <c r="F15" s="115" t="s">
        <v>779</v>
      </c>
      <c r="G15" s="59" t="s">
        <v>320</v>
      </c>
      <c r="H15" s="59" t="s">
        <v>321</v>
      </c>
      <c r="I15" s="115" t="s">
        <v>280</v>
      </c>
      <c r="J15" s="125" t="s">
        <v>26</v>
      </c>
      <c r="K15" s="70">
        <v>409</v>
      </c>
      <c r="L15" s="139">
        <v>231</v>
      </c>
      <c r="M15" s="119"/>
      <c r="N15" s="71">
        <f t="shared" ref="N15:N46" si="0">L15*M15</f>
        <v>0</v>
      </c>
      <c r="O15" s="76"/>
    </row>
    <row r="16" spans="1:15" x14ac:dyDescent="0.3">
      <c r="A16" s="148">
        <v>320</v>
      </c>
      <c r="B16" s="122" t="s">
        <v>477</v>
      </c>
      <c r="C16" s="122" t="s">
        <v>776</v>
      </c>
      <c r="D16" s="123" t="s">
        <v>780</v>
      </c>
      <c r="E16" s="122" t="s">
        <v>781</v>
      </c>
      <c r="F16" s="123" t="s">
        <v>782</v>
      </c>
      <c r="G16" s="122" t="s">
        <v>133</v>
      </c>
      <c r="H16" s="122" t="s">
        <v>134</v>
      </c>
      <c r="I16" s="123" t="s">
        <v>280</v>
      </c>
      <c r="J16" s="125" t="s">
        <v>26</v>
      </c>
      <c r="K16" s="70">
        <v>75.5</v>
      </c>
      <c r="L16" s="139">
        <v>42.7</v>
      </c>
      <c r="M16" s="119"/>
      <c r="N16" s="71">
        <f t="shared" si="0"/>
        <v>0</v>
      </c>
      <c r="O16" s="76"/>
    </row>
    <row r="17" spans="1:15" x14ac:dyDescent="0.3">
      <c r="A17" s="148">
        <v>321</v>
      </c>
      <c r="B17" s="122" t="s">
        <v>477</v>
      </c>
      <c r="C17" s="122" t="s">
        <v>776</v>
      </c>
      <c r="D17" s="123" t="s">
        <v>783</v>
      </c>
      <c r="E17" s="122" t="s">
        <v>784</v>
      </c>
      <c r="F17" s="123" t="s">
        <v>785</v>
      </c>
      <c r="G17" s="122" t="s">
        <v>161</v>
      </c>
      <c r="H17" s="122" t="s">
        <v>162</v>
      </c>
      <c r="I17" s="123" t="s">
        <v>280</v>
      </c>
      <c r="J17" s="125" t="s">
        <v>26</v>
      </c>
      <c r="K17" s="70">
        <v>184.5</v>
      </c>
      <c r="L17" s="139">
        <v>104.19999999999999</v>
      </c>
      <c r="M17" s="119"/>
      <c r="N17" s="71">
        <f t="shared" si="0"/>
        <v>0</v>
      </c>
      <c r="O17" s="76"/>
    </row>
    <row r="18" spans="1:15" x14ac:dyDescent="0.3">
      <c r="A18" s="148">
        <v>322</v>
      </c>
      <c r="B18" s="59" t="s">
        <v>477</v>
      </c>
      <c r="C18" s="59" t="s">
        <v>776</v>
      </c>
      <c r="D18" s="115" t="s">
        <v>786</v>
      </c>
      <c r="E18" s="59" t="s">
        <v>787</v>
      </c>
      <c r="F18" s="115" t="s">
        <v>788</v>
      </c>
      <c r="G18" s="59" t="s">
        <v>133</v>
      </c>
      <c r="H18" s="59" t="s">
        <v>134</v>
      </c>
      <c r="I18" s="115" t="s">
        <v>280</v>
      </c>
      <c r="J18" s="125" t="s">
        <v>26</v>
      </c>
      <c r="K18" s="70">
        <v>109</v>
      </c>
      <c r="L18" s="139">
        <v>61.6</v>
      </c>
      <c r="M18" s="119"/>
      <c r="N18" s="71">
        <f t="shared" si="0"/>
        <v>0</v>
      </c>
      <c r="O18" s="76"/>
    </row>
    <row r="19" spans="1:15" x14ac:dyDescent="0.3">
      <c r="A19" s="148">
        <v>323</v>
      </c>
      <c r="B19" s="59" t="s">
        <v>492</v>
      </c>
      <c r="C19" s="59" t="s">
        <v>776</v>
      </c>
      <c r="D19" s="115" t="s">
        <v>789</v>
      </c>
      <c r="E19" s="59" t="s">
        <v>790</v>
      </c>
      <c r="F19" s="115" t="s">
        <v>791</v>
      </c>
      <c r="G19" s="59" t="s">
        <v>161</v>
      </c>
      <c r="H19" s="59" t="s">
        <v>792</v>
      </c>
      <c r="I19" s="115" t="s">
        <v>280</v>
      </c>
      <c r="J19" s="125" t="s">
        <v>26</v>
      </c>
      <c r="K19" s="70">
        <v>11.5</v>
      </c>
      <c r="L19" s="139">
        <v>6.5</v>
      </c>
      <c r="M19" s="119"/>
      <c r="N19" s="71">
        <f t="shared" si="0"/>
        <v>0</v>
      </c>
      <c r="O19" s="76"/>
    </row>
    <row r="20" spans="1:15" x14ac:dyDescent="0.3">
      <c r="A20" s="148">
        <v>324</v>
      </c>
      <c r="B20" s="59" t="s">
        <v>492</v>
      </c>
      <c r="C20" s="59" t="s">
        <v>776</v>
      </c>
      <c r="D20" s="115" t="s">
        <v>793</v>
      </c>
      <c r="E20" s="59" t="s">
        <v>794</v>
      </c>
      <c r="F20" s="115" t="s">
        <v>795</v>
      </c>
      <c r="G20" s="59" t="s">
        <v>161</v>
      </c>
      <c r="H20" s="59" t="s">
        <v>162</v>
      </c>
      <c r="I20" s="115" t="s">
        <v>796</v>
      </c>
      <c r="J20" s="125" t="s">
        <v>26</v>
      </c>
      <c r="K20" s="70">
        <v>40</v>
      </c>
      <c r="L20" s="139">
        <v>22.6</v>
      </c>
      <c r="M20" s="119"/>
      <c r="N20" s="71">
        <f t="shared" si="0"/>
        <v>0</v>
      </c>
      <c r="O20" s="76"/>
    </row>
    <row r="21" spans="1:15" x14ac:dyDescent="0.3">
      <c r="A21" s="148">
        <v>325</v>
      </c>
      <c r="B21" s="59" t="s">
        <v>492</v>
      </c>
      <c r="C21" s="59" t="s">
        <v>776</v>
      </c>
      <c r="D21" s="115" t="s">
        <v>797</v>
      </c>
      <c r="E21" s="59" t="s">
        <v>798</v>
      </c>
      <c r="F21" s="115" t="s">
        <v>799</v>
      </c>
      <c r="G21" s="59" t="s">
        <v>133</v>
      </c>
      <c r="H21" s="59" t="s">
        <v>134</v>
      </c>
      <c r="I21" s="115" t="s">
        <v>800</v>
      </c>
      <c r="J21" s="125" t="s">
        <v>101</v>
      </c>
      <c r="K21" s="70">
        <v>65</v>
      </c>
      <c r="L21" s="139">
        <v>36.800000000000004</v>
      </c>
      <c r="M21" s="119"/>
      <c r="N21" s="71">
        <f t="shared" si="0"/>
        <v>0</v>
      </c>
      <c r="O21" s="76"/>
    </row>
    <row r="22" spans="1:15" x14ac:dyDescent="0.3">
      <c r="A22" s="148">
        <v>326</v>
      </c>
      <c r="B22" s="59" t="s">
        <v>492</v>
      </c>
      <c r="C22" s="59" t="s">
        <v>776</v>
      </c>
      <c r="D22" s="115" t="s">
        <v>801</v>
      </c>
      <c r="E22" s="59" t="s">
        <v>802</v>
      </c>
      <c r="F22" s="115" t="s">
        <v>803</v>
      </c>
      <c r="G22" s="59" t="s">
        <v>58</v>
      </c>
      <c r="H22" s="59" t="s">
        <v>59</v>
      </c>
      <c r="I22" s="115" t="s">
        <v>804</v>
      </c>
      <c r="J22" s="125" t="s">
        <v>101</v>
      </c>
      <c r="K22" s="70">
        <v>105</v>
      </c>
      <c r="L22" s="139">
        <v>59.300000000000004</v>
      </c>
      <c r="M22" s="119"/>
      <c r="N22" s="71">
        <f t="shared" si="0"/>
        <v>0</v>
      </c>
      <c r="O22" s="76"/>
    </row>
    <row r="23" spans="1:15" x14ac:dyDescent="0.3">
      <c r="A23" s="148">
        <v>327</v>
      </c>
      <c r="B23" s="59" t="s">
        <v>492</v>
      </c>
      <c r="C23" s="59" t="s">
        <v>776</v>
      </c>
      <c r="D23" s="115" t="s">
        <v>801</v>
      </c>
      <c r="E23" s="59" t="s">
        <v>805</v>
      </c>
      <c r="F23" s="115" t="s">
        <v>803</v>
      </c>
      <c r="G23" s="59" t="s">
        <v>30</v>
      </c>
      <c r="H23" s="59" t="s">
        <v>31</v>
      </c>
      <c r="I23" s="115" t="s">
        <v>804</v>
      </c>
      <c r="J23" s="125" t="s">
        <v>101</v>
      </c>
      <c r="K23" s="70">
        <v>105</v>
      </c>
      <c r="L23" s="139">
        <v>59.300000000000004</v>
      </c>
      <c r="M23" s="119"/>
      <c r="N23" s="71">
        <f t="shared" si="0"/>
        <v>0</v>
      </c>
      <c r="O23" s="76"/>
    </row>
    <row r="24" spans="1:15" x14ac:dyDescent="0.3">
      <c r="A24" s="148">
        <v>328</v>
      </c>
      <c r="B24" s="59" t="s">
        <v>492</v>
      </c>
      <c r="C24" s="59" t="s">
        <v>776</v>
      </c>
      <c r="D24" s="115" t="s">
        <v>801</v>
      </c>
      <c r="E24" s="59" t="s">
        <v>806</v>
      </c>
      <c r="F24" s="115" t="s">
        <v>803</v>
      </c>
      <c r="G24" s="59" t="s">
        <v>81</v>
      </c>
      <c r="H24" s="59" t="s">
        <v>82</v>
      </c>
      <c r="I24" s="115" t="s">
        <v>804</v>
      </c>
      <c r="J24" s="125" t="s">
        <v>101</v>
      </c>
      <c r="K24" s="70">
        <v>105</v>
      </c>
      <c r="L24" s="139">
        <v>59.300000000000004</v>
      </c>
      <c r="M24" s="119"/>
      <c r="N24" s="71">
        <f t="shared" si="0"/>
        <v>0</v>
      </c>
      <c r="O24" s="76"/>
    </row>
    <row r="25" spans="1:15" x14ac:dyDescent="0.3">
      <c r="A25" s="148">
        <v>329</v>
      </c>
      <c r="B25" s="59" t="s">
        <v>492</v>
      </c>
      <c r="C25" s="59" t="s">
        <v>776</v>
      </c>
      <c r="D25" s="115" t="s">
        <v>801</v>
      </c>
      <c r="E25" s="59" t="s">
        <v>807</v>
      </c>
      <c r="F25" s="115" t="s">
        <v>803</v>
      </c>
      <c r="G25" s="59" t="s">
        <v>91</v>
      </c>
      <c r="H25" s="59" t="s">
        <v>92</v>
      </c>
      <c r="I25" s="115" t="s">
        <v>804</v>
      </c>
      <c r="J25" s="125" t="s">
        <v>101</v>
      </c>
      <c r="K25" s="70">
        <v>105</v>
      </c>
      <c r="L25" s="139">
        <v>59.300000000000004</v>
      </c>
      <c r="M25" s="119"/>
      <c r="N25" s="71">
        <f t="shared" si="0"/>
        <v>0</v>
      </c>
      <c r="O25" s="76"/>
    </row>
    <row r="26" spans="1:15" x14ac:dyDescent="0.3">
      <c r="A26" s="148">
        <v>330</v>
      </c>
      <c r="B26" s="59" t="s">
        <v>492</v>
      </c>
      <c r="C26" s="59" t="s">
        <v>776</v>
      </c>
      <c r="D26" s="115" t="s">
        <v>801</v>
      </c>
      <c r="E26" s="59" t="s">
        <v>808</v>
      </c>
      <c r="F26" s="115" t="s">
        <v>803</v>
      </c>
      <c r="G26" s="59" t="s">
        <v>133</v>
      </c>
      <c r="H26" s="59" t="s">
        <v>134</v>
      </c>
      <c r="I26" s="115" t="s">
        <v>804</v>
      </c>
      <c r="J26" s="125" t="s">
        <v>101</v>
      </c>
      <c r="K26" s="70">
        <v>105</v>
      </c>
      <c r="L26" s="139">
        <v>59.300000000000004</v>
      </c>
      <c r="M26" s="119"/>
      <c r="N26" s="71">
        <f t="shared" si="0"/>
        <v>0</v>
      </c>
      <c r="O26" s="76"/>
    </row>
    <row r="27" spans="1:15" x14ac:dyDescent="0.3">
      <c r="A27" s="148">
        <v>331</v>
      </c>
      <c r="B27" s="59" t="s">
        <v>492</v>
      </c>
      <c r="C27" s="59" t="s">
        <v>776</v>
      </c>
      <c r="D27" s="115" t="s">
        <v>809</v>
      </c>
      <c r="E27" s="59" t="s">
        <v>810</v>
      </c>
      <c r="F27" s="115" t="s">
        <v>811</v>
      </c>
      <c r="G27" s="59" t="s">
        <v>58</v>
      </c>
      <c r="H27" s="59" t="s">
        <v>59</v>
      </c>
      <c r="I27" s="115" t="s">
        <v>804</v>
      </c>
      <c r="J27" s="125" t="s">
        <v>26</v>
      </c>
      <c r="K27" s="70">
        <v>184.5</v>
      </c>
      <c r="L27" s="139">
        <v>104.19999999999999</v>
      </c>
      <c r="M27" s="119"/>
      <c r="N27" s="71">
        <f t="shared" si="0"/>
        <v>0</v>
      </c>
      <c r="O27" s="76"/>
    </row>
    <row r="28" spans="1:15" x14ac:dyDescent="0.3">
      <c r="A28" s="148">
        <v>332</v>
      </c>
      <c r="B28" s="59" t="s">
        <v>492</v>
      </c>
      <c r="C28" s="59" t="s">
        <v>776</v>
      </c>
      <c r="D28" s="115" t="s">
        <v>812</v>
      </c>
      <c r="E28" s="59" t="s">
        <v>813</v>
      </c>
      <c r="F28" s="115" t="s">
        <v>814</v>
      </c>
      <c r="G28" s="59" t="s">
        <v>133</v>
      </c>
      <c r="H28" s="59" t="s">
        <v>134</v>
      </c>
      <c r="I28" s="115" t="s">
        <v>800</v>
      </c>
      <c r="J28" s="125" t="s">
        <v>26</v>
      </c>
      <c r="K28" s="70">
        <v>138.5</v>
      </c>
      <c r="L28" s="139">
        <v>78.3</v>
      </c>
      <c r="M28" s="119"/>
      <c r="N28" s="71">
        <f t="shared" si="0"/>
        <v>0</v>
      </c>
      <c r="O28" s="76"/>
    </row>
    <row r="29" spans="1:15" x14ac:dyDescent="0.3">
      <c r="A29" s="148">
        <v>333</v>
      </c>
      <c r="B29" s="59" t="s">
        <v>492</v>
      </c>
      <c r="C29" s="59" t="s">
        <v>776</v>
      </c>
      <c r="D29" s="115" t="s">
        <v>815</v>
      </c>
      <c r="E29" s="59" t="s">
        <v>816</v>
      </c>
      <c r="F29" s="115" t="s">
        <v>817</v>
      </c>
      <c r="G29" s="59" t="s">
        <v>161</v>
      </c>
      <c r="H29" s="59" t="s">
        <v>162</v>
      </c>
      <c r="I29" s="115" t="s">
        <v>804</v>
      </c>
      <c r="J29" s="125" t="s">
        <v>26</v>
      </c>
      <c r="K29" s="70">
        <v>132.5</v>
      </c>
      <c r="L29" s="139">
        <v>74.899999999999991</v>
      </c>
      <c r="M29" s="119"/>
      <c r="N29" s="71">
        <f t="shared" si="0"/>
        <v>0</v>
      </c>
      <c r="O29" s="76"/>
    </row>
    <row r="30" spans="1:15" x14ac:dyDescent="0.3">
      <c r="A30" s="148">
        <v>334</v>
      </c>
      <c r="B30" s="59" t="s">
        <v>492</v>
      </c>
      <c r="C30" s="59" t="s">
        <v>776</v>
      </c>
      <c r="D30" s="115" t="s">
        <v>818</v>
      </c>
      <c r="E30" s="59" t="s">
        <v>819</v>
      </c>
      <c r="F30" s="115" t="s">
        <v>820</v>
      </c>
      <c r="G30" s="59" t="s">
        <v>133</v>
      </c>
      <c r="H30" s="59" t="s">
        <v>134</v>
      </c>
      <c r="I30" s="115" t="s">
        <v>800</v>
      </c>
      <c r="J30" s="125" t="s">
        <v>26</v>
      </c>
      <c r="K30" s="70">
        <v>71.5</v>
      </c>
      <c r="L30" s="139">
        <v>40.4</v>
      </c>
      <c r="M30" s="119"/>
      <c r="N30" s="71">
        <f t="shared" si="0"/>
        <v>0</v>
      </c>
      <c r="O30" s="76"/>
    </row>
    <row r="31" spans="1:15" x14ac:dyDescent="0.3">
      <c r="A31" s="148">
        <v>335</v>
      </c>
      <c r="B31" s="59" t="s">
        <v>492</v>
      </c>
      <c r="C31" s="59" t="s">
        <v>776</v>
      </c>
      <c r="D31" s="115" t="s">
        <v>821</v>
      </c>
      <c r="E31" s="59" t="s">
        <v>822</v>
      </c>
      <c r="F31" s="115" t="s">
        <v>823</v>
      </c>
      <c r="G31" s="59" t="s">
        <v>58</v>
      </c>
      <c r="H31" s="59" t="s">
        <v>59</v>
      </c>
      <c r="I31" s="115" t="s">
        <v>800</v>
      </c>
      <c r="J31" s="125" t="s">
        <v>101</v>
      </c>
      <c r="K31" s="70">
        <v>220</v>
      </c>
      <c r="L31" s="139">
        <v>124.3</v>
      </c>
      <c r="M31" s="119"/>
      <c r="N31" s="71">
        <f t="shared" si="0"/>
        <v>0</v>
      </c>
      <c r="O31" s="76"/>
    </row>
    <row r="32" spans="1:15" x14ac:dyDescent="0.3">
      <c r="A32" s="148">
        <v>336</v>
      </c>
      <c r="B32" s="15" t="s">
        <v>492</v>
      </c>
      <c r="C32" s="15" t="s">
        <v>776</v>
      </c>
      <c r="D32" s="16" t="s">
        <v>824</v>
      </c>
      <c r="E32" s="16" t="s">
        <v>825</v>
      </c>
      <c r="F32" s="15" t="s">
        <v>826</v>
      </c>
      <c r="G32" s="16" t="s">
        <v>161</v>
      </c>
      <c r="H32" s="15" t="s">
        <v>162</v>
      </c>
      <c r="I32" s="15" t="s">
        <v>280</v>
      </c>
      <c r="J32" s="125" t="s">
        <v>101</v>
      </c>
      <c r="K32" s="70">
        <v>50</v>
      </c>
      <c r="L32" s="139">
        <v>28.3</v>
      </c>
      <c r="M32" s="119"/>
      <c r="N32" s="71">
        <f t="shared" si="0"/>
        <v>0</v>
      </c>
      <c r="O32" s="76"/>
    </row>
    <row r="33" spans="1:15" x14ac:dyDescent="0.3">
      <c r="A33" s="148">
        <v>337</v>
      </c>
      <c r="B33" s="15" t="s">
        <v>492</v>
      </c>
      <c r="C33" s="15" t="s">
        <v>776</v>
      </c>
      <c r="D33" s="16" t="s">
        <v>827</v>
      </c>
      <c r="E33" s="16" t="s">
        <v>828</v>
      </c>
      <c r="F33" s="15" t="s">
        <v>829</v>
      </c>
      <c r="G33" s="16" t="s">
        <v>161</v>
      </c>
      <c r="H33" s="15" t="s">
        <v>162</v>
      </c>
      <c r="I33" s="15" t="s">
        <v>796</v>
      </c>
      <c r="J33" s="125" t="s">
        <v>101</v>
      </c>
      <c r="K33" s="70">
        <v>60</v>
      </c>
      <c r="L33" s="139">
        <v>33.9</v>
      </c>
      <c r="M33" s="119"/>
      <c r="N33" s="71">
        <f t="shared" si="0"/>
        <v>0</v>
      </c>
      <c r="O33" s="76"/>
    </row>
    <row r="34" spans="1:15" x14ac:dyDescent="0.3">
      <c r="A34" s="148">
        <v>338</v>
      </c>
      <c r="B34" s="59" t="s">
        <v>496</v>
      </c>
      <c r="C34" s="59" t="s">
        <v>776</v>
      </c>
      <c r="D34" s="115" t="s">
        <v>830</v>
      </c>
      <c r="E34" s="59" t="s">
        <v>831</v>
      </c>
      <c r="F34" s="115" t="s">
        <v>832</v>
      </c>
      <c r="G34" s="59" t="s">
        <v>161</v>
      </c>
      <c r="H34" s="59" t="s">
        <v>162</v>
      </c>
      <c r="I34" s="115" t="s">
        <v>280</v>
      </c>
      <c r="J34" s="125" t="s">
        <v>26</v>
      </c>
      <c r="K34" s="70">
        <v>30</v>
      </c>
      <c r="L34" s="139">
        <v>17</v>
      </c>
      <c r="M34" s="119"/>
      <c r="N34" s="71">
        <f t="shared" si="0"/>
        <v>0</v>
      </c>
      <c r="O34" s="76"/>
    </row>
    <row r="35" spans="1:15" x14ac:dyDescent="0.3">
      <c r="A35" s="148">
        <v>339</v>
      </c>
      <c r="B35" s="59" t="s">
        <v>833</v>
      </c>
      <c r="C35" s="59" t="s">
        <v>776</v>
      </c>
      <c r="D35" s="115" t="s">
        <v>834</v>
      </c>
      <c r="E35" s="59" t="s">
        <v>835</v>
      </c>
      <c r="F35" s="115" t="s">
        <v>836</v>
      </c>
      <c r="G35" s="59" t="s">
        <v>161</v>
      </c>
      <c r="H35" s="59" t="s">
        <v>162</v>
      </c>
      <c r="I35" s="115" t="s">
        <v>280</v>
      </c>
      <c r="J35" s="125" t="s">
        <v>26</v>
      </c>
      <c r="K35" s="70">
        <v>10</v>
      </c>
      <c r="L35" s="139">
        <v>5.6999999999999993</v>
      </c>
      <c r="M35" s="119"/>
      <c r="N35" s="71">
        <f t="shared" si="0"/>
        <v>0</v>
      </c>
      <c r="O35" s="76"/>
    </row>
    <row r="36" spans="1:15" x14ac:dyDescent="0.3">
      <c r="A36" s="148">
        <v>340</v>
      </c>
      <c r="B36" s="59" t="s">
        <v>833</v>
      </c>
      <c r="C36" s="59" t="s">
        <v>776</v>
      </c>
      <c r="D36" s="115" t="s">
        <v>837</v>
      </c>
      <c r="E36" s="59" t="s">
        <v>838</v>
      </c>
      <c r="F36" s="115" t="s">
        <v>839</v>
      </c>
      <c r="G36" s="59" t="s">
        <v>133</v>
      </c>
      <c r="H36" s="59" t="s">
        <v>134</v>
      </c>
      <c r="I36" s="115" t="s">
        <v>280</v>
      </c>
      <c r="J36" s="125" t="s">
        <v>26</v>
      </c>
      <c r="K36" s="70">
        <v>19.5</v>
      </c>
      <c r="L36" s="139">
        <v>11.1</v>
      </c>
      <c r="M36" s="119"/>
      <c r="N36" s="71">
        <f t="shared" si="0"/>
        <v>0</v>
      </c>
      <c r="O36" s="76"/>
    </row>
    <row r="37" spans="1:15" x14ac:dyDescent="0.3">
      <c r="A37" s="148">
        <v>341</v>
      </c>
      <c r="B37" s="59" t="s">
        <v>833</v>
      </c>
      <c r="C37" s="59" t="s">
        <v>776</v>
      </c>
      <c r="D37" s="115" t="s">
        <v>840</v>
      </c>
      <c r="E37" s="59" t="s">
        <v>841</v>
      </c>
      <c r="F37" s="115" t="s">
        <v>842</v>
      </c>
      <c r="G37" s="59" t="s">
        <v>843</v>
      </c>
      <c r="H37" s="59" t="s">
        <v>844</v>
      </c>
      <c r="I37" s="115" t="s">
        <v>280</v>
      </c>
      <c r="J37" s="125" t="s">
        <v>26</v>
      </c>
      <c r="K37" s="70">
        <v>75.5</v>
      </c>
      <c r="L37" s="139">
        <v>42.7</v>
      </c>
      <c r="M37" s="119"/>
      <c r="N37" s="71">
        <f t="shared" si="0"/>
        <v>0</v>
      </c>
      <c r="O37" s="76"/>
    </row>
    <row r="38" spans="1:15" x14ac:dyDescent="0.3">
      <c r="A38" s="148">
        <v>342</v>
      </c>
      <c r="B38" s="59" t="s">
        <v>833</v>
      </c>
      <c r="C38" s="59" t="s">
        <v>776</v>
      </c>
      <c r="D38" s="115" t="s">
        <v>845</v>
      </c>
      <c r="E38" s="59" t="s">
        <v>846</v>
      </c>
      <c r="F38" s="115" t="s">
        <v>847</v>
      </c>
      <c r="G38" s="59" t="s">
        <v>843</v>
      </c>
      <c r="H38" s="59" t="s">
        <v>848</v>
      </c>
      <c r="I38" s="115" t="s">
        <v>280</v>
      </c>
      <c r="J38" s="125" t="s">
        <v>26</v>
      </c>
      <c r="K38" s="70">
        <v>50</v>
      </c>
      <c r="L38" s="139">
        <v>28.3</v>
      </c>
      <c r="M38" s="119"/>
      <c r="N38" s="71">
        <f t="shared" si="0"/>
        <v>0</v>
      </c>
      <c r="O38" s="76"/>
    </row>
    <row r="39" spans="1:15" x14ac:dyDescent="0.3">
      <c r="A39" s="148">
        <v>343</v>
      </c>
      <c r="B39" s="59" t="s">
        <v>833</v>
      </c>
      <c r="C39" s="59" t="s">
        <v>776</v>
      </c>
      <c r="D39" s="115" t="s">
        <v>849</v>
      </c>
      <c r="E39" s="59" t="s">
        <v>850</v>
      </c>
      <c r="F39" s="115" t="s">
        <v>851</v>
      </c>
      <c r="G39" s="59" t="s">
        <v>133</v>
      </c>
      <c r="H39" s="59" t="s">
        <v>134</v>
      </c>
      <c r="I39" s="115" t="s">
        <v>280</v>
      </c>
      <c r="J39" s="125" t="s">
        <v>26</v>
      </c>
      <c r="K39" s="70">
        <v>60.5</v>
      </c>
      <c r="L39" s="139">
        <v>34.200000000000003</v>
      </c>
      <c r="M39" s="119"/>
      <c r="N39" s="71">
        <f t="shared" si="0"/>
        <v>0</v>
      </c>
      <c r="O39" s="76"/>
    </row>
    <row r="40" spans="1:15" x14ac:dyDescent="0.3">
      <c r="A40" s="148">
        <v>344</v>
      </c>
      <c r="B40" s="59" t="s">
        <v>833</v>
      </c>
      <c r="C40" s="59" t="s">
        <v>776</v>
      </c>
      <c r="D40" s="115" t="s">
        <v>852</v>
      </c>
      <c r="E40" s="59" t="s">
        <v>853</v>
      </c>
      <c r="F40" s="115" t="s">
        <v>854</v>
      </c>
      <c r="G40" s="59" t="s">
        <v>133</v>
      </c>
      <c r="H40" s="59" t="s">
        <v>134</v>
      </c>
      <c r="I40" s="115" t="s">
        <v>280</v>
      </c>
      <c r="J40" s="125" t="s">
        <v>26</v>
      </c>
      <c r="K40" s="70">
        <v>50</v>
      </c>
      <c r="L40" s="139">
        <v>28.3</v>
      </c>
      <c r="M40" s="119"/>
      <c r="N40" s="71">
        <f t="shared" si="0"/>
        <v>0</v>
      </c>
      <c r="O40" s="76"/>
    </row>
    <row r="41" spans="1:15" x14ac:dyDescent="0.3">
      <c r="A41" s="148">
        <v>345</v>
      </c>
      <c r="B41" s="59" t="s">
        <v>833</v>
      </c>
      <c r="C41" s="59" t="s">
        <v>776</v>
      </c>
      <c r="D41" s="115" t="s">
        <v>855</v>
      </c>
      <c r="E41" s="59" t="s">
        <v>856</v>
      </c>
      <c r="F41" s="115" t="s">
        <v>857</v>
      </c>
      <c r="G41" s="59" t="s">
        <v>133</v>
      </c>
      <c r="H41" s="59" t="s">
        <v>134</v>
      </c>
      <c r="I41" s="115" t="s">
        <v>280</v>
      </c>
      <c r="J41" s="125" t="s">
        <v>26</v>
      </c>
      <c r="K41" s="70">
        <v>55</v>
      </c>
      <c r="L41" s="139">
        <v>31.1</v>
      </c>
      <c r="M41" s="119"/>
      <c r="N41" s="71">
        <f t="shared" si="0"/>
        <v>0</v>
      </c>
      <c r="O41" s="76"/>
    </row>
    <row r="42" spans="1:15" x14ac:dyDescent="0.3">
      <c r="A42" s="148">
        <v>346</v>
      </c>
      <c r="B42" s="59" t="s">
        <v>833</v>
      </c>
      <c r="C42" s="59" t="s">
        <v>776</v>
      </c>
      <c r="D42" s="115" t="s">
        <v>858</v>
      </c>
      <c r="E42" s="59" t="s">
        <v>859</v>
      </c>
      <c r="F42" s="115" t="s">
        <v>860</v>
      </c>
      <c r="G42" s="59" t="s">
        <v>133</v>
      </c>
      <c r="H42" s="59" t="s">
        <v>134</v>
      </c>
      <c r="I42" s="115" t="s">
        <v>280</v>
      </c>
      <c r="J42" s="125" t="s">
        <v>26</v>
      </c>
      <c r="K42" s="70">
        <v>55</v>
      </c>
      <c r="L42" s="139">
        <v>31.1</v>
      </c>
      <c r="M42" s="119"/>
      <c r="N42" s="71">
        <f t="shared" si="0"/>
        <v>0</v>
      </c>
      <c r="O42" s="76"/>
    </row>
    <row r="43" spans="1:15" x14ac:dyDescent="0.3">
      <c r="A43" s="148">
        <v>347</v>
      </c>
      <c r="B43" s="59" t="s">
        <v>833</v>
      </c>
      <c r="C43" s="59" t="s">
        <v>776</v>
      </c>
      <c r="D43" s="115" t="s">
        <v>861</v>
      </c>
      <c r="E43" s="59" t="s">
        <v>862</v>
      </c>
      <c r="F43" s="115" t="s">
        <v>863</v>
      </c>
      <c r="G43" s="59" t="s">
        <v>133</v>
      </c>
      <c r="H43" s="59" t="s">
        <v>134</v>
      </c>
      <c r="I43" s="115" t="s">
        <v>272</v>
      </c>
      <c r="J43" s="125" t="s">
        <v>26</v>
      </c>
      <c r="K43" s="70">
        <v>100</v>
      </c>
      <c r="L43" s="139">
        <v>56.5</v>
      </c>
      <c r="M43" s="119"/>
      <c r="N43" s="71">
        <f t="shared" si="0"/>
        <v>0</v>
      </c>
      <c r="O43" s="76"/>
    </row>
    <row r="44" spans="1:15" x14ac:dyDescent="0.3">
      <c r="A44" s="148">
        <v>348</v>
      </c>
      <c r="B44" s="59" t="s">
        <v>833</v>
      </c>
      <c r="C44" s="59" t="s">
        <v>776</v>
      </c>
      <c r="D44" s="115" t="s">
        <v>861</v>
      </c>
      <c r="E44" s="59" t="s">
        <v>864</v>
      </c>
      <c r="F44" s="115" t="s">
        <v>863</v>
      </c>
      <c r="G44" s="59" t="s">
        <v>133</v>
      </c>
      <c r="H44" s="59" t="s">
        <v>134</v>
      </c>
      <c r="I44" s="115" t="s">
        <v>274</v>
      </c>
      <c r="J44" s="125" t="s">
        <v>26</v>
      </c>
      <c r="K44" s="70">
        <v>100</v>
      </c>
      <c r="L44" s="139">
        <v>56.5</v>
      </c>
      <c r="M44" s="119"/>
      <c r="N44" s="71">
        <f t="shared" si="0"/>
        <v>0</v>
      </c>
      <c r="O44" s="76"/>
    </row>
    <row r="45" spans="1:15" x14ac:dyDescent="0.3">
      <c r="A45" s="148">
        <v>349</v>
      </c>
      <c r="B45" s="59" t="s">
        <v>833</v>
      </c>
      <c r="C45" s="59" t="s">
        <v>776</v>
      </c>
      <c r="D45" s="115" t="s">
        <v>865</v>
      </c>
      <c r="E45" s="59" t="s">
        <v>866</v>
      </c>
      <c r="F45" s="115" t="s">
        <v>867</v>
      </c>
      <c r="G45" s="59" t="s">
        <v>133</v>
      </c>
      <c r="H45" s="59" t="s">
        <v>134</v>
      </c>
      <c r="I45" s="115" t="s">
        <v>272</v>
      </c>
      <c r="J45" s="125" t="s">
        <v>26</v>
      </c>
      <c r="K45" s="70">
        <v>59</v>
      </c>
      <c r="L45" s="139">
        <v>33.4</v>
      </c>
      <c r="M45" s="119"/>
      <c r="N45" s="71">
        <f t="shared" si="0"/>
        <v>0</v>
      </c>
      <c r="O45" s="76"/>
    </row>
    <row r="46" spans="1:15" x14ac:dyDescent="0.3">
      <c r="A46" s="148">
        <v>350</v>
      </c>
      <c r="B46" s="59" t="s">
        <v>833</v>
      </c>
      <c r="C46" s="59" t="s">
        <v>776</v>
      </c>
      <c r="D46" s="115" t="s">
        <v>865</v>
      </c>
      <c r="E46" s="59" t="s">
        <v>868</v>
      </c>
      <c r="F46" s="115" t="s">
        <v>867</v>
      </c>
      <c r="G46" s="59" t="s">
        <v>133</v>
      </c>
      <c r="H46" s="59" t="s">
        <v>134</v>
      </c>
      <c r="I46" s="115" t="s">
        <v>274</v>
      </c>
      <c r="J46" s="125" t="s">
        <v>26</v>
      </c>
      <c r="K46" s="70">
        <v>69</v>
      </c>
      <c r="L46" s="139">
        <v>39</v>
      </c>
      <c r="M46" s="119"/>
      <c r="N46" s="71">
        <f t="shared" si="0"/>
        <v>0</v>
      </c>
      <c r="O46" s="76"/>
    </row>
    <row r="47" spans="1:15" x14ac:dyDescent="0.3">
      <c r="A47" s="148">
        <v>351</v>
      </c>
      <c r="B47" s="59" t="s">
        <v>833</v>
      </c>
      <c r="C47" s="59" t="s">
        <v>776</v>
      </c>
      <c r="D47" s="115" t="s">
        <v>869</v>
      </c>
      <c r="E47" s="59" t="s">
        <v>870</v>
      </c>
      <c r="F47" s="115" t="s">
        <v>871</v>
      </c>
      <c r="G47" s="59" t="s">
        <v>133</v>
      </c>
      <c r="H47" s="59" t="s">
        <v>134</v>
      </c>
      <c r="I47" s="115" t="s">
        <v>280</v>
      </c>
      <c r="J47" s="125" t="s">
        <v>26</v>
      </c>
      <c r="K47" s="70">
        <v>76</v>
      </c>
      <c r="L47" s="139">
        <v>43</v>
      </c>
      <c r="M47" s="119"/>
      <c r="N47" s="71">
        <f t="shared" ref="N47:N78" si="1">L47*M47</f>
        <v>0</v>
      </c>
      <c r="O47" s="76"/>
    </row>
    <row r="48" spans="1:15" x14ac:dyDescent="0.3">
      <c r="A48" s="148">
        <v>352</v>
      </c>
      <c r="B48" s="59" t="s">
        <v>833</v>
      </c>
      <c r="C48" s="59" t="s">
        <v>776</v>
      </c>
      <c r="D48" s="115" t="s">
        <v>872</v>
      </c>
      <c r="E48" s="59" t="s">
        <v>873</v>
      </c>
      <c r="F48" s="115" t="s">
        <v>874</v>
      </c>
      <c r="G48" s="59" t="s">
        <v>133</v>
      </c>
      <c r="H48" s="59" t="s">
        <v>134</v>
      </c>
      <c r="I48" s="115" t="s">
        <v>280</v>
      </c>
      <c r="J48" s="125" t="s">
        <v>26</v>
      </c>
      <c r="K48" s="70">
        <v>76</v>
      </c>
      <c r="L48" s="139">
        <v>43</v>
      </c>
      <c r="M48" s="119"/>
      <c r="N48" s="71">
        <f t="shared" si="1"/>
        <v>0</v>
      </c>
      <c r="O48" s="76"/>
    </row>
    <row r="49" spans="1:15" x14ac:dyDescent="0.3">
      <c r="A49" s="148">
        <v>353</v>
      </c>
      <c r="B49" s="59" t="s">
        <v>833</v>
      </c>
      <c r="C49" s="59" t="s">
        <v>776</v>
      </c>
      <c r="D49" s="115" t="s">
        <v>875</v>
      </c>
      <c r="E49" s="59" t="s">
        <v>876</v>
      </c>
      <c r="F49" s="115" t="s">
        <v>877</v>
      </c>
      <c r="G49" s="59" t="s">
        <v>58</v>
      </c>
      <c r="H49" s="59" t="s">
        <v>59</v>
      </c>
      <c r="I49" s="115" t="s">
        <v>270</v>
      </c>
      <c r="J49" s="125" t="s">
        <v>26</v>
      </c>
      <c r="K49" s="70">
        <v>79</v>
      </c>
      <c r="L49" s="139">
        <v>44.7</v>
      </c>
      <c r="M49" s="119"/>
      <c r="N49" s="71">
        <f t="shared" si="1"/>
        <v>0</v>
      </c>
      <c r="O49" s="76"/>
    </row>
    <row r="50" spans="1:15" x14ac:dyDescent="0.3">
      <c r="A50" s="148">
        <v>354</v>
      </c>
      <c r="B50" s="59" t="s">
        <v>833</v>
      </c>
      <c r="C50" s="59" t="s">
        <v>776</v>
      </c>
      <c r="D50" s="115" t="s">
        <v>878</v>
      </c>
      <c r="E50" s="59" t="s">
        <v>879</v>
      </c>
      <c r="F50" s="115" t="s">
        <v>880</v>
      </c>
      <c r="G50" s="59" t="s">
        <v>58</v>
      </c>
      <c r="H50" s="59" t="s">
        <v>59</v>
      </c>
      <c r="I50" s="115" t="s">
        <v>274</v>
      </c>
      <c r="J50" s="125" t="s">
        <v>26</v>
      </c>
      <c r="K50" s="70">
        <v>99</v>
      </c>
      <c r="L50" s="139">
        <v>56</v>
      </c>
      <c r="M50" s="119"/>
      <c r="N50" s="71">
        <f t="shared" si="1"/>
        <v>0</v>
      </c>
      <c r="O50" s="76"/>
    </row>
    <row r="51" spans="1:15" x14ac:dyDescent="0.3">
      <c r="A51" s="148">
        <v>355</v>
      </c>
      <c r="B51" s="59" t="s">
        <v>833</v>
      </c>
      <c r="C51" s="59" t="s">
        <v>776</v>
      </c>
      <c r="D51" s="115" t="s">
        <v>883</v>
      </c>
      <c r="E51" s="59" t="s">
        <v>884</v>
      </c>
      <c r="F51" s="115" t="s">
        <v>885</v>
      </c>
      <c r="G51" s="59" t="s">
        <v>886</v>
      </c>
      <c r="H51" s="59" t="s">
        <v>887</v>
      </c>
      <c r="I51" s="115" t="s">
        <v>280</v>
      </c>
      <c r="J51" s="125" t="s">
        <v>26</v>
      </c>
      <c r="K51" s="70">
        <v>15.5</v>
      </c>
      <c r="L51" s="139">
        <v>8.7999999999999989</v>
      </c>
      <c r="M51" s="119"/>
      <c r="N51" s="71">
        <f t="shared" si="1"/>
        <v>0</v>
      </c>
      <c r="O51" s="76"/>
    </row>
    <row r="52" spans="1:15" x14ac:dyDescent="0.3">
      <c r="A52" s="148">
        <v>356</v>
      </c>
      <c r="B52" s="59" t="s">
        <v>833</v>
      </c>
      <c r="C52" s="59" t="s">
        <v>776</v>
      </c>
      <c r="D52" s="115" t="s">
        <v>888</v>
      </c>
      <c r="E52" s="59" t="s">
        <v>889</v>
      </c>
      <c r="F52" s="115" t="s">
        <v>890</v>
      </c>
      <c r="G52" s="59" t="s">
        <v>133</v>
      </c>
      <c r="H52" s="59" t="s">
        <v>134</v>
      </c>
      <c r="I52" s="115" t="s">
        <v>280</v>
      </c>
      <c r="J52" s="125" t="s">
        <v>26</v>
      </c>
      <c r="K52" s="70">
        <v>41.5</v>
      </c>
      <c r="L52" s="139">
        <v>23.5</v>
      </c>
      <c r="M52" s="119"/>
      <c r="N52" s="71">
        <f t="shared" si="1"/>
        <v>0</v>
      </c>
      <c r="O52" s="76"/>
    </row>
    <row r="53" spans="1:15" x14ac:dyDescent="0.3">
      <c r="A53" s="148">
        <v>357</v>
      </c>
      <c r="B53" s="59" t="s">
        <v>833</v>
      </c>
      <c r="C53" s="59" t="s">
        <v>776</v>
      </c>
      <c r="D53" s="115" t="s">
        <v>891</v>
      </c>
      <c r="E53" s="59" t="s">
        <v>892</v>
      </c>
      <c r="F53" s="115" t="s">
        <v>893</v>
      </c>
      <c r="G53" s="59" t="s">
        <v>886</v>
      </c>
      <c r="H53" s="59" t="s">
        <v>887</v>
      </c>
      <c r="I53" s="115" t="s">
        <v>280</v>
      </c>
      <c r="J53" s="125" t="s">
        <v>26</v>
      </c>
      <c r="K53" s="70">
        <v>15.5</v>
      </c>
      <c r="L53" s="139">
        <v>8.7999999999999989</v>
      </c>
      <c r="M53" s="119"/>
      <c r="N53" s="71">
        <f t="shared" si="1"/>
        <v>0</v>
      </c>
      <c r="O53" s="76"/>
    </row>
    <row r="54" spans="1:15" x14ac:dyDescent="0.3">
      <c r="A54" s="148">
        <v>358</v>
      </c>
      <c r="B54" s="59" t="s">
        <v>833</v>
      </c>
      <c r="C54" s="59" t="s">
        <v>776</v>
      </c>
      <c r="D54" s="115" t="s">
        <v>894</v>
      </c>
      <c r="E54" s="59" t="s">
        <v>895</v>
      </c>
      <c r="F54" s="115" t="s">
        <v>896</v>
      </c>
      <c r="G54" s="59" t="s">
        <v>881</v>
      </c>
      <c r="H54" s="59" t="s">
        <v>882</v>
      </c>
      <c r="I54" s="115" t="s">
        <v>25</v>
      </c>
      <c r="J54" s="125" t="s">
        <v>26</v>
      </c>
      <c r="K54" s="70">
        <v>30</v>
      </c>
      <c r="L54" s="139">
        <v>17</v>
      </c>
      <c r="M54" s="119"/>
      <c r="N54" s="71">
        <f t="shared" si="1"/>
        <v>0</v>
      </c>
      <c r="O54" s="76"/>
    </row>
    <row r="55" spans="1:15" x14ac:dyDescent="0.3">
      <c r="A55" s="148">
        <v>359</v>
      </c>
      <c r="B55" s="59" t="s">
        <v>833</v>
      </c>
      <c r="C55" s="59" t="s">
        <v>776</v>
      </c>
      <c r="D55" s="115" t="s">
        <v>897</v>
      </c>
      <c r="E55" s="59" t="s">
        <v>898</v>
      </c>
      <c r="F55" s="115" t="s">
        <v>899</v>
      </c>
      <c r="G55" s="59" t="s">
        <v>161</v>
      </c>
      <c r="H55" s="59" t="s">
        <v>162</v>
      </c>
      <c r="I55" s="115" t="s">
        <v>280</v>
      </c>
      <c r="J55" s="125" t="s">
        <v>26</v>
      </c>
      <c r="K55" s="70">
        <v>56.5</v>
      </c>
      <c r="L55" s="139">
        <v>32</v>
      </c>
      <c r="M55" s="119"/>
      <c r="N55" s="71">
        <f t="shared" si="1"/>
        <v>0</v>
      </c>
      <c r="O55" s="76"/>
    </row>
    <row r="56" spans="1:15" x14ac:dyDescent="0.3">
      <c r="A56" s="148">
        <v>360</v>
      </c>
      <c r="B56" s="59" t="s">
        <v>833</v>
      </c>
      <c r="C56" s="59" t="s">
        <v>776</v>
      </c>
      <c r="D56" s="115" t="s">
        <v>900</v>
      </c>
      <c r="E56" s="59" t="s">
        <v>901</v>
      </c>
      <c r="F56" s="115" t="s">
        <v>902</v>
      </c>
      <c r="G56" s="59" t="s">
        <v>161</v>
      </c>
      <c r="H56" s="59" t="s">
        <v>162</v>
      </c>
      <c r="I56" s="115" t="s">
        <v>280</v>
      </c>
      <c r="J56" s="125" t="s">
        <v>26</v>
      </c>
      <c r="K56" s="70">
        <v>13</v>
      </c>
      <c r="L56" s="139">
        <v>7.3999999999999995</v>
      </c>
      <c r="M56" s="119"/>
      <c r="N56" s="71">
        <f t="shared" si="1"/>
        <v>0</v>
      </c>
      <c r="O56" s="76"/>
    </row>
    <row r="57" spans="1:15" x14ac:dyDescent="0.3">
      <c r="A57" s="148">
        <v>361</v>
      </c>
      <c r="B57" s="122" t="s">
        <v>833</v>
      </c>
      <c r="C57" s="122" t="s">
        <v>776</v>
      </c>
      <c r="D57" s="123" t="s">
        <v>903</v>
      </c>
      <c r="E57" s="122" t="s">
        <v>904</v>
      </c>
      <c r="F57" s="123" t="s">
        <v>905</v>
      </c>
      <c r="G57" s="122" t="s">
        <v>133</v>
      </c>
      <c r="H57" s="59" t="s">
        <v>134</v>
      </c>
      <c r="I57" s="115" t="s">
        <v>280</v>
      </c>
      <c r="J57" s="125" t="s">
        <v>26</v>
      </c>
      <c r="K57" s="70">
        <v>19.5</v>
      </c>
      <c r="L57" s="139">
        <v>11.1</v>
      </c>
      <c r="M57" s="119"/>
      <c r="N57" s="71">
        <f t="shared" si="1"/>
        <v>0</v>
      </c>
      <c r="O57" s="76"/>
    </row>
    <row r="58" spans="1:15" x14ac:dyDescent="0.3">
      <c r="A58" s="148">
        <v>362</v>
      </c>
      <c r="B58" s="59" t="s">
        <v>833</v>
      </c>
      <c r="C58" s="59" t="s">
        <v>776</v>
      </c>
      <c r="D58" s="115" t="s">
        <v>906</v>
      </c>
      <c r="E58" s="59" t="s">
        <v>907</v>
      </c>
      <c r="F58" s="115" t="s">
        <v>908</v>
      </c>
      <c r="G58" s="59" t="s">
        <v>161</v>
      </c>
      <c r="H58" s="59" t="s">
        <v>162</v>
      </c>
      <c r="I58" s="115" t="s">
        <v>280</v>
      </c>
      <c r="J58" s="125" t="s">
        <v>26</v>
      </c>
      <c r="K58" s="70">
        <v>20</v>
      </c>
      <c r="L58" s="139">
        <v>11.299999999999999</v>
      </c>
      <c r="M58" s="118"/>
      <c r="N58" s="71">
        <f t="shared" si="1"/>
        <v>0</v>
      </c>
      <c r="O58" s="76"/>
    </row>
    <row r="59" spans="1:15" x14ac:dyDescent="0.3">
      <c r="A59" s="148">
        <v>363</v>
      </c>
      <c r="B59" s="59" t="s">
        <v>833</v>
      </c>
      <c r="C59" s="59" t="s">
        <v>776</v>
      </c>
      <c r="D59" s="115" t="s">
        <v>909</v>
      </c>
      <c r="E59" s="59" t="s">
        <v>910</v>
      </c>
      <c r="F59" s="115" t="s">
        <v>911</v>
      </c>
      <c r="G59" s="59" t="s">
        <v>161</v>
      </c>
      <c r="H59" s="59" t="s">
        <v>162</v>
      </c>
      <c r="I59" s="115" t="s">
        <v>280</v>
      </c>
      <c r="J59" s="125" t="s">
        <v>26</v>
      </c>
      <c r="K59" s="70">
        <v>335</v>
      </c>
      <c r="L59" s="139">
        <v>189.2</v>
      </c>
      <c r="M59" s="118"/>
      <c r="N59" s="71">
        <f t="shared" si="1"/>
        <v>0</v>
      </c>
      <c r="O59" s="76"/>
    </row>
    <row r="60" spans="1:15" x14ac:dyDescent="0.3">
      <c r="A60" s="148">
        <v>364</v>
      </c>
      <c r="B60" s="59" t="s">
        <v>833</v>
      </c>
      <c r="C60" s="59" t="s">
        <v>776</v>
      </c>
      <c r="D60" s="115" t="s">
        <v>912</v>
      </c>
      <c r="E60" s="59" t="s">
        <v>913</v>
      </c>
      <c r="F60" s="115" t="s">
        <v>914</v>
      </c>
      <c r="G60" s="59" t="s">
        <v>133</v>
      </c>
      <c r="H60" s="59" t="s">
        <v>134</v>
      </c>
      <c r="I60" s="115" t="s">
        <v>915</v>
      </c>
      <c r="J60" s="125" t="s">
        <v>26</v>
      </c>
      <c r="K60" s="70">
        <v>55</v>
      </c>
      <c r="L60" s="139">
        <v>31.1</v>
      </c>
      <c r="M60" s="119"/>
      <c r="N60" s="71">
        <f t="shared" si="1"/>
        <v>0</v>
      </c>
      <c r="O60" s="76"/>
    </row>
    <row r="61" spans="1:15" x14ac:dyDescent="0.3">
      <c r="A61" s="148">
        <v>365</v>
      </c>
      <c r="B61" s="59" t="s">
        <v>833</v>
      </c>
      <c r="C61" s="59" t="s">
        <v>776</v>
      </c>
      <c r="D61" s="115" t="s">
        <v>912</v>
      </c>
      <c r="E61" s="59" t="s">
        <v>916</v>
      </c>
      <c r="F61" s="115" t="s">
        <v>914</v>
      </c>
      <c r="G61" s="59" t="s">
        <v>133</v>
      </c>
      <c r="H61" s="59" t="s">
        <v>134</v>
      </c>
      <c r="I61" s="115" t="s">
        <v>917</v>
      </c>
      <c r="J61" s="125" t="s">
        <v>26</v>
      </c>
      <c r="K61" s="70">
        <v>60</v>
      </c>
      <c r="L61" s="139">
        <v>33.9</v>
      </c>
      <c r="M61" s="119"/>
      <c r="N61" s="71">
        <f t="shared" si="1"/>
        <v>0</v>
      </c>
      <c r="O61" s="76"/>
    </row>
    <row r="62" spans="1:15" x14ac:dyDescent="0.3">
      <c r="A62" s="148">
        <v>366</v>
      </c>
      <c r="B62" s="59" t="s">
        <v>833</v>
      </c>
      <c r="C62" s="59" t="s">
        <v>776</v>
      </c>
      <c r="D62" s="115" t="s">
        <v>918</v>
      </c>
      <c r="E62" s="59" t="s">
        <v>919</v>
      </c>
      <c r="F62" s="115" t="s">
        <v>920</v>
      </c>
      <c r="G62" s="59" t="s">
        <v>133</v>
      </c>
      <c r="H62" s="59" t="s">
        <v>134</v>
      </c>
      <c r="I62" s="115" t="s">
        <v>280</v>
      </c>
      <c r="J62" s="125" t="s">
        <v>26</v>
      </c>
      <c r="K62" s="70">
        <v>14.5</v>
      </c>
      <c r="L62" s="139">
        <v>8.1999999999999993</v>
      </c>
      <c r="M62" s="119"/>
      <c r="N62" s="71">
        <f t="shared" si="1"/>
        <v>0</v>
      </c>
      <c r="O62" s="76"/>
    </row>
    <row r="63" spans="1:15" x14ac:dyDescent="0.3">
      <c r="A63" s="148">
        <v>367</v>
      </c>
      <c r="B63" s="59" t="s">
        <v>833</v>
      </c>
      <c r="C63" s="59" t="s">
        <v>776</v>
      </c>
      <c r="D63" s="115" t="s">
        <v>921</v>
      </c>
      <c r="E63" s="59" t="s">
        <v>922</v>
      </c>
      <c r="F63" s="115" t="s">
        <v>923</v>
      </c>
      <c r="G63" s="59" t="s">
        <v>133</v>
      </c>
      <c r="H63" s="59" t="s">
        <v>134</v>
      </c>
      <c r="I63" s="115" t="s">
        <v>280</v>
      </c>
      <c r="J63" s="125" t="s">
        <v>26</v>
      </c>
      <c r="K63" s="70">
        <v>36</v>
      </c>
      <c r="L63" s="139">
        <v>20.400000000000002</v>
      </c>
      <c r="M63" s="119"/>
      <c r="N63" s="71">
        <f t="shared" si="1"/>
        <v>0</v>
      </c>
      <c r="O63" s="76"/>
    </row>
    <row r="64" spans="1:15" x14ac:dyDescent="0.3">
      <c r="A64" s="148">
        <v>368</v>
      </c>
      <c r="B64" s="59" t="s">
        <v>833</v>
      </c>
      <c r="C64" s="59" t="s">
        <v>776</v>
      </c>
      <c r="D64" s="115" t="s">
        <v>924</v>
      </c>
      <c r="E64" s="59" t="s">
        <v>925</v>
      </c>
      <c r="F64" s="115" t="s">
        <v>926</v>
      </c>
      <c r="G64" s="59" t="s">
        <v>133</v>
      </c>
      <c r="H64" s="59" t="s">
        <v>134</v>
      </c>
      <c r="I64" s="115" t="s">
        <v>280</v>
      </c>
      <c r="J64" s="125" t="s">
        <v>26</v>
      </c>
      <c r="K64" s="70">
        <v>92.5</v>
      </c>
      <c r="L64" s="139">
        <v>52.300000000000004</v>
      </c>
      <c r="M64" s="119"/>
      <c r="N64" s="71">
        <f t="shared" si="1"/>
        <v>0</v>
      </c>
      <c r="O64" s="76"/>
    </row>
    <row r="65" spans="1:15" x14ac:dyDescent="0.3">
      <c r="A65" s="148">
        <v>369</v>
      </c>
      <c r="B65" s="59" t="s">
        <v>833</v>
      </c>
      <c r="C65" s="59" t="s">
        <v>776</v>
      </c>
      <c r="D65" s="115" t="s">
        <v>927</v>
      </c>
      <c r="E65" s="59" t="s">
        <v>928</v>
      </c>
      <c r="F65" s="115" t="s">
        <v>929</v>
      </c>
      <c r="G65" s="59" t="s">
        <v>161</v>
      </c>
      <c r="H65" s="59" t="s">
        <v>162</v>
      </c>
      <c r="I65" s="115" t="s">
        <v>280</v>
      </c>
      <c r="J65" s="125" t="s">
        <v>26</v>
      </c>
      <c r="K65" s="70">
        <v>235</v>
      </c>
      <c r="L65" s="139">
        <v>132.69999999999999</v>
      </c>
      <c r="M65" s="119"/>
      <c r="N65" s="71">
        <f t="shared" si="1"/>
        <v>0</v>
      </c>
      <c r="O65" s="76"/>
    </row>
    <row r="66" spans="1:15" x14ac:dyDescent="0.3">
      <c r="A66" s="148">
        <v>370</v>
      </c>
      <c r="B66" s="59" t="s">
        <v>833</v>
      </c>
      <c r="C66" s="59" t="s">
        <v>776</v>
      </c>
      <c r="D66" s="115" t="s">
        <v>930</v>
      </c>
      <c r="E66" s="59" t="s">
        <v>931</v>
      </c>
      <c r="F66" s="115" t="s">
        <v>932</v>
      </c>
      <c r="G66" s="59" t="s">
        <v>161</v>
      </c>
      <c r="H66" s="59" t="s">
        <v>162</v>
      </c>
      <c r="I66" s="115" t="s">
        <v>280</v>
      </c>
      <c r="J66" s="125" t="s">
        <v>26</v>
      </c>
      <c r="K66" s="70">
        <v>10.5</v>
      </c>
      <c r="L66" s="139">
        <v>6</v>
      </c>
      <c r="M66" s="119"/>
      <c r="N66" s="71">
        <f t="shared" si="1"/>
        <v>0</v>
      </c>
      <c r="O66" s="76"/>
    </row>
    <row r="67" spans="1:15" x14ac:dyDescent="0.3">
      <c r="A67" s="148">
        <v>371</v>
      </c>
      <c r="B67" s="59" t="s">
        <v>833</v>
      </c>
      <c r="C67" s="59" t="s">
        <v>776</v>
      </c>
      <c r="D67" s="115" t="s">
        <v>933</v>
      </c>
      <c r="E67" s="59" t="s">
        <v>934</v>
      </c>
      <c r="F67" s="115" t="s">
        <v>935</v>
      </c>
      <c r="G67" s="59" t="s">
        <v>161</v>
      </c>
      <c r="H67" s="59" t="s">
        <v>162</v>
      </c>
      <c r="I67" s="115" t="s">
        <v>280</v>
      </c>
      <c r="J67" s="125" t="s">
        <v>26</v>
      </c>
      <c r="K67" s="70">
        <v>28.5</v>
      </c>
      <c r="L67" s="139">
        <v>16.100000000000001</v>
      </c>
      <c r="M67" s="119"/>
      <c r="N67" s="71">
        <f t="shared" si="1"/>
        <v>0</v>
      </c>
      <c r="O67" s="76"/>
    </row>
    <row r="68" spans="1:15" x14ac:dyDescent="0.3">
      <c r="A68" s="148">
        <v>372</v>
      </c>
      <c r="B68" s="59" t="s">
        <v>833</v>
      </c>
      <c r="C68" s="59" t="s">
        <v>776</v>
      </c>
      <c r="D68" s="115" t="s">
        <v>936</v>
      </c>
      <c r="E68" s="59" t="s">
        <v>937</v>
      </c>
      <c r="F68" s="115" t="s">
        <v>938</v>
      </c>
      <c r="G68" s="59" t="s">
        <v>161</v>
      </c>
      <c r="H68" s="59" t="s">
        <v>162</v>
      </c>
      <c r="I68" s="115" t="s">
        <v>280</v>
      </c>
      <c r="J68" s="125" t="s">
        <v>26</v>
      </c>
      <c r="K68" s="70">
        <v>5.25</v>
      </c>
      <c r="L68" s="139">
        <v>3</v>
      </c>
      <c r="M68" s="119"/>
      <c r="N68" s="71">
        <f t="shared" si="1"/>
        <v>0</v>
      </c>
      <c r="O68" s="76"/>
    </row>
    <row r="69" spans="1:15" x14ac:dyDescent="0.3">
      <c r="A69" s="148">
        <v>373</v>
      </c>
      <c r="B69" s="59" t="s">
        <v>833</v>
      </c>
      <c r="C69" s="59" t="s">
        <v>776</v>
      </c>
      <c r="D69" s="115" t="s">
        <v>939</v>
      </c>
      <c r="E69" s="59" t="s">
        <v>940</v>
      </c>
      <c r="F69" s="115" t="s">
        <v>941</v>
      </c>
      <c r="G69" s="59" t="s">
        <v>133</v>
      </c>
      <c r="H69" s="59" t="s">
        <v>134</v>
      </c>
      <c r="I69" s="115" t="s">
        <v>280</v>
      </c>
      <c r="J69" s="125" t="s">
        <v>26</v>
      </c>
      <c r="K69" s="70">
        <v>152.5</v>
      </c>
      <c r="L69" s="139">
        <v>86.199999999999989</v>
      </c>
      <c r="M69" s="119"/>
      <c r="N69" s="71">
        <f t="shared" si="1"/>
        <v>0</v>
      </c>
      <c r="O69" s="76"/>
    </row>
    <row r="70" spans="1:15" x14ac:dyDescent="0.3">
      <c r="A70" s="148">
        <v>374</v>
      </c>
      <c r="B70" s="59" t="s">
        <v>833</v>
      </c>
      <c r="C70" s="59" t="s">
        <v>776</v>
      </c>
      <c r="D70" s="115" t="s">
        <v>942</v>
      </c>
      <c r="E70" s="59" t="s">
        <v>943</v>
      </c>
      <c r="F70" s="115" t="s">
        <v>944</v>
      </c>
      <c r="G70" s="59" t="s">
        <v>133</v>
      </c>
      <c r="H70" s="59" t="s">
        <v>134</v>
      </c>
      <c r="I70" s="115" t="s">
        <v>280</v>
      </c>
      <c r="J70" s="125" t="s">
        <v>26</v>
      </c>
      <c r="K70" s="70">
        <v>76</v>
      </c>
      <c r="L70" s="139">
        <v>43</v>
      </c>
      <c r="M70" s="119"/>
      <c r="N70" s="71">
        <f t="shared" si="1"/>
        <v>0</v>
      </c>
      <c r="O70" s="76"/>
    </row>
    <row r="71" spans="1:15" x14ac:dyDescent="0.3">
      <c r="A71" s="148">
        <v>375</v>
      </c>
      <c r="B71" s="59" t="s">
        <v>833</v>
      </c>
      <c r="C71" s="59" t="s">
        <v>776</v>
      </c>
      <c r="D71" s="115" t="s">
        <v>945</v>
      </c>
      <c r="E71" s="59" t="s">
        <v>946</v>
      </c>
      <c r="F71" s="115" t="s">
        <v>947</v>
      </c>
      <c r="G71" s="59" t="s">
        <v>886</v>
      </c>
      <c r="H71" s="59" t="s">
        <v>887</v>
      </c>
      <c r="I71" s="115" t="s">
        <v>948</v>
      </c>
      <c r="J71" s="125" t="s">
        <v>26</v>
      </c>
      <c r="K71" s="70">
        <v>8.5</v>
      </c>
      <c r="L71" s="139">
        <v>4.8</v>
      </c>
      <c r="M71" s="119"/>
      <c r="N71" s="71">
        <f t="shared" si="1"/>
        <v>0</v>
      </c>
      <c r="O71" s="76"/>
    </row>
    <row r="72" spans="1:15" x14ac:dyDescent="0.3">
      <c r="A72" s="148">
        <v>376</v>
      </c>
      <c r="B72" s="59" t="s">
        <v>833</v>
      </c>
      <c r="C72" s="59" t="s">
        <v>776</v>
      </c>
      <c r="D72" s="115" t="s">
        <v>945</v>
      </c>
      <c r="E72" s="59" t="s">
        <v>949</v>
      </c>
      <c r="F72" s="115" t="s">
        <v>947</v>
      </c>
      <c r="G72" s="59" t="s">
        <v>886</v>
      </c>
      <c r="H72" s="59" t="s">
        <v>887</v>
      </c>
      <c r="I72" s="115" t="s">
        <v>950</v>
      </c>
      <c r="J72" s="125" t="s">
        <v>26</v>
      </c>
      <c r="K72" s="70">
        <v>8.5</v>
      </c>
      <c r="L72" s="139">
        <v>4.8</v>
      </c>
      <c r="M72" s="119"/>
      <c r="N72" s="71">
        <f t="shared" si="1"/>
        <v>0</v>
      </c>
      <c r="O72" s="76"/>
    </row>
    <row r="73" spans="1:15" x14ac:dyDescent="0.3">
      <c r="A73" s="148">
        <v>377</v>
      </c>
      <c r="B73" s="59" t="s">
        <v>833</v>
      </c>
      <c r="C73" s="59" t="s">
        <v>776</v>
      </c>
      <c r="D73" s="115" t="s">
        <v>951</v>
      </c>
      <c r="E73" s="59" t="s">
        <v>952</v>
      </c>
      <c r="F73" s="115" t="s">
        <v>953</v>
      </c>
      <c r="G73" s="59" t="s">
        <v>133</v>
      </c>
      <c r="H73" s="59" t="s">
        <v>134</v>
      </c>
      <c r="I73" s="115" t="s">
        <v>280</v>
      </c>
      <c r="J73" s="125" t="s">
        <v>26</v>
      </c>
      <c r="K73" s="70">
        <v>8.5</v>
      </c>
      <c r="L73" s="139">
        <v>4.8</v>
      </c>
      <c r="M73" s="119"/>
      <c r="N73" s="71">
        <f t="shared" si="1"/>
        <v>0</v>
      </c>
      <c r="O73" s="76"/>
    </row>
    <row r="74" spans="1:15" ht="14.25" customHeight="1" x14ac:dyDescent="0.3">
      <c r="A74" s="148">
        <v>378</v>
      </c>
      <c r="B74" s="59" t="s">
        <v>833</v>
      </c>
      <c r="C74" s="59" t="s">
        <v>776</v>
      </c>
      <c r="D74" s="115" t="s">
        <v>954</v>
      </c>
      <c r="E74" s="59" t="s">
        <v>955</v>
      </c>
      <c r="F74" s="115" t="s">
        <v>956</v>
      </c>
      <c r="G74" s="59" t="s">
        <v>161</v>
      </c>
      <c r="H74" s="59" t="s">
        <v>162</v>
      </c>
      <c r="I74" s="115" t="s">
        <v>280</v>
      </c>
      <c r="J74" s="125" t="s">
        <v>26</v>
      </c>
      <c r="K74" s="70">
        <v>95</v>
      </c>
      <c r="L74" s="139">
        <v>53.7</v>
      </c>
      <c r="M74" s="119"/>
      <c r="N74" s="71">
        <f t="shared" si="1"/>
        <v>0</v>
      </c>
      <c r="O74" s="76"/>
    </row>
    <row r="75" spans="1:15" x14ac:dyDescent="0.3">
      <c r="A75" s="148">
        <v>379</v>
      </c>
      <c r="B75" s="59" t="s">
        <v>833</v>
      </c>
      <c r="C75" s="59" t="s">
        <v>776</v>
      </c>
      <c r="D75" s="115" t="s">
        <v>957</v>
      </c>
      <c r="E75" s="59" t="s">
        <v>958</v>
      </c>
      <c r="F75" s="115" t="s">
        <v>959</v>
      </c>
      <c r="G75" s="59" t="s">
        <v>161</v>
      </c>
      <c r="H75" s="59" t="s">
        <v>162</v>
      </c>
      <c r="I75" s="115" t="s">
        <v>280</v>
      </c>
      <c r="J75" s="125" t="s">
        <v>26</v>
      </c>
      <c r="K75" s="70">
        <v>260</v>
      </c>
      <c r="L75" s="139">
        <v>146.9</v>
      </c>
      <c r="M75" s="119"/>
      <c r="N75" s="71">
        <f t="shared" si="1"/>
        <v>0</v>
      </c>
      <c r="O75" s="76"/>
    </row>
    <row r="76" spans="1:15" x14ac:dyDescent="0.3">
      <c r="A76" s="148">
        <v>380</v>
      </c>
      <c r="B76" s="59" t="s">
        <v>833</v>
      </c>
      <c r="C76" s="59" t="s">
        <v>776</v>
      </c>
      <c r="D76" s="115" t="s">
        <v>960</v>
      </c>
      <c r="E76" s="59" t="s">
        <v>961</v>
      </c>
      <c r="F76" s="115" t="s">
        <v>962</v>
      </c>
      <c r="G76" s="59" t="s">
        <v>133</v>
      </c>
      <c r="H76" s="59" t="s">
        <v>134</v>
      </c>
      <c r="I76" s="115" t="s">
        <v>963</v>
      </c>
      <c r="J76" s="125" t="s">
        <v>26</v>
      </c>
      <c r="K76" s="70">
        <v>32</v>
      </c>
      <c r="L76" s="139">
        <v>18.100000000000001</v>
      </c>
      <c r="M76" s="119"/>
      <c r="N76" s="71">
        <f t="shared" si="1"/>
        <v>0</v>
      </c>
      <c r="O76" s="76"/>
    </row>
    <row r="77" spans="1:15" x14ac:dyDescent="0.3">
      <c r="A77" s="148">
        <v>381</v>
      </c>
      <c r="B77" s="59" t="s">
        <v>833</v>
      </c>
      <c r="C77" s="59" t="s">
        <v>776</v>
      </c>
      <c r="D77" s="115" t="s">
        <v>960</v>
      </c>
      <c r="E77" s="59" t="s">
        <v>964</v>
      </c>
      <c r="F77" s="115" t="s">
        <v>962</v>
      </c>
      <c r="G77" s="59" t="s">
        <v>133</v>
      </c>
      <c r="H77" s="59" t="s">
        <v>134</v>
      </c>
      <c r="I77" s="115" t="s">
        <v>965</v>
      </c>
      <c r="J77" s="125" t="s">
        <v>26</v>
      </c>
      <c r="K77" s="70">
        <v>36</v>
      </c>
      <c r="L77" s="139">
        <v>20.400000000000002</v>
      </c>
      <c r="M77" s="119"/>
      <c r="N77" s="71">
        <f t="shared" si="1"/>
        <v>0</v>
      </c>
      <c r="O77" s="76"/>
    </row>
    <row r="78" spans="1:15" x14ac:dyDescent="0.3">
      <c r="A78" s="148">
        <v>382</v>
      </c>
      <c r="B78" s="59" t="s">
        <v>833</v>
      </c>
      <c r="C78" s="59" t="s">
        <v>776</v>
      </c>
      <c r="D78" s="115" t="s">
        <v>966</v>
      </c>
      <c r="E78" s="59" t="s">
        <v>967</v>
      </c>
      <c r="F78" s="115" t="s">
        <v>968</v>
      </c>
      <c r="G78" s="59" t="s">
        <v>133</v>
      </c>
      <c r="H78" s="59" t="s">
        <v>134</v>
      </c>
      <c r="I78" s="115" t="s">
        <v>963</v>
      </c>
      <c r="J78" s="125" t="s">
        <v>26</v>
      </c>
      <c r="K78" s="70">
        <v>92</v>
      </c>
      <c r="L78" s="139">
        <v>52</v>
      </c>
      <c r="M78" s="119"/>
      <c r="N78" s="71">
        <f t="shared" si="1"/>
        <v>0</v>
      </c>
      <c r="O78" s="76"/>
    </row>
    <row r="79" spans="1:15" x14ac:dyDescent="0.3">
      <c r="A79" s="148">
        <v>383</v>
      </c>
      <c r="B79" s="59" t="s">
        <v>833</v>
      </c>
      <c r="C79" s="59" t="s">
        <v>776</v>
      </c>
      <c r="D79" s="115" t="s">
        <v>966</v>
      </c>
      <c r="E79" s="59" t="s">
        <v>969</v>
      </c>
      <c r="F79" s="115" t="s">
        <v>968</v>
      </c>
      <c r="G79" s="59" t="s">
        <v>133</v>
      </c>
      <c r="H79" s="59" t="s">
        <v>134</v>
      </c>
      <c r="I79" s="115" t="s">
        <v>965</v>
      </c>
      <c r="J79" s="125" t="s">
        <v>26</v>
      </c>
      <c r="K79" s="70">
        <v>100</v>
      </c>
      <c r="L79" s="139">
        <v>56.5</v>
      </c>
      <c r="M79" s="119"/>
      <c r="N79" s="71">
        <f t="shared" ref="N79:N110" si="2">L79*M79</f>
        <v>0</v>
      </c>
      <c r="O79" s="76"/>
    </row>
    <row r="80" spans="1:15" x14ac:dyDescent="0.3">
      <c r="A80" s="148">
        <v>384</v>
      </c>
      <c r="B80" s="59" t="s">
        <v>833</v>
      </c>
      <c r="C80" s="59" t="s">
        <v>776</v>
      </c>
      <c r="D80" s="115" t="s">
        <v>970</v>
      </c>
      <c r="E80" s="59" t="s">
        <v>971</v>
      </c>
      <c r="F80" s="115" t="s">
        <v>972</v>
      </c>
      <c r="G80" s="59" t="s">
        <v>161</v>
      </c>
      <c r="H80" s="59" t="s">
        <v>162</v>
      </c>
      <c r="I80" s="115" t="s">
        <v>973</v>
      </c>
      <c r="J80" s="125" t="s">
        <v>26</v>
      </c>
      <c r="K80" s="70">
        <v>50</v>
      </c>
      <c r="L80" s="139">
        <v>28.3</v>
      </c>
      <c r="M80" s="119"/>
      <c r="N80" s="71">
        <f t="shared" si="2"/>
        <v>0</v>
      </c>
      <c r="O80" s="76"/>
    </row>
    <row r="81" spans="1:15" x14ac:dyDescent="0.3">
      <c r="A81" s="148">
        <v>385</v>
      </c>
      <c r="B81" s="59" t="s">
        <v>833</v>
      </c>
      <c r="C81" s="59" t="s">
        <v>776</v>
      </c>
      <c r="D81" s="115" t="s">
        <v>970</v>
      </c>
      <c r="E81" s="59" t="s">
        <v>974</v>
      </c>
      <c r="F81" s="115" t="s">
        <v>972</v>
      </c>
      <c r="G81" s="59" t="s">
        <v>161</v>
      </c>
      <c r="H81" s="59" t="s">
        <v>162</v>
      </c>
      <c r="I81" s="115" t="s">
        <v>975</v>
      </c>
      <c r="J81" s="125" t="s">
        <v>26</v>
      </c>
      <c r="K81" s="70">
        <v>55</v>
      </c>
      <c r="L81" s="139">
        <v>31.1</v>
      </c>
      <c r="M81" s="119"/>
      <c r="N81" s="71">
        <f t="shared" si="2"/>
        <v>0</v>
      </c>
      <c r="O81" s="76"/>
    </row>
    <row r="82" spans="1:15" x14ac:dyDescent="0.3">
      <c r="A82" s="148">
        <v>386</v>
      </c>
      <c r="B82" s="59" t="s">
        <v>833</v>
      </c>
      <c r="C82" s="59" t="s">
        <v>776</v>
      </c>
      <c r="D82" s="115" t="s">
        <v>970</v>
      </c>
      <c r="E82" s="59" t="s">
        <v>976</v>
      </c>
      <c r="F82" s="115" t="s">
        <v>972</v>
      </c>
      <c r="G82" s="59" t="s">
        <v>161</v>
      </c>
      <c r="H82" s="59" t="s">
        <v>162</v>
      </c>
      <c r="I82" s="115" t="s">
        <v>977</v>
      </c>
      <c r="J82" s="125" t="s">
        <v>26</v>
      </c>
      <c r="K82" s="70">
        <v>57.5</v>
      </c>
      <c r="L82" s="139">
        <v>32.5</v>
      </c>
      <c r="M82" s="119"/>
      <c r="N82" s="71">
        <f t="shared" si="2"/>
        <v>0</v>
      </c>
      <c r="O82" s="76"/>
    </row>
    <row r="83" spans="1:15" x14ac:dyDescent="0.3">
      <c r="A83" s="148">
        <v>387</v>
      </c>
      <c r="B83" s="59" t="s">
        <v>833</v>
      </c>
      <c r="C83" s="59" t="s">
        <v>776</v>
      </c>
      <c r="D83" s="115" t="s">
        <v>978</v>
      </c>
      <c r="E83" s="59" t="s">
        <v>979</v>
      </c>
      <c r="F83" s="115" t="s">
        <v>980</v>
      </c>
      <c r="G83" s="59" t="s">
        <v>133</v>
      </c>
      <c r="H83" s="59" t="s">
        <v>134</v>
      </c>
      <c r="I83" s="115" t="s">
        <v>280</v>
      </c>
      <c r="J83" s="125" t="s">
        <v>26</v>
      </c>
      <c r="K83" s="70">
        <v>40</v>
      </c>
      <c r="L83" s="139">
        <v>22.6</v>
      </c>
      <c r="M83" s="119"/>
      <c r="N83" s="71">
        <f t="shared" si="2"/>
        <v>0</v>
      </c>
      <c r="O83" s="76"/>
    </row>
    <row r="84" spans="1:15" x14ac:dyDescent="0.3">
      <c r="A84" s="148">
        <v>388</v>
      </c>
      <c r="B84" s="59" t="s">
        <v>833</v>
      </c>
      <c r="C84" s="59" t="s">
        <v>776</v>
      </c>
      <c r="D84" s="115" t="s">
        <v>981</v>
      </c>
      <c r="E84" s="59" t="s">
        <v>982</v>
      </c>
      <c r="F84" s="115" t="s">
        <v>983</v>
      </c>
      <c r="G84" s="59" t="s">
        <v>133</v>
      </c>
      <c r="H84" s="59" t="s">
        <v>134</v>
      </c>
      <c r="I84" s="115" t="s">
        <v>280</v>
      </c>
      <c r="J84" s="125" t="s">
        <v>26</v>
      </c>
      <c r="K84" s="70">
        <v>25.5</v>
      </c>
      <c r="L84" s="139">
        <v>14.4</v>
      </c>
      <c r="M84" s="119"/>
      <c r="N84" s="71">
        <f t="shared" si="2"/>
        <v>0</v>
      </c>
      <c r="O84" s="76"/>
    </row>
    <row r="85" spans="1:15" x14ac:dyDescent="0.3">
      <c r="A85" s="148">
        <v>389</v>
      </c>
      <c r="B85" s="59" t="s">
        <v>833</v>
      </c>
      <c r="C85" s="59" t="s">
        <v>776</v>
      </c>
      <c r="D85" s="115" t="s">
        <v>984</v>
      </c>
      <c r="E85" s="59" t="s">
        <v>985</v>
      </c>
      <c r="F85" s="115" t="s">
        <v>986</v>
      </c>
      <c r="G85" s="59" t="s">
        <v>987</v>
      </c>
      <c r="H85" s="59" t="s">
        <v>988</v>
      </c>
      <c r="I85" s="115" t="s">
        <v>280</v>
      </c>
      <c r="J85" s="125" t="s">
        <v>26</v>
      </c>
      <c r="K85" s="70">
        <v>8</v>
      </c>
      <c r="L85" s="139">
        <v>4.5999999999999996</v>
      </c>
      <c r="M85" s="119"/>
      <c r="N85" s="71">
        <f t="shared" si="2"/>
        <v>0</v>
      </c>
      <c r="O85" s="76"/>
    </row>
    <row r="86" spans="1:15" x14ac:dyDescent="0.3">
      <c r="A86" s="148">
        <v>390</v>
      </c>
      <c r="B86" s="59" t="s">
        <v>833</v>
      </c>
      <c r="C86" s="59" t="s">
        <v>776</v>
      </c>
      <c r="D86" s="115" t="s">
        <v>989</v>
      </c>
      <c r="E86" s="59" t="s">
        <v>990</v>
      </c>
      <c r="F86" s="115" t="s">
        <v>991</v>
      </c>
      <c r="G86" s="59" t="s">
        <v>161</v>
      </c>
      <c r="H86" s="59" t="s">
        <v>162</v>
      </c>
      <c r="I86" s="115" t="s">
        <v>280</v>
      </c>
      <c r="J86" s="125" t="s">
        <v>26</v>
      </c>
      <c r="K86" s="70">
        <v>20.5</v>
      </c>
      <c r="L86" s="139">
        <v>11.6</v>
      </c>
      <c r="M86" s="119"/>
      <c r="N86" s="71">
        <f t="shared" si="2"/>
        <v>0</v>
      </c>
      <c r="O86" s="76"/>
    </row>
    <row r="87" spans="1:15" x14ac:dyDescent="0.3">
      <c r="A87" s="148">
        <v>391</v>
      </c>
      <c r="B87" s="59" t="s">
        <v>833</v>
      </c>
      <c r="C87" s="59" t="s">
        <v>776</v>
      </c>
      <c r="D87" s="115" t="s">
        <v>992</v>
      </c>
      <c r="E87" s="59" t="s">
        <v>993</v>
      </c>
      <c r="F87" s="115" t="s">
        <v>994</v>
      </c>
      <c r="G87" s="59" t="s">
        <v>133</v>
      </c>
      <c r="H87" s="59" t="s">
        <v>134</v>
      </c>
      <c r="I87" s="115" t="s">
        <v>280</v>
      </c>
      <c r="J87" s="125" t="s">
        <v>26</v>
      </c>
      <c r="K87" s="70">
        <v>40</v>
      </c>
      <c r="L87" s="139">
        <v>22.6</v>
      </c>
      <c r="M87" s="119"/>
      <c r="N87" s="71">
        <f t="shared" si="2"/>
        <v>0</v>
      </c>
      <c r="O87" s="76"/>
    </row>
    <row r="88" spans="1:15" x14ac:dyDescent="0.3">
      <c r="A88" s="148">
        <v>392</v>
      </c>
      <c r="B88" s="59" t="s">
        <v>833</v>
      </c>
      <c r="C88" s="59" t="s">
        <v>776</v>
      </c>
      <c r="D88" s="115" t="s">
        <v>995</v>
      </c>
      <c r="E88" s="59" t="s">
        <v>996</v>
      </c>
      <c r="F88" s="115" t="s">
        <v>997</v>
      </c>
      <c r="G88" s="59" t="s">
        <v>133</v>
      </c>
      <c r="H88" s="59" t="s">
        <v>134</v>
      </c>
      <c r="I88" s="115" t="s">
        <v>280</v>
      </c>
      <c r="J88" s="125" t="s">
        <v>26</v>
      </c>
      <c r="K88" s="70">
        <v>56.5</v>
      </c>
      <c r="L88" s="139">
        <v>32</v>
      </c>
      <c r="M88" s="119"/>
      <c r="N88" s="71">
        <f t="shared" si="2"/>
        <v>0</v>
      </c>
      <c r="O88" s="76"/>
    </row>
    <row r="89" spans="1:15" x14ac:dyDescent="0.3">
      <c r="A89" s="148">
        <v>393</v>
      </c>
      <c r="B89" s="59" t="s">
        <v>833</v>
      </c>
      <c r="C89" s="59" t="s">
        <v>776</v>
      </c>
      <c r="D89" s="115" t="s">
        <v>998</v>
      </c>
      <c r="E89" s="59" t="s">
        <v>999</v>
      </c>
      <c r="F89" s="115" t="s">
        <v>1000</v>
      </c>
      <c r="G89" s="59" t="s">
        <v>161</v>
      </c>
      <c r="H89" s="59" t="s">
        <v>162</v>
      </c>
      <c r="I89" s="115" t="s">
        <v>1001</v>
      </c>
      <c r="J89" s="125" t="s">
        <v>26</v>
      </c>
      <c r="K89" s="70">
        <v>120</v>
      </c>
      <c r="L89" s="139">
        <v>67.8</v>
      </c>
      <c r="M89" s="119"/>
      <c r="N89" s="71">
        <f t="shared" si="2"/>
        <v>0</v>
      </c>
      <c r="O89" s="76"/>
    </row>
    <row r="90" spans="1:15" x14ac:dyDescent="0.3">
      <c r="A90" s="148">
        <v>394</v>
      </c>
      <c r="B90" s="59" t="s">
        <v>833</v>
      </c>
      <c r="C90" s="59" t="s">
        <v>776</v>
      </c>
      <c r="D90" s="115" t="s">
        <v>998</v>
      </c>
      <c r="E90" s="59" t="s">
        <v>1002</v>
      </c>
      <c r="F90" s="115" t="s">
        <v>1000</v>
      </c>
      <c r="G90" s="59" t="s">
        <v>161</v>
      </c>
      <c r="H90" s="59" t="s">
        <v>162</v>
      </c>
      <c r="I90" s="115" t="s">
        <v>1003</v>
      </c>
      <c r="J90" s="125" t="s">
        <v>26</v>
      </c>
      <c r="K90" s="70">
        <v>130</v>
      </c>
      <c r="L90" s="139">
        <v>73.5</v>
      </c>
      <c r="M90" s="119"/>
      <c r="N90" s="71">
        <f t="shared" si="2"/>
        <v>0</v>
      </c>
      <c r="O90" s="76"/>
    </row>
    <row r="91" spans="1:15" x14ac:dyDescent="0.3">
      <c r="A91" s="148">
        <v>395</v>
      </c>
      <c r="B91" s="59" t="s">
        <v>833</v>
      </c>
      <c r="C91" s="59" t="s">
        <v>776</v>
      </c>
      <c r="D91" s="115" t="s">
        <v>1004</v>
      </c>
      <c r="E91" s="59" t="s">
        <v>1005</v>
      </c>
      <c r="F91" s="115" t="s">
        <v>1006</v>
      </c>
      <c r="G91" s="59" t="s">
        <v>133</v>
      </c>
      <c r="H91" s="59" t="s">
        <v>134</v>
      </c>
      <c r="I91" s="115" t="s">
        <v>270</v>
      </c>
      <c r="J91" s="125" t="s">
        <v>26</v>
      </c>
      <c r="K91" s="70">
        <v>50</v>
      </c>
      <c r="L91" s="139">
        <v>28.3</v>
      </c>
      <c r="M91" s="119"/>
      <c r="N91" s="71">
        <f t="shared" si="2"/>
        <v>0</v>
      </c>
      <c r="O91" s="76"/>
    </row>
    <row r="92" spans="1:15" x14ac:dyDescent="0.3">
      <c r="A92" s="148">
        <v>396</v>
      </c>
      <c r="B92" s="59" t="s">
        <v>833</v>
      </c>
      <c r="C92" s="59" t="s">
        <v>776</v>
      </c>
      <c r="D92" s="115" t="s">
        <v>1004</v>
      </c>
      <c r="E92" s="59" t="s">
        <v>1007</v>
      </c>
      <c r="F92" s="115" t="s">
        <v>1006</v>
      </c>
      <c r="G92" s="59" t="s">
        <v>133</v>
      </c>
      <c r="H92" s="59" t="s">
        <v>134</v>
      </c>
      <c r="I92" s="115" t="s">
        <v>272</v>
      </c>
      <c r="J92" s="125" t="s">
        <v>26</v>
      </c>
      <c r="K92" s="70">
        <v>50</v>
      </c>
      <c r="L92" s="139">
        <v>28.3</v>
      </c>
      <c r="M92" s="119"/>
      <c r="N92" s="71">
        <f t="shared" si="2"/>
        <v>0</v>
      </c>
      <c r="O92" s="76"/>
    </row>
    <row r="93" spans="1:15" x14ac:dyDescent="0.3">
      <c r="A93" s="148">
        <v>397</v>
      </c>
      <c r="B93" s="59" t="s">
        <v>833</v>
      </c>
      <c r="C93" s="59" t="s">
        <v>776</v>
      </c>
      <c r="D93" s="115" t="s">
        <v>1004</v>
      </c>
      <c r="E93" s="59" t="s">
        <v>1008</v>
      </c>
      <c r="F93" s="115" t="s">
        <v>1006</v>
      </c>
      <c r="G93" s="59" t="s">
        <v>133</v>
      </c>
      <c r="H93" s="59" t="s">
        <v>134</v>
      </c>
      <c r="I93" s="115" t="s">
        <v>274</v>
      </c>
      <c r="J93" s="125" t="s">
        <v>26</v>
      </c>
      <c r="K93" s="70">
        <v>50</v>
      </c>
      <c r="L93" s="139">
        <v>28.3</v>
      </c>
      <c r="M93" s="119"/>
      <c r="N93" s="71">
        <f t="shared" si="2"/>
        <v>0</v>
      </c>
      <c r="O93" s="76"/>
    </row>
    <row r="94" spans="1:15" x14ac:dyDescent="0.3">
      <c r="A94" s="148">
        <v>398</v>
      </c>
      <c r="B94" s="59" t="s">
        <v>833</v>
      </c>
      <c r="C94" s="59" t="s">
        <v>776</v>
      </c>
      <c r="D94" s="115" t="s">
        <v>1009</v>
      </c>
      <c r="E94" s="59" t="s">
        <v>1010</v>
      </c>
      <c r="F94" s="115" t="s">
        <v>1011</v>
      </c>
      <c r="G94" s="59" t="s">
        <v>161</v>
      </c>
      <c r="H94" s="59" t="s">
        <v>162</v>
      </c>
      <c r="I94" s="115" t="s">
        <v>973</v>
      </c>
      <c r="J94" s="125" t="s">
        <v>101</v>
      </c>
      <c r="K94" s="70">
        <v>500</v>
      </c>
      <c r="L94" s="139">
        <v>254.1</v>
      </c>
      <c r="M94" s="119"/>
      <c r="N94" s="71">
        <f t="shared" si="2"/>
        <v>0</v>
      </c>
      <c r="O94" s="76"/>
    </row>
    <row r="95" spans="1:15" x14ac:dyDescent="0.3">
      <c r="A95" s="148">
        <v>399</v>
      </c>
      <c r="B95" s="59" t="s">
        <v>833</v>
      </c>
      <c r="C95" s="59" t="s">
        <v>776</v>
      </c>
      <c r="D95" s="115" t="s">
        <v>1009</v>
      </c>
      <c r="E95" s="59" t="s">
        <v>1012</v>
      </c>
      <c r="F95" s="115" t="s">
        <v>1011</v>
      </c>
      <c r="G95" s="59" t="s">
        <v>161</v>
      </c>
      <c r="H95" s="59" t="s">
        <v>162</v>
      </c>
      <c r="I95" s="115" t="s">
        <v>975</v>
      </c>
      <c r="J95" s="125" t="s">
        <v>101</v>
      </c>
      <c r="K95" s="70">
        <v>550</v>
      </c>
      <c r="L95" s="139">
        <v>279.60000000000002</v>
      </c>
      <c r="M95" s="119"/>
      <c r="N95" s="71">
        <f t="shared" si="2"/>
        <v>0</v>
      </c>
      <c r="O95" s="76"/>
    </row>
    <row r="96" spans="1:15" x14ac:dyDescent="0.3">
      <c r="A96" s="148">
        <v>400</v>
      </c>
      <c r="B96" s="59" t="s">
        <v>833</v>
      </c>
      <c r="C96" s="59" t="s">
        <v>776</v>
      </c>
      <c r="D96" s="115" t="s">
        <v>1009</v>
      </c>
      <c r="E96" s="59" t="s">
        <v>1013</v>
      </c>
      <c r="F96" s="115" t="s">
        <v>1011</v>
      </c>
      <c r="G96" s="59" t="s">
        <v>161</v>
      </c>
      <c r="H96" s="59" t="s">
        <v>162</v>
      </c>
      <c r="I96" s="115" t="s">
        <v>977</v>
      </c>
      <c r="J96" s="125" t="s">
        <v>101</v>
      </c>
      <c r="K96" s="70">
        <v>575</v>
      </c>
      <c r="L96" s="139">
        <v>292.3</v>
      </c>
      <c r="M96" s="119"/>
      <c r="N96" s="71">
        <f t="shared" si="2"/>
        <v>0</v>
      </c>
      <c r="O96" s="76"/>
    </row>
    <row r="97" spans="1:15" x14ac:dyDescent="0.3">
      <c r="A97" s="148">
        <v>401</v>
      </c>
      <c r="B97" s="59" t="s">
        <v>1014</v>
      </c>
      <c r="C97" s="59" t="s">
        <v>776</v>
      </c>
      <c r="D97" s="115" t="s">
        <v>1015</v>
      </c>
      <c r="E97" s="59" t="s">
        <v>1016</v>
      </c>
      <c r="F97" s="115" t="s">
        <v>1017</v>
      </c>
      <c r="G97" s="59" t="s">
        <v>987</v>
      </c>
      <c r="H97" s="59" t="s">
        <v>988</v>
      </c>
      <c r="I97" s="115" t="s">
        <v>280</v>
      </c>
      <c r="J97" s="125" t="s">
        <v>101</v>
      </c>
      <c r="K97" s="70">
        <v>5</v>
      </c>
      <c r="L97" s="139">
        <v>2.9</v>
      </c>
      <c r="M97" s="119"/>
      <c r="N97" s="71">
        <f t="shared" si="2"/>
        <v>0</v>
      </c>
      <c r="O97" s="76"/>
    </row>
    <row r="98" spans="1:15" x14ac:dyDescent="0.3">
      <c r="A98" s="148">
        <v>402</v>
      </c>
      <c r="B98" s="59" t="s">
        <v>1014</v>
      </c>
      <c r="C98" s="59" t="s">
        <v>776</v>
      </c>
      <c r="D98" s="115" t="s">
        <v>1018</v>
      </c>
      <c r="E98" s="59" t="s">
        <v>1019</v>
      </c>
      <c r="F98" s="115" t="s">
        <v>1020</v>
      </c>
      <c r="G98" s="59" t="s">
        <v>987</v>
      </c>
      <c r="H98" s="59" t="s">
        <v>988</v>
      </c>
      <c r="I98" s="115" t="s">
        <v>280</v>
      </c>
      <c r="J98" s="125" t="s">
        <v>101</v>
      </c>
      <c r="K98" s="70">
        <v>25</v>
      </c>
      <c r="L98" s="139">
        <v>14.2</v>
      </c>
      <c r="M98" s="119"/>
      <c r="N98" s="71">
        <f t="shared" si="2"/>
        <v>0</v>
      </c>
      <c r="O98" s="76"/>
    </row>
    <row r="99" spans="1:15" x14ac:dyDescent="0.3">
      <c r="A99" s="148">
        <v>403</v>
      </c>
      <c r="B99" s="59" t="s">
        <v>1014</v>
      </c>
      <c r="C99" s="59" t="s">
        <v>776</v>
      </c>
      <c r="D99" s="115" t="s">
        <v>1021</v>
      </c>
      <c r="E99" s="59" t="s">
        <v>1022</v>
      </c>
      <c r="F99" s="115" t="s">
        <v>1023</v>
      </c>
      <c r="G99" s="59" t="s">
        <v>320</v>
      </c>
      <c r="H99" s="59" t="s">
        <v>321</v>
      </c>
      <c r="I99" s="115" t="s">
        <v>280</v>
      </c>
      <c r="J99" s="125" t="s">
        <v>26</v>
      </c>
      <c r="K99" s="70">
        <v>5.5</v>
      </c>
      <c r="L99" s="139">
        <v>3.2</v>
      </c>
      <c r="M99" s="119"/>
      <c r="N99" s="71">
        <f t="shared" si="2"/>
        <v>0</v>
      </c>
      <c r="O99" s="76"/>
    </row>
    <row r="100" spans="1:15" x14ac:dyDescent="0.3">
      <c r="A100" s="148">
        <v>404</v>
      </c>
      <c r="B100" s="59" t="s">
        <v>1014</v>
      </c>
      <c r="C100" s="59" t="s">
        <v>776</v>
      </c>
      <c r="D100" s="115" t="s">
        <v>1024</v>
      </c>
      <c r="E100" s="59" t="s">
        <v>1025</v>
      </c>
      <c r="F100" s="115" t="s">
        <v>1026</v>
      </c>
      <c r="G100" s="59" t="s">
        <v>987</v>
      </c>
      <c r="H100" s="59" t="s">
        <v>988</v>
      </c>
      <c r="I100" s="115" t="s">
        <v>280</v>
      </c>
      <c r="J100" s="125" t="s">
        <v>26</v>
      </c>
      <c r="K100" s="70">
        <v>6.5</v>
      </c>
      <c r="L100" s="139">
        <v>3.7</v>
      </c>
      <c r="M100" s="119"/>
      <c r="N100" s="71">
        <f t="shared" si="2"/>
        <v>0</v>
      </c>
      <c r="O100" s="76"/>
    </row>
    <row r="101" spans="1:15" x14ac:dyDescent="0.3">
      <c r="A101" s="148">
        <v>405</v>
      </c>
      <c r="B101" s="59" t="s">
        <v>1014</v>
      </c>
      <c r="C101" s="59" t="s">
        <v>776</v>
      </c>
      <c r="D101" s="115" t="s">
        <v>1027</v>
      </c>
      <c r="E101" s="59" t="s">
        <v>1028</v>
      </c>
      <c r="F101" s="115" t="s">
        <v>1029</v>
      </c>
      <c r="G101" s="59" t="s">
        <v>133</v>
      </c>
      <c r="H101" s="59" t="s">
        <v>134</v>
      </c>
      <c r="I101" s="115" t="s">
        <v>280</v>
      </c>
      <c r="J101" s="125" t="s">
        <v>26</v>
      </c>
      <c r="K101" s="70">
        <v>25</v>
      </c>
      <c r="L101" s="139">
        <v>14.2</v>
      </c>
      <c r="M101" s="119"/>
      <c r="N101" s="71">
        <f t="shared" si="2"/>
        <v>0</v>
      </c>
      <c r="O101" s="76"/>
    </row>
    <row r="102" spans="1:15" x14ac:dyDescent="0.3">
      <c r="A102" s="148">
        <v>406</v>
      </c>
      <c r="B102" s="59" t="s">
        <v>1014</v>
      </c>
      <c r="C102" s="59" t="s">
        <v>776</v>
      </c>
      <c r="D102" s="115" t="s">
        <v>1030</v>
      </c>
      <c r="E102" s="59" t="s">
        <v>1031</v>
      </c>
      <c r="F102" s="115" t="s">
        <v>1032</v>
      </c>
      <c r="G102" s="59" t="s">
        <v>133</v>
      </c>
      <c r="H102" s="59" t="s">
        <v>134</v>
      </c>
      <c r="I102" s="115" t="s">
        <v>280</v>
      </c>
      <c r="J102" s="125" t="s">
        <v>26</v>
      </c>
      <c r="K102" s="70">
        <v>15.5</v>
      </c>
      <c r="L102" s="139">
        <v>8.7999999999999989</v>
      </c>
      <c r="M102" s="119"/>
      <c r="N102" s="71">
        <f t="shared" si="2"/>
        <v>0</v>
      </c>
      <c r="O102" s="76"/>
    </row>
    <row r="103" spans="1:15" x14ac:dyDescent="0.3">
      <c r="A103" s="148">
        <v>407</v>
      </c>
      <c r="B103" s="59" t="s">
        <v>1033</v>
      </c>
      <c r="C103" s="59" t="s">
        <v>776</v>
      </c>
      <c r="D103" s="115" t="s">
        <v>1034</v>
      </c>
      <c r="E103" s="59" t="s">
        <v>1035</v>
      </c>
      <c r="F103" s="115" t="s">
        <v>1036</v>
      </c>
      <c r="G103" s="59" t="s">
        <v>133</v>
      </c>
      <c r="H103" s="59" t="s">
        <v>134</v>
      </c>
      <c r="I103" s="115" t="s">
        <v>280</v>
      </c>
      <c r="J103" s="125" t="s">
        <v>1037</v>
      </c>
      <c r="K103" s="70">
        <v>15</v>
      </c>
      <c r="L103" s="139">
        <v>8.5</v>
      </c>
      <c r="M103" s="119"/>
      <c r="N103" s="71">
        <f t="shared" si="2"/>
        <v>0</v>
      </c>
      <c r="O103" s="76"/>
    </row>
    <row r="104" spans="1:15" x14ac:dyDescent="0.3">
      <c r="A104" s="148">
        <v>408</v>
      </c>
      <c r="B104" s="59" t="s">
        <v>1033</v>
      </c>
      <c r="C104" s="59" t="s">
        <v>776</v>
      </c>
      <c r="D104" s="115" t="s">
        <v>1038</v>
      </c>
      <c r="E104" s="59" t="s">
        <v>1039</v>
      </c>
      <c r="F104" s="115" t="s">
        <v>1040</v>
      </c>
      <c r="G104" s="59" t="s">
        <v>58</v>
      </c>
      <c r="H104" s="59" t="s">
        <v>59</v>
      </c>
      <c r="I104" s="115" t="s">
        <v>1041</v>
      </c>
      <c r="J104" s="125" t="s">
        <v>1037</v>
      </c>
      <c r="K104" s="70">
        <v>6</v>
      </c>
      <c r="L104" s="139">
        <v>3.4</v>
      </c>
      <c r="M104" s="119"/>
      <c r="N104" s="71">
        <f t="shared" si="2"/>
        <v>0</v>
      </c>
      <c r="O104" s="76"/>
    </row>
    <row r="105" spans="1:15" x14ac:dyDescent="0.3">
      <c r="A105" s="148">
        <v>409</v>
      </c>
      <c r="B105" s="59" t="s">
        <v>1033</v>
      </c>
      <c r="C105" s="59" t="s">
        <v>776</v>
      </c>
      <c r="D105" s="115" t="s">
        <v>1042</v>
      </c>
      <c r="E105" s="59" t="s">
        <v>1043</v>
      </c>
      <c r="F105" s="115" t="s">
        <v>1044</v>
      </c>
      <c r="G105" s="59" t="s">
        <v>58</v>
      </c>
      <c r="H105" s="59" t="s">
        <v>59</v>
      </c>
      <c r="I105" s="115" t="s">
        <v>800</v>
      </c>
      <c r="J105" s="125" t="s">
        <v>1037</v>
      </c>
      <c r="K105" s="70">
        <v>145</v>
      </c>
      <c r="L105" s="139">
        <v>81.899999999999991</v>
      </c>
      <c r="M105" s="119"/>
      <c r="N105" s="71">
        <f t="shared" si="2"/>
        <v>0</v>
      </c>
      <c r="O105" s="76"/>
    </row>
    <row r="106" spans="1:15" x14ac:dyDescent="0.3">
      <c r="A106" s="148">
        <v>410</v>
      </c>
      <c r="B106" s="59" t="s">
        <v>1033</v>
      </c>
      <c r="C106" s="59" t="s">
        <v>776</v>
      </c>
      <c r="D106" s="115" t="s">
        <v>1045</v>
      </c>
      <c r="E106" s="59" t="s">
        <v>1046</v>
      </c>
      <c r="F106" s="115" t="s">
        <v>1047</v>
      </c>
      <c r="G106" s="59" t="s">
        <v>133</v>
      </c>
      <c r="H106" s="59" t="s">
        <v>134</v>
      </c>
      <c r="I106" s="115" t="s">
        <v>800</v>
      </c>
      <c r="J106" s="125" t="s">
        <v>1037</v>
      </c>
      <c r="K106" s="70">
        <v>92.5</v>
      </c>
      <c r="L106" s="139">
        <v>52.300000000000004</v>
      </c>
      <c r="M106" s="119"/>
      <c r="N106" s="71">
        <f t="shared" si="2"/>
        <v>0</v>
      </c>
      <c r="O106" s="76"/>
    </row>
    <row r="107" spans="1:15" x14ac:dyDescent="0.3">
      <c r="A107" s="148">
        <v>411</v>
      </c>
      <c r="B107" s="59" t="s">
        <v>1033</v>
      </c>
      <c r="C107" s="59" t="s">
        <v>776</v>
      </c>
      <c r="D107" s="115" t="s">
        <v>1048</v>
      </c>
      <c r="E107" s="59" t="s">
        <v>1049</v>
      </c>
      <c r="F107" s="115" t="s">
        <v>1050</v>
      </c>
      <c r="G107" s="59" t="s">
        <v>133</v>
      </c>
      <c r="H107" s="59" t="s">
        <v>134</v>
      </c>
      <c r="I107" s="115" t="s">
        <v>272</v>
      </c>
      <c r="J107" s="125" t="s">
        <v>26</v>
      </c>
      <c r="K107" s="70">
        <v>21.5</v>
      </c>
      <c r="L107" s="139">
        <v>12.2</v>
      </c>
      <c r="M107" s="119"/>
      <c r="N107" s="71">
        <f t="shared" si="2"/>
        <v>0</v>
      </c>
      <c r="O107" s="76"/>
    </row>
    <row r="108" spans="1:15" x14ac:dyDescent="0.3">
      <c r="A108" s="148">
        <v>412</v>
      </c>
      <c r="B108" s="59" t="s">
        <v>1033</v>
      </c>
      <c r="C108" s="59" t="s">
        <v>776</v>
      </c>
      <c r="D108" s="115" t="s">
        <v>1051</v>
      </c>
      <c r="E108" s="59" t="s">
        <v>1052</v>
      </c>
      <c r="F108" s="115" t="s">
        <v>1053</v>
      </c>
      <c r="G108" s="59" t="s">
        <v>133</v>
      </c>
      <c r="H108" s="59" t="s">
        <v>134</v>
      </c>
      <c r="I108" s="115" t="s">
        <v>280</v>
      </c>
      <c r="J108" s="125" t="s">
        <v>26</v>
      </c>
      <c r="K108" s="70">
        <v>8</v>
      </c>
      <c r="L108" s="139">
        <v>4.5999999999999996</v>
      </c>
      <c r="M108" s="119"/>
      <c r="N108" s="71">
        <f t="shared" si="2"/>
        <v>0</v>
      </c>
      <c r="O108" s="76"/>
    </row>
    <row r="109" spans="1:15" x14ac:dyDescent="0.3">
      <c r="A109" s="148">
        <v>413</v>
      </c>
      <c r="B109" s="59" t="s">
        <v>1033</v>
      </c>
      <c r="C109" s="59" t="s">
        <v>776</v>
      </c>
      <c r="D109" s="115" t="s">
        <v>1054</v>
      </c>
      <c r="E109" s="59" t="s">
        <v>1055</v>
      </c>
      <c r="F109" s="115" t="s">
        <v>1056</v>
      </c>
      <c r="G109" s="59" t="s">
        <v>58</v>
      </c>
      <c r="H109" s="59" t="s">
        <v>59</v>
      </c>
      <c r="I109" s="115" t="s">
        <v>800</v>
      </c>
      <c r="J109" s="125" t="s">
        <v>26</v>
      </c>
      <c r="K109" s="70">
        <v>145</v>
      </c>
      <c r="L109" s="139">
        <v>81.899999999999991</v>
      </c>
      <c r="M109" s="119"/>
      <c r="N109" s="71">
        <f t="shared" si="2"/>
        <v>0</v>
      </c>
      <c r="O109" s="76"/>
    </row>
    <row r="110" spans="1:15" x14ac:dyDescent="0.3">
      <c r="A110" s="148">
        <v>414</v>
      </c>
      <c r="B110" s="59" t="s">
        <v>1033</v>
      </c>
      <c r="C110" s="59" t="s">
        <v>776</v>
      </c>
      <c r="D110" s="115" t="s">
        <v>1057</v>
      </c>
      <c r="E110" s="59" t="s">
        <v>1058</v>
      </c>
      <c r="F110" s="115" t="s">
        <v>1059</v>
      </c>
      <c r="G110" s="59" t="s">
        <v>1060</v>
      </c>
      <c r="H110" s="59" t="s">
        <v>1061</v>
      </c>
      <c r="I110" s="115" t="s">
        <v>280</v>
      </c>
      <c r="J110" s="125" t="s">
        <v>26</v>
      </c>
      <c r="K110" s="70">
        <v>143.5</v>
      </c>
      <c r="L110" s="139">
        <v>81.099999999999994</v>
      </c>
      <c r="M110" s="119"/>
      <c r="N110" s="71">
        <f t="shared" si="2"/>
        <v>0</v>
      </c>
      <c r="O110" s="76"/>
    </row>
    <row r="111" spans="1:15" x14ac:dyDescent="0.3">
      <c r="A111" s="148">
        <v>415</v>
      </c>
      <c r="B111" s="122" t="s">
        <v>1062</v>
      </c>
      <c r="C111" s="122" t="s">
        <v>776</v>
      </c>
      <c r="D111" s="123" t="s">
        <v>1763</v>
      </c>
      <c r="E111" s="122" t="s">
        <v>1764</v>
      </c>
      <c r="F111" s="123" t="s">
        <v>1072</v>
      </c>
      <c r="G111" s="122" t="s">
        <v>320</v>
      </c>
      <c r="H111" s="122" t="s">
        <v>321</v>
      </c>
      <c r="I111" s="123" t="s">
        <v>280</v>
      </c>
      <c r="J111" s="125" t="s">
        <v>26</v>
      </c>
      <c r="K111" s="70">
        <v>14.5</v>
      </c>
      <c r="L111" s="139">
        <v>8.1999999999999993</v>
      </c>
      <c r="M111" s="119"/>
      <c r="N111" s="71">
        <f t="shared" ref="N111:N142" si="3">L111*M111</f>
        <v>0</v>
      </c>
      <c r="O111" s="76"/>
    </row>
    <row r="112" spans="1:15" x14ac:dyDescent="0.3">
      <c r="A112" s="148">
        <v>416</v>
      </c>
      <c r="B112" s="122" t="s">
        <v>1062</v>
      </c>
      <c r="C112" s="122" t="s">
        <v>776</v>
      </c>
      <c r="D112" s="123" t="s">
        <v>1765</v>
      </c>
      <c r="E112" s="122" t="s">
        <v>1766</v>
      </c>
      <c r="F112" s="123" t="s">
        <v>920</v>
      </c>
      <c r="G112" s="122" t="s">
        <v>320</v>
      </c>
      <c r="H112" s="122" t="s">
        <v>321</v>
      </c>
      <c r="I112" s="123" t="s">
        <v>280</v>
      </c>
      <c r="J112" s="125" t="s">
        <v>26</v>
      </c>
      <c r="K112" s="70">
        <v>14.5</v>
      </c>
      <c r="L112" s="139">
        <v>8.1999999999999993</v>
      </c>
      <c r="M112" s="119"/>
      <c r="N112" s="71">
        <f t="shared" si="3"/>
        <v>0</v>
      </c>
      <c r="O112" s="76"/>
    </row>
    <row r="113" spans="1:15" x14ac:dyDescent="0.3">
      <c r="A113" s="148">
        <v>417</v>
      </c>
      <c r="B113" s="122" t="s">
        <v>1062</v>
      </c>
      <c r="C113" s="122" t="s">
        <v>776</v>
      </c>
      <c r="D113" s="123" t="s">
        <v>1767</v>
      </c>
      <c r="E113" s="122" t="s">
        <v>1768</v>
      </c>
      <c r="F113" s="123" t="s">
        <v>1068</v>
      </c>
      <c r="G113" s="122" t="s">
        <v>320</v>
      </c>
      <c r="H113" s="122" t="s">
        <v>321</v>
      </c>
      <c r="I113" s="123" t="s">
        <v>280</v>
      </c>
      <c r="J113" s="125" t="s">
        <v>26</v>
      </c>
      <c r="K113" s="70">
        <v>14.5</v>
      </c>
      <c r="L113" s="139">
        <v>8.1999999999999993</v>
      </c>
      <c r="M113" s="119"/>
      <c r="N113" s="71">
        <f t="shared" si="3"/>
        <v>0</v>
      </c>
      <c r="O113" s="76"/>
    </row>
    <row r="114" spans="1:15" x14ac:dyDescent="0.3">
      <c r="A114" s="148">
        <v>418</v>
      </c>
      <c r="B114" s="122" t="s">
        <v>1062</v>
      </c>
      <c r="C114" s="122" t="s">
        <v>776</v>
      </c>
      <c r="D114" s="123" t="s">
        <v>1769</v>
      </c>
      <c r="E114" s="122" t="s">
        <v>1770</v>
      </c>
      <c r="F114" s="123" t="s">
        <v>1067</v>
      </c>
      <c r="G114" s="122" t="s">
        <v>320</v>
      </c>
      <c r="H114" s="122" t="s">
        <v>321</v>
      </c>
      <c r="I114" s="123" t="s">
        <v>280</v>
      </c>
      <c r="J114" s="125" t="s">
        <v>26</v>
      </c>
      <c r="K114" s="70">
        <v>14.5</v>
      </c>
      <c r="L114" s="139">
        <v>8.1999999999999993</v>
      </c>
      <c r="M114" s="119"/>
      <c r="N114" s="71">
        <f t="shared" si="3"/>
        <v>0</v>
      </c>
      <c r="O114" s="76"/>
    </row>
    <row r="115" spans="1:15" x14ac:dyDescent="0.3">
      <c r="A115" s="148">
        <v>419</v>
      </c>
      <c r="B115" s="122" t="s">
        <v>1062</v>
      </c>
      <c r="C115" s="122" t="s">
        <v>776</v>
      </c>
      <c r="D115" s="123" t="s">
        <v>1771</v>
      </c>
      <c r="E115" s="122" t="s">
        <v>1772</v>
      </c>
      <c r="F115" s="123" t="s">
        <v>1066</v>
      </c>
      <c r="G115" s="122" t="s">
        <v>320</v>
      </c>
      <c r="H115" s="122" t="s">
        <v>321</v>
      </c>
      <c r="I115" s="123" t="s">
        <v>280</v>
      </c>
      <c r="J115" s="125" t="s">
        <v>26</v>
      </c>
      <c r="K115" s="70">
        <v>14.5</v>
      </c>
      <c r="L115" s="139">
        <v>8.1999999999999993</v>
      </c>
      <c r="M115" s="119"/>
      <c r="N115" s="71">
        <f t="shared" si="3"/>
        <v>0</v>
      </c>
      <c r="O115" s="76"/>
    </row>
    <row r="116" spans="1:15" x14ac:dyDescent="0.3">
      <c r="A116" s="148">
        <v>420</v>
      </c>
      <c r="B116" s="122" t="s">
        <v>1062</v>
      </c>
      <c r="C116" s="122" t="s">
        <v>776</v>
      </c>
      <c r="D116" s="123" t="s">
        <v>1773</v>
      </c>
      <c r="E116" s="122" t="s">
        <v>1774</v>
      </c>
      <c r="F116" s="123" t="s">
        <v>1065</v>
      </c>
      <c r="G116" s="122" t="s">
        <v>320</v>
      </c>
      <c r="H116" s="122" t="s">
        <v>321</v>
      </c>
      <c r="I116" s="123" t="s">
        <v>280</v>
      </c>
      <c r="J116" s="125" t="s">
        <v>26</v>
      </c>
      <c r="K116" s="70">
        <v>10.5</v>
      </c>
      <c r="L116" s="139">
        <v>6</v>
      </c>
      <c r="M116" s="119"/>
      <c r="N116" s="71">
        <f t="shared" si="3"/>
        <v>0</v>
      </c>
      <c r="O116" s="76"/>
    </row>
    <row r="117" spans="1:15" x14ac:dyDescent="0.3">
      <c r="A117" s="148">
        <v>421</v>
      </c>
      <c r="B117" s="122" t="s">
        <v>1062</v>
      </c>
      <c r="C117" s="122" t="s">
        <v>776</v>
      </c>
      <c r="D117" s="123" t="s">
        <v>1775</v>
      </c>
      <c r="E117" s="122" t="s">
        <v>1776</v>
      </c>
      <c r="F117" s="123" t="s">
        <v>1073</v>
      </c>
      <c r="G117" s="122" t="s">
        <v>320</v>
      </c>
      <c r="H117" s="122" t="s">
        <v>321</v>
      </c>
      <c r="I117" s="123" t="s">
        <v>280</v>
      </c>
      <c r="J117" s="125" t="s">
        <v>26</v>
      </c>
      <c r="K117" s="70">
        <v>14</v>
      </c>
      <c r="L117" s="139">
        <v>8</v>
      </c>
      <c r="M117" s="119"/>
      <c r="N117" s="71">
        <f t="shared" si="3"/>
        <v>0</v>
      </c>
      <c r="O117" s="76"/>
    </row>
    <row r="118" spans="1:15" x14ac:dyDescent="0.3">
      <c r="A118" s="148">
        <v>422</v>
      </c>
      <c r="B118" s="122" t="s">
        <v>1062</v>
      </c>
      <c r="C118" s="122" t="s">
        <v>776</v>
      </c>
      <c r="D118" s="123" t="s">
        <v>1777</v>
      </c>
      <c r="E118" s="122" t="s">
        <v>1778</v>
      </c>
      <c r="F118" s="123" t="s">
        <v>1064</v>
      </c>
      <c r="G118" s="122" t="s">
        <v>320</v>
      </c>
      <c r="H118" s="122" t="s">
        <v>321</v>
      </c>
      <c r="I118" s="123" t="s">
        <v>280</v>
      </c>
      <c r="J118" s="125" t="s">
        <v>26</v>
      </c>
      <c r="K118" s="70">
        <v>14.5</v>
      </c>
      <c r="L118" s="139">
        <v>8.1999999999999993</v>
      </c>
      <c r="M118" s="119"/>
      <c r="N118" s="71">
        <f t="shared" si="3"/>
        <v>0</v>
      </c>
      <c r="O118" s="76"/>
    </row>
    <row r="119" spans="1:15" x14ac:dyDescent="0.3">
      <c r="A119" s="148">
        <v>423</v>
      </c>
      <c r="B119" s="122" t="s">
        <v>1062</v>
      </c>
      <c r="C119" s="122" t="s">
        <v>776</v>
      </c>
      <c r="D119" s="123" t="s">
        <v>1779</v>
      </c>
      <c r="E119" s="122" t="s">
        <v>1780</v>
      </c>
      <c r="F119" s="123" t="s">
        <v>1063</v>
      </c>
      <c r="G119" s="122" t="s">
        <v>320</v>
      </c>
      <c r="H119" s="122" t="s">
        <v>321</v>
      </c>
      <c r="I119" s="123" t="s">
        <v>280</v>
      </c>
      <c r="J119" s="125" t="s">
        <v>26</v>
      </c>
      <c r="K119" s="70">
        <v>12.5</v>
      </c>
      <c r="L119" s="139">
        <v>7.1</v>
      </c>
      <c r="M119" s="119"/>
      <c r="N119" s="71">
        <f t="shared" si="3"/>
        <v>0</v>
      </c>
      <c r="O119" s="76"/>
    </row>
    <row r="120" spans="1:15" x14ac:dyDescent="0.3">
      <c r="A120" s="148">
        <v>424</v>
      </c>
      <c r="B120" s="122" t="s">
        <v>1062</v>
      </c>
      <c r="C120" s="122" t="s">
        <v>776</v>
      </c>
      <c r="D120" s="123" t="s">
        <v>1077</v>
      </c>
      <c r="E120" s="122" t="s">
        <v>1781</v>
      </c>
      <c r="F120" s="123" t="s">
        <v>1078</v>
      </c>
      <c r="G120" s="122" t="s">
        <v>320</v>
      </c>
      <c r="H120" s="122" t="s">
        <v>321</v>
      </c>
      <c r="I120" s="123" t="s">
        <v>280</v>
      </c>
      <c r="J120" s="125" t="s">
        <v>26</v>
      </c>
      <c r="K120" s="70">
        <v>12.5</v>
      </c>
      <c r="L120" s="139">
        <v>7.1</v>
      </c>
      <c r="M120" s="119"/>
      <c r="N120" s="71">
        <f t="shared" si="3"/>
        <v>0</v>
      </c>
      <c r="O120" s="76"/>
    </row>
    <row r="121" spans="1:15" x14ac:dyDescent="0.3">
      <c r="A121" s="148">
        <v>425</v>
      </c>
      <c r="B121" s="122" t="s">
        <v>1062</v>
      </c>
      <c r="C121" s="122" t="s">
        <v>776</v>
      </c>
      <c r="D121" s="123" t="s">
        <v>1069</v>
      </c>
      <c r="E121" s="122" t="s">
        <v>1070</v>
      </c>
      <c r="F121" s="123" t="s">
        <v>1071</v>
      </c>
      <c r="G121" s="122" t="s">
        <v>133</v>
      </c>
      <c r="H121" s="122" t="s">
        <v>134</v>
      </c>
      <c r="I121" s="123" t="s">
        <v>280</v>
      </c>
      <c r="J121" s="125" t="s">
        <v>26</v>
      </c>
      <c r="K121" s="70">
        <v>30</v>
      </c>
      <c r="L121" s="139">
        <v>17</v>
      </c>
      <c r="M121" s="119"/>
      <c r="N121" s="71">
        <f t="shared" si="3"/>
        <v>0</v>
      </c>
      <c r="O121" s="76"/>
    </row>
    <row r="122" spans="1:15" x14ac:dyDescent="0.3">
      <c r="A122" s="148">
        <v>426</v>
      </c>
      <c r="B122" s="122" t="s">
        <v>1062</v>
      </c>
      <c r="C122" s="122" t="s">
        <v>776</v>
      </c>
      <c r="D122" s="123" t="s">
        <v>1074</v>
      </c>
      <c r="E122" s="122" t="s">
        <v>1075</v>
      </c>
      <c r="F122" s="123" t="s">
        <v>1076</v>
      </c>
      <c r="G122" s="122" t="s">
        <v>133</v>
      </c>
      <c r="H122" s="122" t="s">
        <v>134</v>
      </c>
      <c r="I122" s="123" t="s">
        <v>280</v>
      </c>
      <c r="J122" s="125" t="s">
        <v>26</v>
      </c>
      <c r="K122" s="70">
        <v>15.5</v>
      </c>
      <c r="L122" s="139">
        <v>8.7999999999999989</v>
      </c>
      <c r="M122" s="119"/>
      <c r="N122" s="71">
        <f t="shared" si="3"/>
        <v>0</v>
      </c>
      <c r="O122" s="76"/>
    </row>
  </sheetData>
  <autoFilter ref="A14:N122" xr:uid="{D3CCF03B-6322-4410-9244-1737776077B4}">
    <sortState xmlns:xlrd2="http://schemas.microsoft.com/office/spreadsheetml/2017/richdata2" ref="A15:N122">
      <sortCondition ref="A14:A122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0FB6-A066-4330-88FA-7D9692A452AC}">
  <sheetPr>
    <tabColor theme="8" tint="0.39997558519241921"/>
  </sheetPr>
  <dimension ref="A2:O92"/>
  <sheetViews>
    <sheetView showGridLines="0" zoomScaleNormal="100" workbookViewId="0">
      <selection activeCell="O1" sqref="O1:O1048576"/>
    </sheetView>
  </sheetViews>
  <sheetFormatPr defaultColWidth="9.109375" defaultRowHeight="13.8" x14ac:dyDescent="0.3"/>
  <cols>
    <col min="1" max="1" width="4.44140625" style="53" customWidth="1"/>
    <col min="2" max="2" width="26.33203125" style="53" bestFit="1" customWidth="1"/>
    <col min="3" max="3" width="15.5546875" style="53" bestFit="1" customWidth="1"/>
    <col min="4" max="4" width="14.33203125" style="53" customWidth="1"/>
    <col min="5" max="5" width="14.5546875" style="53" customWidth="1"/>
    <col min="6" max="6" width="32.109375" style="53" bestFit="1" customWidth="1"/>
    <col min="7" max="7" width="7.6640625" style="53" bestFit="1" customWidth="1"/>
    <col min="8" max="8" width="17.44140625" style="53" bestFit="1" customWidth="1"/>
    <col min="9" max="9" width="16" style="53" bestFit="1" customWidth="1"/>
    <col min="10" max="10" width="19.5546875" style="53" bestFit="1" customWidth="1"/>
    <col min="11" max="11" width="21.6640625" style="53" bestFit="1" customWidth="1"/>
    <col min="12" max="12" width="24.6640625" style="53" bestFit="1" customWidth="1"/>
    <col min="13" max="13" width="7.6640625" style="53" bestFit="1" customWidth="1"/>
    <col min="14" max="14" width="14.33203125" style="53" bestFit="1" customWidth="1"/>
    <col min="15" max="15" width="6.33203125" style="53" customWidth="1"/>
    <col min="16" max="16" width="9.109375" style="53" customWidth="1"/>
    <col min="17" max="16384" width="9.109375" style="53"/>
  </cols>
  <sheetData>
    <row r="2" spans="1:15" ht="14.4" x14ac:dyDescent="0.3">
      <c r="B2"/>
    </row>
    <row r="3" spans="1:15" ht="14.4" x14ac:dyDescent="0.3">
      <c r="B3"/>
    </row>
    <row r="5" spans="1:15" x14ac:dyDescent="0.3">
      <c r="H5" s="57" t="s">
        <v>1810</v>
      </c>
      <c r="I5" s="55"/>
      <c r="K5" s="94" t="s">
        <v>0</v>
      </c>
      <c r="L5" s="143">
        <f>SUM(N14:N92)</f>
        <v>0</v>
      </c>
    </row>
    <row r="6" spans="1:15" x14ac:dyDescent="0.3">
      <c r="H6" s="89" t="s">
        <v>1079</v>
      </c>
      <c r="I6" s="90"/>
      <c r="K6" s="94" t="s">
        <v>2</v>
      </c>
      <c r="L6" s="74">
        <f>SUM(M14:M92)</f>
        <v>0</v>
      </c>
    </row>
    <row r="13" spans="1:15" x14ac:dyDescent="0.3">
      <c r="A13" s="126" t="s">
        <v>5</v>
      </c>
      <c r="B13" s="127" t="s">
        <v>6</v>
      </c>
      <c r="C13" s="127" t="s">
        <v>7</v>
      </c>
      <c r="D13" s="127" t="s">
        <v>8</v>
      </c>
      <c r="E13" s="127" t="s">
        <v>9</v>
      </c>
      <c r="F13" s="127" t="s">
        <v>10</v>
      </c>
      <c r="G13" s="127" t="s">
        <v>11</v>
      </c>
      <c r="H13" s="127" t="s">
        <v>12</v>
      </c>
      <c r="I13" s="127" t="s">
        <v>13</v>
      </c>
      <c r="J13" s="66" t="s">
        <v>14</v>
      </c>
      <c r="K13" s="67" t="s">
        <v>15</v>
      </c>
      <c r="L13" s="137" t="s">
        <v>1809</v>
      </c>
      <c r="M13" s="67" t="s">
        <v>17</v>
      </c>
      <c r="N13" s="68" t="s">
        <v>18</v>
      </c>
    </row>
    <row r="14" spans="1:15" ht="14.4" x14ac:dyDescent="0.3">
      <c r="A14" s="148">
        <v>427</v>
      </c>
      <c r="B14" s="59" t="s">
        <v>492</v>
      </c>
      <c r="C14" s="59" t="s">
        <v>1079</v>
      </c>
      <c r="D14" s="115" t="s">
        <v>1080</v>
      </c>
      <c r="E14" s="59" t="s">
        <v>1081</v>
      </c>
      <c r="F14" s="115" t="s">
        <v>1082</v>
      </c>
      <c r="G14" s="59" t="s">
        <v>161</v>
      </c>
      <c r="H14" s="115" t="s">
        <v>162</v>
      </c>
      <c r="I14" s="115" t="s">
        <v>36</v>
      </c>
      <c r="J14" s="125" t="s">
        <v>26</v>
      </c>
      <c r="K14" s="70">
        <v>145</v>
      </c>
      <c r="L14" s="139">
        <v>81.899999999999991</v>
      </c>
      <c r="M14" s="119"/>
      <c r="N14" s="71">
        <f t="shared" ref="N14:N45" si="0">M14*L14</f>
        <v>0</v>
      </c>
      <c r="O14" s="76"/>
    </row>
    <row r="15" spans="1:15" ht="14.4" x14ac:dyDescent="0.3">
      <c r="A15" s="148">
        <v>428</v>
      </c>
      <c r="B15" s="59" t="s">
        <v>492</v>
      </c>
      <c r="C15" s="59" t="s">
        <v>1079</v>
      </c>
      <c r="D15" s="115" t="s">
        <v>1080</v>
      </c>
      <c r="E15" s="59" t="s">
        <v>1083</v>
      </c>
      <c r="F15" s="115" t="s">
        <v>1082</v>
      </c>
      <c r="G15" s="59" t="s">
        <v>161</v>
      </c>
      <c r="H15" s="115" t="s">
        <v>162</v>
      </c>
      <c r="I15" s="115" t="s">
        <v>40</v>
      </c>
      <c r="J15" s="125" t="s">
        <v>26</v>
      </c>
      <c r="K15" s="70">
        <v>155</v>
      </c>
      <c r="L15" s="139">
        <v>87.6</v>
      </c>
      <c r="M15" s="119"/>
      <c r="N15" s="71">
        <f t="shared" si="0"/>
        <v>0</v>
      </c>
      <c r="O15" s="76"/>
    </row>
    <row r="16" spans="1:15" ht="14.4" x14ac:dyDescent="0.3">
      <c r="A16" s="148">
        <v>429</v>
      </c>
      <c r="B16" s="59" t="s">
        <v>492</v>
      </c>
      <c r="C16" s="59" t="s">
        <v>1079</v>
      </c>
      <c r="D16" s="115" t="s">
        <v>1080</v>
      </c>
      <c r="E16" s="59" t="s">
        <v>1084</v>
      </c>
      <c r="F16" s="115" t="s">
        <v>1082</v>
      </c>
      <c r="G16" s="59" t="s">
        <v>161</v>
      </c>
      <c r="H16" s="115" t="s">
        <v>162</v>
      </c>
      <c r="I16" s="115" t="s">
        <v>52</v>
      </c>
      <c r="J16" s="125" t="s">
        <v>26</v>
      </c>
      <c r="K16" s="70">
        <v>165</v>
      </c>
      <c r="L16" s="139">
        <v>93.199999999999989</v>
      </c>
      <c r="M16" s="119"/>
      <c r="N16" s="71">
        <f t="shared" si="0"/>
        <v>0</v>
      </c>
      <c r="O16" s="76"/>
    </row>
    <row r="17" spans="1:15" ht="14.4" x14ac:dyDescent="0.3">
      <c r="A17" s="148">
        <v>430</v>
      </c>
      <c r="B17" s="59" t="s">
        <v>492</v>
      </c>
      <c r="C17" s="59" t="s">
        <v>1079</v>
      </c>
      <c r="D17" s="115" t="s">
        <v>1080</v>
      </c>
      <c r="E17" s="59" t="s">
        <v>1085</v>
      </c>
      <c r="F17" s="115" t="s">
        <v>1082</v>
      </c>
      <c r="G17" s="59" t="s">
        <v>161</v>
      </c>
      <c r="H17" s="115" t="s">
        <v>162</v>
      </c>
      <c r="I17" s="115" t="s">
        <v>54</v>
      </c>
      <c r="J17" s="125" t="s">
        <v>26</v>
      </c>
      <c r="K17" s="70">
        <v>175</v>
      </c>
      <c r="L17" s="139">
        <v>98.899999999999991</v>
      </c>
      <c r="M17" s="119"/>
      <c r="N17" s="71">
        <f t="shared" si="0"/>
        <v>0</v>
      </c>
      <c r="O17" s="76"/>
    </row>
    <row r="18" spans="1:15" ht="14.4" x14ac:dyDescent="0.3">
      <c r="A18" s="148">
        <v>431</v>
      </c>
      <c r="B18" s="59" t="s">
        <v>492</v>
      </c>
      <c r="C18" s="59" t="s">
        <v>1079</v>
      </c>
      <c r="D18" s="115" t="s">
        <v>1086</v>
      </c>
      <c r="E18" s="59" t="s">
        <v>1087</v>
      </c>
      <c r="F18" s="115" t="s">
        <v>1088</v>
      </c>
      <c r="G18" s="59" t="s">
        <v>161</v>
      </c>
      <c r="H18" s="115" t="s">
        <v>162</v>
      </c>
      <c r="I18" s="115" t="s">
        <v>1089</v>
      </c>
      <c r="J18" s="125" t="s">
        <v>26</v>
      </c>
      <c r="K18" s="70">
        <v>154.5</v>
      </c>
      <c r="L18" s="139">
        <v>87.3</v>
      </c>
      <c r="M18" s="119"/>
      <c r="N18" s="71">
        <f t="shared" si="0"/>
        <v>0</v>
      </c>
      <c r="O18" s="76"/>
    </row>
    <row r="19" spans="1:15" ht="14.4" x14ac:dyDescent="0.3">
      <c r="A19" s="148">
        <v>432</v>
      </c>
      <c r="B19" s="59" t="s">
        <v>492</v>
      </c>
      <c r="C19" s="59" t="s">
        <v>1079</v>
      </c>
      <c r="D19" s="115" t="s">
        <v>1086</v>
      </c>
      <c r="E19" s="59" t="s">
        <v>1090</v>
      </c>
      <c r="F19" s="115" t="s">
        <v>1088</v>
      </c>
      <c r="G19" s="59" t="s">
        <v>161</v>
      </c>
      <c r="H19" s="115" t="s">
        <v>162</v>
      </c>
      <c r="I19" s="115" t="s">
        <v>1091</v>
      </c>
      <c r="J19" s="125" t="s">
        <v>26</v>
      </c>
      <c r="K19" s="70">
        <v>158.5</v>
      </c>
      <c r="L19" s="139">
        <v>89.5</v>
      </c>
      <c r="M19" s="119"/>
      <c r="N19" s="71">
        <f t="shared" si="0"/>
        <v>0</v>
      </c>
      <c r="O19" s="76"/>
    </row>
    <row r="20" spans="1:15" ht="14.4" x14ac:dyDescent="0.3">
      <c r="A20" s="148">
        <v>433</v>
      </c>
      <c r="B20" s="59" t="s">
        <v>492</v>
      </c>
      <c r="C20" s="59" t="s">
        <v>1079</v>
      </c>
      <c r="D20" s="115" t="s">
        <v>1086</v>
      </c>
      <c r="E20" s="59" t="s">
        <v>1092</v>
      </c>
      <c r="F20" s="115" t="s">
        <v>1088</v>
      </c>
      <c r="G20" s="59" t="s">
        <v>161</v>
      </c>
      <c r="H20" s="115" t="s">
        <v>162</v>
      </c>
      <c r="I20" s="115" t="s">
        <v>1093</v>
      </c>
      <c r="J20" s="125" t="s">
        <v>26</v>
      </c>
      <c r="K20" s="70">
        <v>165.5</v>
      </c>
      <c r="L20" s="139">
        <v>93.5</v>
      </c>
      <c r="M20" s="119"/>
      <c r="N20" s="71">
        <f t="shared" si="0"/>
        <v>0</v>
      </c>
      <c r="O20" s="76"/>
    </row>
    <row r="21" spans="1:15" ht="14.4" x14ac:dyDescent="0.3">
      <c r="A21" s="148">
        <v>434</v>
      </c>
      <c r="B21" s="59" t="s">
        <v>492</v>
      </c>
      <c r="C21" s="59" t="s">
        <v>1079</v>
      </c>
      <c r="D21" s="115" t="s">
        <v>1086</v>
      </c>
      <c r="E21" s="59" t="s">
        <v>1094</v>
      </c>
      <c r="F21" s="115" t="s">
        <v>1088</v>
      </c>
      <c r="G21" s="59" t="s">
        <v>161</v>
      </c>
      <c r="H21" s="115" t="s">
        <v>162</v>
      </c>
      <c r="I21" s="115" t="s">
        <v>44</v>
      </c>
      <c r="J21" s="125" t="s">
        <v>26</v>
      </c>
      <c r="K21" s="70">
        <v>172.5</v>
      </c>
      <c r="L21" s="139">
        <v>97.5</v>
      </c>
      <c r="M21" s="119"/>
      <c r="N21" s="71">
        <f t="shared" si="0"/>
        <v>0</v>
      </c>
      <c r="O21" s="76"/>
    </row>
    <row r="22" spans="1:15" ht="14.4" x14ac:dyDescent="0.3">
      <c r="A22" s="148">
        <v>435</v>
      </c>
      <c r="B22" s="59" t="s">
        <v>492</v>
      </c>
      <c r="C22" s="59" t="s">
        <v>1079</v>
      </c>
      <c r="D22" s="115" t="s">
        <v>1095</v>
      </c>
      <c r="E22" s="59" t="s">
        <v>1096</v>
      </c>
      <c r="F22" s="115" t="s">
        <v>1097</v>
      </c>
      <c r="G22" s="59" t="s">
        <v>1098</v>
      </c>
      <c r="H22" s="59" t="s">
        <v>1099</v>
      </c>
      <c r="I22" s="115" t="s">
        <v>804</v>
      </c>
      <c r="J22" s="125" t="s">
        <v>26</v>
      </c>
      <c r="K22" s="70">
        <v>174.5</v>
      </c>
      <c r="L22" s="139">
        <v>98.6</v>
      </c>
      <c r="M22" s="119"/>
      <c r="N22" s="71">
        <f t="shared" si="0"/>
        <v>0</v>
      </c>
      <c r="O22" s="76"/>
    </row>
    <row r="23" spans="1:15" ht="14.4" x14ac:dyDescent="0.3">
      <c r="A23" s="148">
        <v>436</v>
      </c>
      <c r="B23" s="59" t="s">
        <v>492</v>
      </c>
      <c r="C23" s="59" t="s">
        <v>1079</v>
      </c>
      <c r="D23" s="115" t="s">
        <v>1100</v>
      </c>
      <c r="E23" s="59" t="s">
        <v>1101</v>
      </c>
      <c r="F23" s="115" t="s">
        <v>1102</v>
      </c>
      <c r="G23" s="59" t="s">
        <v>161</v>
      </c>
      <c r="H23" s="59" t="s">
        <v>162</v>
      </c>
      <c r="I23" s="115" t="s">
        <v>34</v>
      </c>
      <c r="J23" s="125" t="s">
        <v>26</v>
      </c>
      <c r="K23" s="70">
        <v>73</v>
      </c>
      <c r="L23" s="139">
        <v>41.300000000000004</v>
      </c>
      <c r="M23" s="119"/>
      <c r="N23" s="71">
        <f t="shared" si="0"/>
        <v>0</v>
      </c>
      <c r="O23" s="76"/>
    </row>
    <row r="24" spans="1:15" ht="14.4" x14ac:dyDescent="0.3">
      <c r="A24" s="148">
        <v>437</v>
      </c>
      <c r="B24" s="59" t="s">
        <v>492</v>
      </c>
      <c r="C24" s="59" t="s">
        <v>1079</v>
      </c>
      <c r="D24" s="115" t="s">
        <v>1100</v>
      </c>
      <c r="E24" s="59" t="s">
        <v>1103</v>
      </c>
      <c r="F24" s="115" t="s">
        <v>1102</v>
      </c>
      <c r="G24" s="59" t="s">
        <v>161</v>
      </c>
      <c r="H24" s="59" t="s">
        <v>162</v>
      </c>
      <c r="I24" s="115" t="s">
        <v>36</v>
      </c>
      <c r="J24" s="125" t="s">
        <v>26</v>
      </c>
      <c r="K24" s="70">
        <v>75</v>
      </c>
      <c r="L24" s="139">
        <v>42.4</v>
      </c>
      <c r="M24" s="119"/>
      <c r="N24" s="71">
        <f t="shared" si="0"/>
        <v>0</v>
      </c>
      <c r="O24" s="76"/>
    </row>
    <row r="25" spans="1:15" ht="14.4" x14ac:dyDescent="0.3">
      <c r="A25" s="148">
        <v>438</v>
      </c>
      <c r="B25" s="59" t="s">
        <v>492</v>
      </c>
      <c r="C25" s="59" t="s">
        <v>1079</v>
      </c>
      <c r="D25" s="115" t="s">
        <v>1100</v>
      </c>
      <c r="E25" s="59" t="s">
        <v>1104</v>
      </c>
      <c r="F25" s="115" t="s">
        <v>1102</v>
      </c>
      <c r="G25" s="59" t="s">
        <v>161</v>
      </c>
      <c r="H25" s="59" t="s">
        <v>162</v>
      </c>
      <c r="I25" s="115" t="s">
        <v>38</v>
      </c>
      <c r="J25" s="125" t="s">
        <v>26</v>
      </c>
      <c r="K25" s="70">
        <v>78</v>
      </c>
      <c r="L25" s="139">
        <v>44.1</v>
      </c>
      <c r="M25" s="119"/>
      <c r="N25" s="71">
        <f t="shared" si="0"/>
        <v>0</v>
      </c>
      <c r="O25" s="76"/>
    </row>
    <row r="26" spans="1:15" ht="14.4" x14ac:dyDescent="0.3">
      <c r="A26" s="148">
        <v>439</v>
      </c>
      <c r="B26" s="59" t="s">
        <v>492</v>
      </c>
      <c r="C26" s="59" t="s">
        <v>1079</v>
      </c>
      <c r="D26" s="115" t="s">
        <v>1100</v>
      </c>
      <c r="E26" s="59" t="s">
        <v>1105</v>
      </c>
      <c r="F26" s="115" t="s">
        <v>1102</v>
      </c>
      <c r="G26" s="59" t="s">
        <v>161</v>
      </c>
      <c r="H26" s="59" t="s">
        <v>162</v>
      </c>
      <c r="I26" s="115" t="s">
        <v>40</v>
      </c>
      <c r="J26" s="125" t="s">
        <v>26</v>
      </c>
      <c r="K26" s="70">
        <v>81</v>
      </c>
      <c r="L26" s="139">
        <v>45.800000000000004</v>
      </c>
      <c r="M26" s="119"/>
      <c r="N26" s="71">
        <f t="shared" si="0"/>
        <v>0</v>
      </c>
      <c r="O26" s="76"/>
    </row>
    <row r="27" spans="1:15" ht="14.4" x14ac:dyDescent="0.3">
      <c r="A27" s="148">
        <v>440</v>
      </c>
      <c r="B27" s="59" t="s">
        <v>492</v>
      </c>
      <c r="C27" s="59" t="s">
        <v>1079</v>
      </c>
      <c r="D27" s="115" t="s">
        <v>1100</v>
      </c>
      <c r="E27" s="59" t="s">
        <v>1106</v>
      </c>
      <c r="F27" s="115" t="s">
        <v>1102</v>
      </c>
      <c r="G27" s="59" t="s">
        <v>161</v>
      </c>
      <c r="H27" s="59" t="s">
        <v>162</v>
      </c>
      <c r="I27" s="115" t="s">
        <v>42</v>
      </c>
      <c r="J27" s="125" t="s">
        <v>26</v>
      </c>
      <c r="K27" s="70">
        <v>84</v>
      </c>
      <c r="L27" s="139">
        <v>47.5</v>
      </c>
      <c r="M27" s="119"/>
      <c r="N27" s="71">
        <f t="shared" si="0"/>
        <v>0</v>
      </c>
      <c r="O27" s="76"/>
    </row>
    <row r="28" spans="1:15" ht="14.4" x14ac:dyDescent="0.3">
      <c r="A28" s="148">
        <v>441</v>
      </c>
      <c r="B28" s="59" t="s">
        <v>492</v>
      </c>
      <c r="C28" s="59" t="s">
        <v>1079</v>
      </c>
      <c r="D28" s="115" t="s">
        <v>1100</v>
      </c>
      <c r="E28" s="59" t="s">
        <v>1107</v>
      </c>
      <c r="F28" s="115" t="s">
        <v>1102</v>
      </c>
      <c r="G28" s="59" t="s">
        <v>161</v>
      </c>
      <c r="H28" s="59" t="s">
        <v>162</v>
      </c>
      <c r="I28" s="115" t="s">
        <v>52</v>
      </c>
      <c r="J28" s="125" t="s">
        <v>26</v>
      </c>
      <c r="K28" s="70">
        <v>87</v>
      </c>
      <c r="L28" s="139">
        <v>49.2</v>
      </c>
      <c r="M28" s="119"/>
      <c r="N28" s="71">
        <f t="shared" si="0"/>
        <v>0</v>
      </c>
      <c r="O28" s="76"/>
    </row>
    <row r="29" spans="1:15" ht="14.4" x14ac:dyDescent="0.3">
      <c r="A29" s="148">
        <v>442</v>
      </c>
      <c r="B29" s="59" t="s">
        <v>492</v>
      </c>
      <c r="C29" s="59" t="s">
        <v>1079</v>
      </c>
      <c r="D29" s="115" t="s">
        <v>1100</v>
      </c>
      <c r="E29" s="59" t="s">
        <v>1108</v>
      </c>
      <c r="F29" s="115" t="s">
        <v>1102</v>
      </c>
      <c r="G29" s="59" t="s">
        <v>161</v>
      </c>
      <c r="H29" s="59" t="s">
        <v>162</v>
      </c>
      <c r="I29" s="115" t="s">
        <v>44</v>
      </c>
      <c r="J29" s="125" t="s">
        <v>26</v>
      </c>
      <c r="K29" s="70">
        <v>90</v>
      </c>
      <c r="L29" s="139">
        <v>50.9</v>
      </c>
      <c r="M29" s="119"/>
      <c r="N29" s="71">
        <f t="shared" si="0"/>
        <v>0</v>
      </c>
      <c r="O29" s="76"/>
    </row>
    <row r="30" spans="1:15" ht="14.4" x14ac:dyDescent="0.3">
      <c r="A30" s="148">
        <v>443</v>
      </c>
      <c r="B30" s="59" t="s">
        <v>492</v>
      </c>
      <c r="C30" s="59" t="s">
        <v>1079</v>
      </c>
      <c r="D30" s="115" t="s">
        <v>1100</v>
      </c>
      <c r="E30" s="59" t="s">
        <v>1109</v>
      </c>
      <c r="F30" s="115" t="s">
        <v>1102</v>
      </c>
      <c r="G30" s="59" t="s">
        <v>161</v>
      </c>
      <c r="H30" s="59" t="s">
        <v>162</v>
      </c>
      <c r="I30" s="115" t="s">
        <v>71</v>
      </c>
      <c r="J30" s="125" t="s">
        <v>26</v>
      </c>
      <c r="K30" s="70">
        <v>93</v>
      </c>
      <c r="L30" s="139">
        <v>52.6</v>
      </c>
      <c r="M30" s="119"/>
      <c r="N30" s="71">
        <f t="shared" si="0"/>
        <v>0</v>
      </c>
      <c r="O30" s="76"/>
    </row>
    <row r="31" spans="1:15" ht="14.4" x14ac:dyDescent="0.3">
      <c r="A31" s="148">
        <v>444</v>
      </c>
      <c r="B31" s="59" t="s">
        <v>492</v>
      </c>
      <c r="C31" s="59" t="s">
        <v>1079</v>
      </c>
      <c r="D31" s="115" t="s">
        <v>1110</v>
      </c>
      <c r="E31" s="59" t="s">
        <v>1111</v>
      </c>
      <c r="F31" s="115" t="s">
        <v>1112</v>
      </c>
      <c r="G31" s="59" t="s">
        <v>161</v>
      </c>
      <c r="H31" s="59" t="s">
        <v>162</v>
      </c>
      <c r="I31" s="115" t="s">
        <v>32</v>
      </c>
      <c r="J31" s="125" t="s">
        <v>101</v>
      </c>
      <c r="K31" s="70">
        <v>61.5</v>
      </c>
      <c r="L31" s="139">
        <v>34.800000000000004</v>
      </c>
      <c r="M31" s="119"/>
      <c r="N31" s="71">
        <f t="shared" si="0"/>
        <v>0</v>
      </c>
      <c r="O31" s="76"/>
    </row>
    <row r="32" spans="1:15" ht="14.4" x14ac:dyDescent="0.3">
      <c r="A32" s="148">
        <v>445</v>
      </c>
      <c r="B32" s="59" t="s">
        <v>492</v>
      </c>
      <c r="C32" s="59" t="s">
        <v>1079</v>
      </c>
      <c r="D32" s="115" t="s">
        <v>1110</v>
      </c>
      <c r="E32" s="59" t="s">
        <v>1113</v>
      </c>
      <c r="F32" s="115" t="s">
        <v>1112</v>
      </c>
      <c r="G32" s="59" t="s">
        <v>161</v>
      </c>
      <c r="H32" s="59" t="s">
        <v>162</v>
      </c>
      <c r="I32" s="115" t="s">
        <v>34</v>
      </c>
      <c r="J32" s="125" t="s">
        <v>101</v>
      </c>
      <c r="K32" s="70">
        <v>63.5</v>
      </c>
      <c r="L32" s="139">
        <v>35.9</v>
      </c>
      <c r="M32" s="119"/>
      <c r="N32" s="71">
        <f t="shared" si="0"/>
        <v>0</v>
      </c>
      <c r="O32" s="76"/>
    </row>
    <row r="33" spans="1:15" ht="14.4" x14ac:dyDescent="0.3">
      <c r="A33" s="148">
        <v>446</v>
      </c>
      <c r="B33" s="59" t="s">
        <v>492</v>
      </c>
      <c r="C33" s="59" t="s">
        <v>1079</v>
      </c>
      <c r="D33" s="115" t="s">
        <v>1110</v>
      </c>
      <c r="E33" s="59" t="s">
        <v>1114</v>
      </c>
      <c r="F33" s="115" t="s">
        <v>1112</v>
      </c>
      <c r="G33" s="59" t="s">
        <v>161</v>
      </c>
      <c r="H33" s="59" t="s">
        <v>162</v>
      </c>
      <c r="I33" s="115" t="s">
        <v>36</v>
      </c>
      <c r="J33" s="125" t="s">
        <v>101</v>
      </c>
      <c r="K33" s="70">
        <v>65.5</v>
      </c>
      <c r="L33" s="139">
        <v>37</v>
      </c>
      <c r="M33" s="119"/>
      <c r="N33" s="71">
        <f t="shared" si="0"/>
        <v>0</v>
      </c>
      <c r="O33" s="76"/>
    </row>
    <row r="34" spans="1:15" ht="14.4" x14ac:dyDescent="0.3">
      <c r="A34" s="148">
        <v>447</v>
      </c>
      <c r="B34" s="59" t="s">
        <v>492</v>
      </c>
      <c r="C34" s="59" t="s">
        <v>1079</v>
      </c>
      <c r="D34" s="115" t="s">
        <v>1110</v>
      </c>
      <c r="E34" s="59" t="s">
        <v>1115</v>
      </c>
      <c r="F34" s="115" t="s">
        <v>1112</v>
      </c>
      <c r="G34" s="59" t="s">
        <v>161</v>
      </c>
      <c r="H34" s="59" t="s">
        <v>162</v>
      </c>
      <c r="I34" s="115" t="s">
        <v>38</v>
      </c>
      <c r="J34" s="125" t="s">
        <v>101</v>
      </c>
      <c r="K34" s="70">
        <v>67.5</v>
      </c>
      <c r="L34" s="139">
        <v>38.200000000000003</v>
      </c>
      <c r="M34" s="119"/>
      <c r="N34" s="71">
        <f t="shared" si="0"/>
        <v>0</v>
      </c>
      <c r="O34" s="76"/>
    </row>
    <row r="35" spans="1:15" ht="14.4" x14ac:dyDescent="0.3">
      <c r="A35" s="148">
        <v>448</v>
      </c>
      <c r="B35" s="59" t="s">
        <v>492</v>
      </c>
      <c r="C35" s="59" t="s">
        <v>1079</v>
      </c>
      <c r="D35" s="115" t="s">
        <v>1110</v>
      </c>
      <c r="E35" s="59" t="s">
        <v>1116</v>
      </c>
      <c r="F35" s="115" t="s">
        <v>1112</v>
      </c>
      <c r="G35" s="59" t="s">
        <v>161</v>
      </c>
      <c r="H35" s="59" t="s">
        <v>162</v>
      </c>
      <c r="I35" s="115" t="s">
        <v>40</v>
      </c>
      <c r="J35" s="125" t="s">
        <v>101</v>
      </c>
      <c r="K35" s="70">
        <v>69.5</v>
      </c>
      <c r="L35" s="139">
        <v>39.300000000000004</v>
      </c>
      <c r="M35" s="119"/>
      <c r="N35" s="71">
        <f t="shared" si="0"/>
        <v>0</v>
      </c>
      <c r="O35" s="76"/>
    </row>
    <row r="36" spans="1:15" ht="14.4" x14ac:dyDescent="0.3">
      <c r="A36" s="148">
        <v>449</v>
      </c>
      <c r="B36" s="59" t="s">
        <v>492</v>
      </c>
      <c r="C36" s="59" t="s">
        <v>1079</v>
      </c>
      <c r="D36" s="115" t="s">
        <v>1110</v>
      </c>
      <c r="E36" s="59" t="s">
        <v>1117</v>
      </c>
      <c r="F36" s="115" t="s">
        <v>1112</v>
      </c>
      <c r="G36" s="59" t="s">
        <v>161</v>
      </c>
      <c r="H36" s="59" t="s">
        <v>162</v>
      </c>
      <c r="I36" s="115" t="s">
        <v>42</v>
      </c>
      <c r="J36" s="125" t="s">
        <v>101</v>
      </c>
      <c r="K36" s="70">
        <v>71.5</v>
      </c>
      <c r="L36" s="139">
        <v>40.4</v>
      </c>
      <c r="M36" s="119"/>
      <c r="N36" s="71">
        <f t="shared" si="0"/>
        <v>0</v>
      </c>
      <c r="O36" s="76"/>
    </row>
    <row r="37" spans="1:15" ht="14.4" x14ac:dyDescent="0.3">
      <c r="A37" s="148">
        <v>450</v>
      </c>
      <c r="B37" s="59" t="s">
        <v>492</v>
      </c>
      <c r="C37" s="59" t="s">
        <v>1079</v>
      </c>
      <c r="D37" s="115" t="s">
        <v>1110</v>
      </c>
      <c r="E37" s="59" t="s">
        <v>1118</v>
      </c>
      <c r="F37" s="115" t="s">
        <v>1112</v>
      </c>
      <c r="G37" s="59" t="s">
        <v>161</v>
      </c>
      <c r="H37" s="59" t="s">
        <v>162</v>
      </c>
      <c r="I37" s="115" t="s">
        <v>52</v>
      </c>
      <c r="J37" s="125" t="s">
        <v>101</v>
      </c>
      <c r="K37" s="70">
        <v>73.5</v>
      </c>
      <c r="L37" s="139">
        <v>41.6</v>
      </c>
      <c r="M37" s="119"/>
      <c r="N37" s="71">
        <f t="shared" si="0"/>
        <v>0</v>
      </c>
      <c r="O37" s="76"/>
    </row>
    <row r="38" spans="1:15" ht="14.4" x14ac:dyDescent="0.3">
      <c r="A38" s="148">
        <v>451</v>
      </c>
      <c r="B38" s="59" t="s">
        <v>492</v>
      </c>
      <c r="C38" s="59" t="s">
        <v>1079</v>
      </c>
      <c r="D38" s="115" t="s">
        <v>1110</v>
      </c>
      <c r="E38" s="59" t="s">
        <v>1119</v>
      </c>
      <c r="F38" s="115" t="s">
        <v>1112</v>
      </c>
      <c r="G38" s="59" t="s">
        <v>161</v>
      </c>
      <c r="H38" s="59" t="s">
        <v>162</v>
      </c>
      <c r="I38" s="115" t="s">
        <v>44</v>
      </c>
      <c r="J38" s="125" t="s">
        <v>101</v>
      </c>
      <c r="K38" s="70">
        <v>75.5</v>
      </c>
      <c r="L38" s="139">
        <v>42.7</v>
      </c>
      <c r="M38" s="119"/>
      <c r="N38" s="71">
        <f t="shared" si="0"/>
        <v>0</v>
      </c>
      <c r="O38" s="76"/>
    </row>
    <row r="39" spans="1:15" ht="14.4" x14ac:dyDescent="0.3">
      <c r="A39" s="148">
        <v>452</v>
      </c>
      <c r="B39" s="59" t="s">
        <v>492</v>
      </c>
      <c r="C39" s="59" t="s">
        <v>1079</v>
      </c>
      <c r="D39" s="115" t="s">
        <v>1110</v>
      </c>
      <c r="E39" s="59" t="s">
        <v>1120</v>
      </c>
      <c r="F39" s="115" t="s">
        <v>1112</v>
      </c>
      <c r="G39" s="59" t="s">
        <v>161</v>
      </c>
      <c r="H39" s="59" t="s">
        <v>162</v>
      </c>
      <c r="I39" s="115" t="s">
        <v>54</v>
      </c>
      <c r="J39" s="125" t="s">
        <v>101</v>
      </c>
      <c r="K39" s="70">
        <v>77.5</v>
      </c>
      <c r="L39" s="139">
        <v>43.800000000000004</v>
      </c>
      <c r="M39" s="119"/>
      <c r="N39" s="71">
        <f t="shared" si="0"/>
        <v>0</v>
      </c>
      <c r="O39" s="76"/>
    </row>
    <row r="40" spans="1:15" ht="14.4" x14ac:dyDescent="0.3">
      <c r="A40" s="148">
        <v>453</v>
      </c>
      <c r="B40" s="59" t="s">
        <v>492</v>
      </c>
      <c r="C40" s="59" t="s">
        <v>1079</v>
      </c>
      <c r="D40" s="115" t="s">
        <v>1110</v>
      </c>
      <c r="E40" s="59" t="s">
        <v>1121</v>
      </c>
      <c r="F40" s="115" t="s">
        <v>1112</v>
      </c>
      <c r="G40" s="59" t="s">
        <v>161</v>
      </c>
      <c r="H40" s="59" t="s">
        <v>162</v>
      </c>
      <c r="I40" s="115" t="s">
        <v>118</v>
      </c>
      <c r="J40" s="125" t="s">
        <v>101</v>
      </c>
      <c r="K40" s="70">
        <v>79.5</v>
      </c>
      <c r="L40" s="139">
        <v>44.9</v>
      </c>
      <c r="M40" s="119"/>
      <c r="N40" s="71">
        <f t="shared" si="0"/>
        <v>0</v>
      </c>
      <c r="O40" s="76"/>
    </row>
    <row r="41" spans="1:15" ht="14.4" x14ac:dyDescent="0.3">
      <c r="A41" s="148">
        <v>454</v>
      </c>
      <c r="B41" s="59" t="s">
        <v>492</v>
      </c>
      <c r="C41" s="59" t="s">
        <v>1079</v>
      </c>
      <c r="D41" s="115" t="s">
        <v>1110</v>
      </c>
      <c r="E41" s="59" t="s">
        <v>1122</v>
      </c>
      <c r="F41" s="115" t="s">
        <v>1112</v>
      </c>
      <c r="G41" s="59" t="s">
        <v>161</v>
      </c>
      <c r="H41" s="59" t="s">
        <v>162</v>
      </c>
      <c r="I41" s="115" t="s">
        <v>120</v>
      </c>
      <c r="J41" s="125" t="s">
        <v>101</v>
      </c>
      <c r="K41" s="70">
        <v>82</v>
      </c>
      <c r="L41" s="139">
        <v>46.4</v>
      </c>
      <c r="M41" s="119"/>
      <c r="N41" s="71">
        <f t="shared" si="0"/>
        <v>0</v>
      </c>
      <c r="O41" s="76"/>
    </row>
    <row r="42" spans="1:15" ht="14.4" x14ac:dyDescent="0.3">
      <c r="A42" s="148">
        <v>455</v>
      </c>
      <c r="B42" s="59" t="s">
        <v>492</v>
      </c>
      <c r="C42" s="59" t="s">
        <v>1079</v>
      </c>
      <c r="D42" s="115" t="s">
        <v>1110</v>
      </c>
      <c r="E42" s="59" t="s">
        <v>1123</v>
      </c>
      <c r="F42" s="115" t="s">
        <v>1112</v>
      </c>
      <c r="G42" s="59" t="s">
        <v>161</v>
      </c>
      <c r="H42" s="59" t="s">
        <v>162</v>
      </c>
      <c r="I42" s="115" t="s">
        <v>122</v>
      </c>
      <c r="J42" s="125" t="s">
        <v>101</v>
      </c>
      <c r="K42" s="70">
        <v>84</v>
      </c>
      <c r="L42" s="139">
        <v>47.5</v>
      </c>
      <c r="M42" s="119"/>
      <c r="N42" s="71">
        <f t="shared" si="0"/>
        <v>0</v>
      </c>
      <c r="O42" s="76"/>
    </row>
    <row r="43" spans="1:15" ht="14.4" x14ac:dyDescent="0.3">
      <c r="A43" s="148">
        <v>456</v>
      </c>
      <c r="B43" s="59" t="s">
        <v>492</v>
      </c>
      <c r="C43" s="59" t="s">
        <v>1079</v>
      </c>
      <c r="D43" s="115" t="s">
        <v>1124</v>
      </c>
      <c r="E43" s="59" t="s">
        <v>1125</v>
      </c>
      <c r="F43" s="115" t="s">
        <v>1126</v>
      </c>
      <c r="G43" s="59" t="s">
        <v>161</v>
      </c>
      <c r="H43" s="59" t="s">
        <v>162</v>
      </c>
      <c r="I43" s="115" t="s">
        <v>135</v>
      </c>
      <c r="J43" s="125" t="s">
        <v>101</v>
      </c>
      <c r="K43" s="70">
        <v>65</v>
      </c>
      <c r="L43" s="139">
        <v>36.800000000000004</v>
      </c>
      <c r="M43" s="119"/>
      <c r="N43" s="71">
        <f t="shared" si="0"/>
        <v>0</v>
      </c>
      <c r="O43" s="76"/>
    </row>
    <row r="44" spans="1:15" ht="14.4" x14ac:dyDescent="0.3">
      <c r="A44" s="148">
        <v>457</v>
      </c>
      <c r="B44" s="59" t="s">
        <v>492</v>
      </c>
      <c r="C44" s="59" t="s">
        <v>1079</v>
      </c>
      <c r="D44" s="115" t="s">
        <v>1124</v>
      </c>
      <c r="E44" s="59" t="s">
        <v>1127</v>
      </c>
      <c r="F44" s="115" t="s">
        <v>1126</v>
      </c>
      <c r="G44" s="59" t="s">
        <v>161</v>
      </c>
      <c r="H44" s="59" t="s">
        <v>162</v>
      </c>
      <c r="I44" s="115" t="s">
        <v>137</v>
      </c>
      <c r="J44" s="125" t="s">
        <v>101</v>
      </c>
      <c r="K44" s="70">
        <v>70</v>
      </c>
      <c r="L44" s="139">
        <v>39.6</v>
      </c>
      <c r="M44" s="119"/>
      <c r="N44" s="71">
        <f t="shared" si="0"/>
        <v>0</v>
      </c>
      <c r="O44" s="76"/>
    </row>
    <row r="45" spans="1:15" ht="14.4" x14ac:dyDescent="0.3">
      <c r="A45" s="148">
        <v>458</v>
      </c>
      <c r="B45" s="59" t="s">
        <v>492</v>
      </c>
      <c r="C45" s="59" t="s">
        <v>1079</v>
      </c>
      <c r="D45" s="115" t="s">
        <v>1124</v>
      </c>
      <c r="E45" s="59" t="s">
        <v>1128</v>
      </c>
      <c r="F45" s="115" t="s">
        <v>1126</v>
      </c>
      <c r="G45" s="59" t="s">
        <v>161</v>
      </c>
      <c r="H45" s="115" t="s">
        <v>162</v>
      </c>
      <c r="I45" s="115" t="s">
        <v>139</v>
      </c>
      <c r="J45" s="125" t="s">
        <v>101</v>
      </c>
      <c r="K45" s="70">
        <v>75</v>
      </c>
      <c r="L45" s="139">
        <v>42.4</v>
      </c>
      <c r="M45" s="119"/>
      <c r="N45" s="71">
        <f t="shared" si="0"/>
        <v>0</v>
      </c>
      <c r="O45" s="76"/>
    </row>
    <row r="46" spans="1:15" ht="14.4" x14ac:dyDescent="0.3">
      <c r="A46" s="148">
        <v>459</v>
      </c>
      <c r="B46" s="59" t="s">
        <v>492</v>
      </c>
      <c r="C46" s="59" t="s">
        <v>1079</v>
      </c>
      <c r="D46" s="115" t="s">
        <v>1124</v>
      </c>
      <c r="E46" s="59" t="s">
        <v>1129</v>
      </c>
      <c r="F46" s="115" t="s">
        <v>1126</v>
      </c>
      <c r="G46" s="59" t="s">
        <v>161</v>
      </c>
      <c r="H46" s="115" t="s">
        <v>162</v>
      </c>
      <c r="I46" s="115" t="s">
        <v>141</v>
      </c>
      <c r="J46" s="125" t="s">
        <v>101</v>
      </c>
      <c r="K46" s="70">
        <v>80</v>
      </c>
      <c r="L46" s="139">
        <v>45.2</v>
      </c>
      <c r="M46" s="119"/>
      <c r="N46" s="71">
        <f t="shared" ref="N46:N77" si="1">M46*L46</f>
        <v>0</v>
      </c>
      <c r="O46" s="76"/>
    </row>
    <row r="47" spans="1:15" ht="14.4" x14ac:dyDescent="0.3">
      <c r="A47" s="148">
        <v>460</v>
      </c>
      <c r="B47" s="59" t="s">
        <v>492</v>
      </c>
      <c r="C47" s="59" t="s">
        <v>1079</v>
      </c>
      <c r="D47" s="115" t="s">
        <v>1124</v>
      </c>
      <c r="E47" s="59" t="s">
        <v>1130</v>
      </c>
      <c r="F47" s="115" t="s">
        <v>1126</v>
      </c>
      <c r="G47" s="59" t="s">
        <v>161</v>
      </c>
      <c r="H47" s="115" t="s">
        <v>162</v>
      </c>
      <c r="I47" s="115" t="s">
        <v>40</v>
      </c>
      <c r="J47" s="125" t="s">
        <v>101</v>
      </c>
      <c r="K47" s="70">
        <v>85</v>
      </c>
      <c r="L47" s="139">
        <v>48</v>
      </c>
      <c r="M47" s="119"/>
      <c r="N47" s="71">
        <f t="shared" si="1"/>
        <v>0</v>
      </c>
      <c r="O47" s="76"/>
    </row>
    <row r="48" spans="1:15" ht="14.4" x14ac:dyDescent="0.3">
      <c r="A48" s="148">
        <v>461</v>
      </c>
      <c r="B48" s="59" t="s">
        <v>492</v>
      </c>
      <c r="C48" s="59" t="s">
        <v>1079</v>
      </c>
      <c r="D48" s="115" t="s">
        <v>1124</v>
      </c>
      <c r="E48" s="59" t="s">
        <v>1131</v>
      </c>
      <c r="F48" s="115" t="s">
        <v>1126</v>
      </c>
      <c r="G48" s="59" t="s">
        <v>161</v>
      </c>
      <c r="H48" s="115" t="s">
        <v>162</v>
      </c>
      <c r="I48" s="115" t="s">
        <v>42</v>
      </c>
      <c r="J48" s="125" t="s">
        <v>101</v>
      </c>
      <c r="K48" s="70">
        <v>90</v>
      </c>
      <c r="L48" s="139">
        <v>50.9</v>
      </c>
      <c r="M48" s="119"/>
      <c r="N48" s="71">
        <f t="shared" si="1"/>
        <v>0</v>
      </c>
      <c r="O48" s="76"/>
    </row>
    <row r="49" spans="1:15" ht="14.4" x14ac:dyDescent="0.3">
      <c r="A49" s="148">
        <v>462</v>
      </c>
      <c r="B49" s="59" t="s">
        <v>492</v>
      </c>
      <c r="C49" s="59" t="s">
        <v>1079</v>
      </c>
      <c r="D49" s="115" t="s">
        <v>1124</v>
      </c>
      <c r="E49" s="59" t="s">
        <v>1132</v>
      </c>
      <c r="F49" s="115" t="s">
        <v>1126</v>
      </c>
      <c r="G49" s="59" t="s">
        <v>161</v>
      </c>
      <c r="H49" s="115" t="s">
        <v>162</v>
      </c>
      <c r="I49" s="115" t="s">
        <v>52</v>
      </c>
      <c r="J49" s="125" t="s">
        <v>101</v>
      </c>
      <c r="K49" s="70">
        <v>95</v>
      </c>
      <c r="L49" s="139">
        <v>53.7</v>
      </c>
      <c r="M49" s="119"/>
      <c r="N49" s="71">
        <f t="shared" si="1"/>
        <v>0</v>
      </c>
      <c r="O49" s="76"/>
    </row>
    <row r="50" spans="1:15" ht="14.4" x14ac:dyDescent="0.3">
      <c r="A50" s="148">
        <v>463</v>
      </c>
      <c r="B50" s="59" t="s">
        <v>492</v>
      </c>
      <c r="C50" s="59" t="s">
        <v>1079</v>
      </c>
      <c r="D50" s="115" t="s">
        <v>1124</v>
      </c>
      <c r="E50" s="59" t="s">
        <v>1133</v>
      </c>
      <c r="F50" s="115" t="s">
        <v>1126</v>
      </c>
      <c r="G50" s="59" t="s">
        <v>161</v>
      </c>
      <c r="H50" s="115" t="s">
        <v>162</v>
      </c>
      <c r="I50" s="115" t="s">
        <v>44</v>
      </c>
      <c r="J50" s="125" t="s">
        <v>101</v>
      </c>
      <c r="K50" s="70">
        <v>100</v>
      </c>
      <c r="L50" s="139">
        <v>56.5</v>
      </c>
      <c r="M50" s="119"/>
      <c r="N50" s="71">
        <f t="shared" si="1"/>
        <v>0</v>
      </c>
      <c r="O50" s="76"/>
    </row>
    <row r="51" spans="1:15" ht="14.4" x14ac:dyDescent="0.3">
      <c r="A51" s="148">
        <v>464</v>
      </c>
      <c r="B51" s="59" t="s">
        <v>492</v>
      </c>
      <c r="C51" s="59" t="s">
        <v>1079</v>
      </c>
      <c r="D51" s="115" t="s">
        <v>1134</v>
      </c>
      <c r="E51" s="59" t="s">
        <v>1135</v>
      </c>
      <c r="F51" s="115" t="s">
        <v>1136</v>
      </c>
      <c r="G51" s="59" t="s">
        <v>161</v>
      </c>
      <c r="H51" s="115" t="s">
        <v>162</v>
      </c>
      <c r="I51" s="115" t="s">
        <v>36</v>
      </c>
      <c r="J51" s="125" t="s">
        <v>101</v>
      </c>
      <c r="K51" s="70">
        <v>65</v>
      </c>
      <c r="L51" s="139">
        <v>36.800000000000004</v>
      </c>
      <c r="M51" s="119"/>
      <c r="N51" s="71">
        <f t="shared" si="1"/>
        <v>0</v>
      </c>
      <c r="O51" s="76"/>
    </row>
    <row r="52" spans="1:15" ht="14.4" x14ac:dyDescent="0.3">
      <c r="A52" s="148">
        <v>465</v>
      </c>
      <c r="B52" s="59" t="s">
        <v>492</v>
      </c>
      <c r="C52" s="59" t="s">
        <v>1079</v>
      </c>
      <c r="D52" s="115" t="s">
        <v>1134</v>
      </c>
      <c r="E52" s="59" t="s">
        <v>1137</v>
      </c>
      <c r="F52" s="115" t="s">
        <v>1136</v>
      </c>
      <c r="G52" s="59" t="s">
        <v>161</v>
      </c>
      <c r="H52" s="115" t="s">
        <v>162</v>
      </c>
      <c r="I52" s="115" t="s">
        <v>38</v>
      </c>
      <c r="J52" s="125" t="s">
        <v>101</v>
      </c>
      <c r="K52" s="70">
        <v>70</v>
      </c>
      <c r="L52" s="139">
        <v>39.6</v>
      </c>
      <c r="M52" s="119"/>
      <c r="N52" s="71">
        <f t="shared" si="1"/>
        <v>0</v>
      </c>
      <c r="O52" s="76"/>
    </row>
    <row r="53" spans="1:15" ht="14.4" x14ac:dyDescent="0.3">
      <c r="A53" s="148">
        <v>466</v>
      </c>
      <c r="B53" s="59" t="s">
        <v>492</v>
      </c>
      <c r="C53" s="59" t="s">
        <v>1079</v>
      </c>
      <c r="D53" s="115" t="s">
        <v>1134</v>
      </c>
      <c r="E53" s="59" t="s">
        <v>1138</v>
      </c>
      <c r="F53" s="115" t="s">
        <v>1136</v>
      </c>
      <c r="G53" s="59" t="s">
        <v>161</v>
      </c>
      <c r="H53" s="115" t="s">
        <v>162</v>
      </c>
      <c r="I53" s="115" t="s">
        <v>40</v>
      </c>
      <c r="J53" s="125" t="s">
        <v>101</v>
      </c>
      <c r="K53" s="70">
        <v>75</v>
      </c>
      <c r="L53" s="139">
        <v>42.4</v>
      </c>
      <c r="M53" s="119"/>
      <c r="N53" s="71">
        <f t="shared" si="1"/>
        <v>0</v>
      </c>
      <c r="O53" s="76"/>
    </row>
    <row r="54" spans="1:15" ht="14.4" x14ac:dyDescent="0.3">
      <c r="A54" s="148">
        <v>467</v>
      </c>
      <c r="B54" s="59" t="s">
        <v>492</v>
      </c>
      <c r="C54" s="59" t="s">
        <v>1079</v>
      </c>
      <c r="D54" s="115" t="s">
        <v>1134</v>
      </c>
      <c r="E54" s="59" t="s">
        <v>1139</v>
      </c>
      <c r="F54" s="115" t="s">
        <v>1136</v>
      </c>
      <c r="G54" s="59" t="s">
        <v>161</v>
      </c>
      <c r="H54" s="115" t="s">
        <v>162</v>
      </c>
      <c r="I54" s="115" t="s">
        <v>42</v>
      </c>
      <c r="J54" s="125" t="s">
        <v>101</v>
      </c>
      <c r="K54" s="70">
        <v>80</v>
      </c>
      <c r="L54" s="139">
        <v>45.2</v>
      </c>
      <c r="M54" s="119"/>
      <c r="N54" s="71">
        <f t="shared" si="1"/>
        <v>0</v>
      </c>
      <c r="O54" s="76"/>
    </row>
    <row r="55" spans="1:15" ht="14.4" x14ac:dyDescent="0.3">
      <c r="A55" s="148">
        <v>468</v>
      </c>
      <c r="B55" s="59" t="s">
        <v>492</v>
      </c>
      <c r="C55" s="59" t="s">
        <v>1079</v>
      </c>
      <c r="D55" s="115" t="s">
        <v>1134</v>
      </c>
      <c r="E55" s="59" t="s">
        <v>1140</v>
      </c>
      <c r="F55" s="115" t="s">
        <v>1136</v>
      </c>
      <c r="G55" s="59" t="s">
        <v>161</v>
      </c>
      <c r="H55" s="115" t="s">
        <v>162</v>
      </c>
      <c r="I55" s="115" t="s">
        <v>52</v>
      </c>
      <c r="J55" s="125" t="s">
        <v>101</v>
      </c>
      <c r="K55" s="70">
        <v>85</v>
      </c>
      <c r="L55" s="139">
        <v>48</v>
      </c>
      <c r="M55" s="119"/>
      <c r="N55" s="71">
        <f t="shared" si="1"/>
        <v>0</v>
      </c>
      <c r="O55" s="76"/>
    </row>
    <row r="56" spans="1:15" ht="14.4" x14ac:dyDescent="0.3">
      <c r="A56" s="148">
        <v>469</v>
      </c>
      <c r="B56" s="59" t="s">
        <v>492</v>
      </c>
      <c r="C56" s="59" t="s">
        <v>1079</v>
      </c>
      <c r="D56" s="115" t="s">
        <v>1134</v>
      </c>
      <c r="E56" s="59" t="s">
        <v>1141</v>
      </c>
      <c r="F56" s="115" t="s">
        <v>1136</v>
      </c>
      <c r="G56" s="59" t="s">
        <v>161</v>
      </c>
      <c r="H56" s="115" t="s">
        <v>162</v>
      </c>
      <c r="I56" s="115" t="s">
        <v>44</v>
      </c>
      <c r="J56" s="125" t="s">
        <v>101</v>
      </c>
      <c r="K56" s="70">
        <v>90</v>
      </c>
      <c r="L56" s="139">
        <v>50.9</v>
      </c>
      <c r="M56" s="119"/>
      <c r="N56" s="71">
        <f t="shared" si="1"/>
        <v>0</v>
      </c>
      <c r="O56" s="76"/>
    </row>
    <row r="57" spans="1:15" ht="14.4" x14ac:dyDescent="0.3">
      <c r="A57" s="148">
        <v>470</v>
      </c>
      <c r="B57" s="59" t="s">
        <v>492</v>
      </c>
      <c r="C57" s="59" t="s">
        <v>1079</v>
      </c>
      <c r="D57" s="115" t="s">
        <v>1134</v>
      </c>
      <c r="E57" s="59" t="s">
        <v>1142</v>
      </c>
      <c r="F57" s="115" t="s">
        <v>1136</v>
      </c>
      <c r="G57" s="59" t="s">
        <v>161</v>
      </c>
      <c r="H57" s="115" t="s">
        <v>162</v>
      </c>
      <c r="I57" s="115" t="s">
        <v>54</v>
      </c>
      <c r="J57" s="125" t="s">
        <v>101</v>
      </c>
      <c r="K57" s="70">
        <v>95</v>
      </c>
      <c r="L57" s="139">
        <v>53.7</v>
      </c>
      <c r="M57" s="119"/>
      <c r="N57" s="71">
        <f t="shared" si="1"/>
        <v>0</v>
      </c>
      <c r="O57" s="76"/>
    </row>
    <row r="58" spans="1:15" ht="14.4" x14ac:dyDescent="0.3">
      <c r="A58" s="148">
        <v>471</v>
      </c>
      <c r="B58" s="59" t="s">
        <v>492</v>
      </c>
      <c r="C58" s="59" t="s">
        <v>1079</v>
      </c>
      <c r="D58" s="115" t="s">
        <v>1134</v>
      </c>
      <c r="E58" s="59" t="s">
        <v>1143</v>
      </c>
      <c r="F58" s="115" t="s">
        <v>1136</v>
      </c>
      <c r="G58" s="59" t="s">
        <v>161</v>
      </c>
      <c r="H58" s="115" t="s">
        <v>162</v>
      </c>
      <c r="I58" s="115" t="s">
        <v>118</v>
      </c>
      <c r="J58" s="125" t="s">
        <v>101</v>
      </c>
      <c r="K58" s="70">
        <v>100</v>
      </c>
      <c r="L58" s="139">
        <v>56.5</v>
      </c>
      <c r="M58" s="119"/>
      <c r="N58" s="71">
        <f t="shared" si="1"/>
        <v>0</v>
      </c>
      <c r="O58" s="76"/>
    </row>
    <row r="59" spans="1:15" ht="14.4" x14ac:dyDescent="0.3">
      <c r="A59" s="148">
        <v>472</v>
      </c>
      <c r="B59" s="59" t="s">
        <v>492</v>
      </c>
      <c r="C59" s="59" t="s">
        <v>1079</v>
      </c>
      <c r="D59" s="115" t="s">
        <v>1134</v>
      </c>
      <c r="E59" s="59" t="s">
        <v>1144</v>
      </c>
      <c r="F59" s="115" t="s">
        <v>1136</v>
      </c>
      <c r="G59" s="59" t="s">
        <v>161</v>
      </c>
      <c r="H59" s="115" t="s">
        <v>162</v>
      </c>
      <c r="I59" s="115" t="s">
        <v>120</v>
      </c>
      <c r="J59" s="125" t="s">
        <v>101</v>
      </c>
      <c r="K59" s="70">
        <v>105</v>
      </c>
      <c r="L59" s="139">
        <v>59.300000000000004</v>
      </c>
      <c r="M59" s="119"/>
      <c r="N59" s="71">
        <f t="shared" si="1"/>
        <v>0</v>
      </c>
      <c r="O59" s="76"/>
    </row>
    <row r="60" spans="1:15" ht="14.4" x14ac:dyDescent="0.3">
      <c r="A60" s="148">
        <v>473</v>
      </c>
      <c r="B60" s="59" t="s">
        <v>492</v>
      </c>
      <c r="C60" s="59" t="s">
        <v>1079</v>
      </c>
      <c r="D60" s="115" t="s">
        <v>1145</v>
      </c>
      <c r="E60" s="59" t="s">
        <v>1146</v>
      </c>
      <c r="F60" s="115" t="s">
        <v>1147</v>
      </c>
      <c r="G60" s="59" t="s">
        <v>161</v>
      </c>
      <c r="H60" s="115" t="s">
        <v>162</v>
      </c>
      <c r="I60" s="115" t="s">
        <v>440</v>
      </c>
      <c r="J60" s="125" t="s">
        <v>26</v>
      </c>
      <c r="K60" s="70">
        <v>160</v>
      </c>
      <c r="L60" s="139">
        <v>90.399999999999991</v>
      </c>
      <c r="M60" s="119"/>
      <c r="N60" s="71">
        <f t="shared" si="1"/>
        <v>0</v>
      </c>
      <c r="O60" s="76"/>
    </row>
    <row r="61" spans="1:15" ht="14.4" x14ac:dyDescent="0.3">
      <c r="A61" s="148">
        <v>474</v>
      </c>
      <c r="B61" s="59" t="s">
        <v>492</v>
      </c>
      <c r="C61" s="59" t="s">
        <v>1079</v>
      </c>
      <c r="D61" s="115" t="s">
        <v>1145</v>
      </c>
      <c r="E61" s="59" t="s">
        <v>1148</v>
      </c>
      <c r="F61" s="115" t="s">
        <v>1147</v>
      </c>
      <c r="G61" s="59" t="s">
        <v>161</v>
      </c>
      <c r="H61" s="115" t="s">
        <v>162</v>
      </c>
      <c r="I61" s="115" t="s">
        <v>461</v>
      </c>
      <c r="J61" s="125" t="s">
        <v>26</v>
      </c>
      <c r="K61" s="70">
        <v>180</v>
      </c>
      <c r="L61" s="139">
        <v>101.69999999999999</v>
      </c>
      <c r="M61" s="119"/>
      <c r="N61" s="71">
        <f t="shared" si="1"/>
        <v>0</v>
      </c>
      <c r="O61" s="76"/>
    </row>
    <row r="62" spans="1:15" ht="14.4" x14ac:dyDescent="0.3">
      <c r="A62" s="148">
        <v>475</v>
      </c>
      <c r="B62" s="59" t="s">
        <v>492</v>
      </c>
      <c r="C62" s="59" t="s">
        <v>1079</v>
      </c>
      <c r="D62" s="115" t="s">
        <v>1145</v>
      </c>
      <c r="E62" s="59" t="s">
        <v>1149</v>
      </c>
      <c r="F62" s="115" t="s">
        <v>1147</v>
      </c>
      <c r="G62" s="59" t="s">
        <v>161</v>
      </c>
      <c r="H62" s="115" t="s">
        <v>162</v>
      </c>
      <c r="I62" s="115" t="s">
        <v>404</v>
      </c>
      <c r="J62" s="125" t="s">
        <v>26</v>
      </c>
      <c r="K62" s="70">
        <v>200</v>
      </c>
      <c r="L62" s="139">
        <v>113</v>
      </c>
      <c r="M62" s="119"/>
      <c r="N62" s="71">
        <f t="shared" si="1"/>
        <v>0</v>
      </c>
      <c r="O62" s="76"/>
    </row>
    <row r="63" spans="1:15" ht="14.4" x14ac:dyDescent="0.3">
      <c r="A63" s="148">
        <v>476</v>
      </c>
      <c r="B63" s="59" t="s">
        <v>492</v>
      </c>
      <c r="C63" s="59" t="s">
        <v>1079</v>
      </c>
      <c r="D63" s="115" t="s">
        <v>1145</v>
      </c>
      <c r="E63" s="59" t="s">
        <v>1150</v>
      </c>
      <c r="F63" s="115" t="s">
        <v>1147</v>
      </c>
      <c r="G63" s="59" t="s">
        <v>161</v>
      </c>
      <c r="H63" s="115" t="s">
        <v>162</v>
      </c>
      <c r="I63" s="115" t="s">
        <v>464</v>
      </c>
      <c r="J63" s="125" t="s">
        <v>26</v>
      </c>
      <c r="K63" s="70">
        <v>220</v>
      </c>
      <c r="L63" s="139">
        <v>124.3</v>
      </c>
      <c r="M63" s="119"/>
      <c r="N63" s="71">
        <f t="shared" si="1"/>
        <v>0</v>
      </c>
      <c r="O63" s="76"/>
    </row>
    <row r="64" spans="1:15" ht="14.4" x14ac:dyDescent="0.3">
      <c r="A64" s="148">
        <v>477</v>
      </c>
      <c r="B64" s="59" t="s">
        <v>1033</v>
      </c>
      <c r="C64" s="59" t="s">
        <v>1079</v>
      </c>
      <c r="D64" s="115" t="s">
        <v>1151</v>
      </c>
      <c r="E64" s="59" t="s">
        <v>1152</v>
      </c>
      <c r="F64" s="115" t="s">
        <v>1153</v>
      </c>
      <c r="G64" s="59" t="s">
        <v>1154</v>
      </c>
      <c r="H64" s="115" t="s">
        <v>1155</v>
      </c>
      <c r="I64" s="115" t="s">
        <v>1156</v>
      </c>
      <c r="J64" s="125" t="s">
        <v>26</v>
      </c>
      <c r="K64" s="70">
        <v>52.5</v>
      </c>
      <c r="L64" s="139">
        <v>29.700000000000003</v>
      </c>
      <c r="M64" s="119"/>
      <c r="N64" s="71">
        <f t="shared" si="1"/>
        <v>0</v>
      </c>
      <c r="O64" s="76"/>
    </row>
    <row r="65" spans="1:15" ht="14.4" x14ac:dyDescent="0.3">
      <c r="A65" s="148">
        <v>478</v>
      </c>
      <c r="B65" s="59" t="s">
        <v>1033</v>
      </c>
      <c r="C65" s="59" t="s">
        <v>1079</v>
      </c>
      <c r="D65" s="115" t="s">
        <v>1151</v>
      </c>
      <c r="E65" s="59" t="s">
        <v>1157</v>
      </c>
      <c r="F65" s="115" t="s">
        <v>1153</v>
      </c>
      <c r="G65" s="59" t="s">
        <v>1154</v>
      </c>
      <c r="H65" s="115" t="s">
        <v>1155</v>
      </c>
      <c r="I65" s="115" t="s">
        <v>1158</v>
      </c>
      <c r="J65" s="125" t="s">
        <v>26</v>
      </c>
      <c r="K65" s="70">
        <v>55</v>
      </c>
      <c r="L65" s="139">
        <v>31.1</v>
      </c>
      <c r="M65" s="119"/>
      <c r="N65" s="71">
        <f t="shared" si="1"/>
        <v>0</v>
      </c>
      <c r="O65" s="76"/>
    </row>
    <row r="66" spans="1:15" ht="14.4" x14ac:dyDescent="0.3">
      <c r="A66" s="148">
        <v>479</v>
      </c>
      <c r="B66" s="59" t="s">
        <v>1033</v>
      </c>
      <c r="C66" s="59" t="s">
        <v>1079</v>
      </c>
      <c r="D66" s="115" t="s">
        <v>1151</v>
      </c>
      <c r="E66" s="59" t="s">
        <v>1159</v>
      </c>
      <c r="F66" s="115" t="s">
        <v>1153</v>
      </c>
      <c r="G66" s="59" t="s">
        <v>1154</v>
      </c>
      <c r="H66" s="115" t="s">
        <v>1155</v>
      </c>
      <c r="I66" s="115" t="s">
        <v>1160</v>
      </c>
      <c r="J66" s="125" t="s">
        <v>353</v>
      </c>
      <c r="K66" s="70">
        <v>57.5</v>
      </c>
      <c r="L66" s="139">
        <v>32.5</v>
      </c>
      <c r="M66" s="119"/>
      <c r="N66" s="71">
        <f t="shared" si="1"/>
        <v>0</v>
      </c>
      <c r="O66" s="76"/>
    </row>
    <row r="67" spans="1:15" ht="14.4" x14ac:dyDescent="0.3">
      <c r="A67" s="148">
        <v>480</v>
      </c>
      <c r="B67" s="59" t="s">
        <v>1033</v>
      </c>
      <c r="C67" s="59" t="s">
        <v>1079</v>
      </c>
      <c r="D67" s="115" t="s">
        <v>1151</v>
      </c>
      <c r="E67" s="59" t="s">
        <v>1161</v>
      </c>
      <c r="F67" s="115" t="s">
        <v>1153</v>
      </c>
      <c r="G67" s="59" t="s">
        <v>1154</v>
      </c>
      <c r="H67" s="115" t="s">
        <v>1155</v>
      </c>
      <c r="I67" s="115" t="s">
        <v>1162</v>
      </c>
      <c r="J67" s="125" t="s">
        <v>26</v>
      </c>
      <c r="K67" s="70">
        <v>60</v>
      </c>
      <c r="L67" s="139">
        <v>33.9</v>
      </c>
      <c r="M67" s="119"/>
      <c r="N67" s="71">
        <f t="shared" si="1"/>
        <v>0</v>
      </c>
      <c r="O67" s="76"/>
    </row>
    <row r="68" spans="1:15" ht="14.4" x14ac:dyDescent="0.3">
      <c r="A68" s="148">
        <v>481</v>
      </c>
      <c r="B68" s="59" t="s">
        <v>1033</v>
      </c>
      <c r="C68" s="59" t="s">
        <v>1079</v>
      </c>
      <c r="D68" s="115" t="s">
        <v>1151</v>
      </c>
      <c r="E68" s="59" t="s">
        <v>1163</v>
      </c>
      <c r="F68" s="115" t="s">
        <v>1153</v>
      </c>
      <c r="G68" s="59" t="s">
        <v>1154</v>
      </c>
      <c r="H68" s="115" t="s">
        <v>1155</v>
      </c>
      <c r="I68" s="115" t="s">
        <v>1164</v>
      </c>
      <c r="J68" s="125" t="s">
        <v>353</v>
      </c>
      <c r="K68" s="70">
        <v>62.5</v>
      </c>
      <c r="L68" s="139">
        <v>35.300000000000004</v>
      </c>
      <c r="M68" s="119"/>
      <c r="N68" s="71">
        <f t="shared" si="1"/>
        <v>0</v>
      </c>
      <c r="O68" s="76"/>
    </row>
    <row r="69" spans="1:15" ht="14.4" x14ac:dyDescent="0.3">
      <c r="A69" s="148">
        <v>482</v>
      </c>
      <c r="B69" s="59" t="s">
        <v>1033</v>
      </c>
      <c r="C69" s="59" t="s">
        <v>1079</v>
      </c>
      <c r="D69" s="115" t="s">
        <v>1151</v>
      </c>
      <c r="E69" s="59" t="s">
        <v>1165</v>
      </c>
      <c r="F69" s="115" t="s">
        <v>1153</v>
      </c>
      <c r="G69" s="59" t="s">
        <v>1154</v>
      </c>
      <c r="H69" s="115" t="s">
        <v>1155</v>
      </c>
      <c r="I69" s="115" t="s">
        <v>1166</v>
      </c>
      <c r="J69" s="125" t="s">
        <v>26</v>
      </c>
      <c r="K69" s="70">
        <v>65</v>
      </c>
      <c r="L69" s="139">
        <v>36.800000000000004</v>
      </c>
      <c r="M69" s="119"/>
      <c r="N69" s="71">
        <f t="shared" si="1"/>
        <v>0</v>
      </c>
      <c r="O69" s="76"/>
    </row>
    <row r="70" spans="1:15" ht="14.4" x14ac:dyDescent="0.3">
      <c r="A70" s="148">
        <v>483</v>
      </c>
      <c r="B70" s="59" t="s">
        <v>1033</v>
      </c>
      <c r="C70" s="59" t="s">
        <v>1079</v>
      </c>
      <c r="D70" s="115" t="s">
        <v>1151</v>
      </c>
      <c r="E70" s="59" t="s">
        <v>1167</v>
      </c>
      <c r="F70" s="115" t="s">
        <v>1153</v>
      </c>
      <c r="G70" s="59" t="s">
        <v>1154</v>
      </c>
      <c r="H70" s="115" t="s">
        <v>1155</v>
      </c>
      <c r="I70" s="115" t="s">
        <v>1168</v>
      </c>
      <c r="J70" s="125" t="s">
        <v>353</v>
      </c>
      <c r="K70" s="70">
        <v>67.5</v>
      </c>
      <c r="L70" s="139">
        <v>38.200000000000003</v>
      </c>
      <c r="M70" s="119"/>
      <c r="N70" s="71">
        <f t="shared" si="1"/>
        <v>0</v>
      </c>
      <c r="O70" s="76"/>
    </row>
    <row r="71" spans="1:15" ht="14.4" x14ac:dyDescent="0.3">
      <c r="A71" s="148">
        <v>484</v>
      </c>
      <c r="B71" s="59" t="s">
        <v>1033</v>
      </c>
      <c r="C71" s="59" t="s">
        <v>1079</v>
      </c>
      <c r="D71" s="115" t="s">
        <v>1151</v>
      </c>
      <c r="E71" s="59" t="s">
        <v>1169</v>
      </c>
      <c r="F71" s="115" t="s">
        <v>1153</v>
      </c>
      <c r="G71" s="59" t="s">
        <v>1154</v>
      </c>
      <c r="H71" s="115" t="s">
        <v>1155</v>
      </c>
      <c r="I71" s="115" t="s">
        <v>1170</v>
      </c>
      <c r="J71" s="125" t="s">
        <v>26</v>
      </c>
      <c r="K71" s="70">
        <v>70</v>
      </c>
      <c r="L71" s="139">
        <v>39.6</v>
      </c>
      <c r="M71" s="119"/>
      <c r="N71" s="71">
        <f t="shared" si="1"/>
        <v>0</v>
      </c>
      <c r="O71" s="76"/>
    </row>
    <row r="72" spans="1:15" ht="14.4" x14ac:dyDescent="0.3">
      <c r="A72" s="148">
        <v>485</v>
      </c>
      <c r="B72" s="59" t="s">
        <v>1033</v>
      </c>
      <c r="C72" s="59" t="s">
        <v>1079</v>
      </c>
      <c r="D72" s="115" t="s">
        <v>1151</v>
      </c>
      <c r="E72" s="59" t="s">
        <v>1171</v>
      </c>
      <c r="F72" s="115" t="s">
        <v>1153</v>
      </c>
      <c r="G72" s="59" t="s">
        <v>1154</v>
      </c>
      <c r="H72" s="115" t="s">
        <v>1155</v>
      </c>
      <c r="I72" s="115" t="s">
        <v>1172</v>
      </c>
      <c r="J72" s="125" t="s">
        <v>26</v>
      </c>
      <c r="K72" s="70">
        <v>72.5</v>
      </c>
      <c r="L72" s="139">
        <v>41</v>
      </c>
      <c r="M72" s="119"/>
      <c r="N72" s="71">
        <f t="shared" si="1"/>
        <v>0</v>
      </c>
      <c r="O72" s="76"/>
    </row>
    <row r="73" spans="1:15" ht="14.4" x14ac:dyDescent="0.3">
      <c r="A73" s="148">
        <v>486</v>
      </c>
      <c r="B73" s="59" t="s">
        <v>1033</v>
      </c>
      <c r="C73" s="59" t="s">
        <v>1079</v>
      </c>
      <c r="D73" s="115" t="s">
        <v>1151</v>
      </c>
      <c r="E73" s="59" t="s">
        <v>1173</v>
      </c>
      <c r="F73" s="115" t="s">
        <v>1153</v>
      </c>
      <c r="G73" s="59" t="s">
        <v>1154</v>
      </c>
      <c r="H73" s="115" t="s">
        <v>1155</v>
      </c>
      <c r="I73" s="115" t="s">
        <v>1174</v>
      </c>
      <c r="J73" s="125" t="s">
        <v>353</v>
      </c>
      <c r="K73" s="70">
        <v>75</v>
      </c>
      <c r="L73" s="139">
        <v>42.4</v>
      </c>
      <c r="M73" s="119"/>
      <c r="N73" s="71">
        <f t="shared" si="1"/>
        <v>0</v>
      </c>
      <c r="O73" s="76"/>
    </row>
    <row r="74" spans="1:15" ht="14.4" x14ac:dyDescent="0.3">
      <c r="A74" s="148">
        <v>487</v>
      </c>
      <c r="B74" s="59" t="s">
        <v>1033</v>
      </c>
      <c r="C74" s="59" t="s">
        <v>1079</v>
      </c>
      <c r="D74" s="115" t="s">
        <v>1151</v>
      </c>
      <c r="E74" s="59" t="s">
        <v>1175</v>
      </c>
      <c r="F74" s="115" t="s">
        <v>1153</v>
      </c>
      <c r="G74" s="59" t="s">
        <v>1154</v>
      </c>
      <c r="H74" s="115" t="s">
        <v>1155</v>
      </c>
      <c r="I74" s="115" t="s">
        <v>1176</v>
      </c>
      <c r="J74" s="125" t="s">
        <v>353</v>
      </c>
      <c r="K74" s="70">
        <v>77.5</v>
      </c>
      <c r="L74" s="139">
        <v>43.800000000000004</v>
      </c>
      <c r="M74" s="119"/>
      <c r="N74" s="71">
        <f t="shared" si="1"/>
        <v>0</v>
      </c>
      <c r="O74" s="76"/>
    </row>
    <row r="75" spans="1:15" ht="14.4" x14ac:dyDescent="0.3">
      <c r="A75" s="148">
        <v>488</v>
      </c>
      <c r="B75" s="59" t="s">
        <v>1033</v>
      </c>
      <c r="C75" s="59" t="s">
        <v>1079</v>
      </c>
      <c r="D75" s="115" t="s">
        <v>1151</v>
      </c>
      <c r="E75" s="59" t="s">
        <v>1177</v>
      </c>
      <c r="F75" s="115" t="s">
        <v>1153</v>
      </c>
      <c r="G75" s="59" t="s">
        <v>1154</v>
      </c>
      <c r="H75" s="115" t="s">
        <v>1155</v>
      </c>
      <c r="I75" s="115" t="s">
        <v>1178</v>
      </c>
      <c r="J75" s="125" t="s">
        <v>353</v>
      </c>
      <c r="K75" s="70">
        <v>80</v>
      </c>
      <c r="L75" s="139">
        <v>45.2</v>
      </c>
      <c r="M75" s="119"/>
      <c r="N75" s="71">
        <f t="shared" si="1"/>
        <v>0</v>
      </c>
      <c r="O75" s="76"/>
    </row>
    <row r="76" spans="1:15" ht="14.4" x14ac:dyDescent="0.3">
      <c r="A76" s="148">
        <v>489</v>
      </c>
      <c r="B76" s="59" t="s">
        <v>1033</v>
      </c>
      <c r="C76" s="59" t="s">
        <v>1079</v>
      </c>
      <c r="D76" s="115" t="s">
        <v>1151</v>
      </c>
      <c r="E76" s="59" t="s">
        <v>1179</v>
      </c>
      <c r="F76" s="115" t="s">
        <v>1153</v>
      </c>
      <c r="G76" s="59" t="s">
        <v>1154</v>
      </c>
      <c r="H76" s="115" t="s">
        <v>1155</v>
      </c>
      <c r="I76" s="115" t="s">
        <v>1180</v>
      </c>
      <c r="J76" s="125" t="s">
        <v>26</v>
      </c>
      <c r="K76" s="70">
        <v>85</v>
      </c>
      <c r="L76" s="139">
        <v>48</v>
      </c>
      <c r="M76" s="119"/>
      <c r="N76" s="71">
        <f t="shared" si="1"/>
        <v>0</v>
      </c>
      <c r="O76" s="76"/>
    </row>
    <row r="77" spans="1:15" ht="14.4" x14ac:dyDescent="0.3">
      <c r="A77" s="148">
        <v>490</v>
      </c>
      <c r="B77" s="59" t="s">
        <v>1033</v>
      </c>
      <c r="C77" s="59" t="s">
        <v>1079</v>
      </c>
      <c r="D77" s="115" t="s">
        <v>1151</v>
      </c>
      <c r="E77" s="59" t="s">
        <v>1181</v>
      </c>
      <c r="F77" s="115" t="s">
        <v>1153</v>
      </c>
      <c r="G77" s="59" t="s">
        <v>1154</v>
      </c>
      <c r="H77" s="115" t="s">
        <v>1155</v>
      </c>
      <c r="I77" s="115" t="s">
        <v>1182</v>
      </c>
      <c r="J77" s="125" t="s">
        <v>353</v>
      </c>
      <c r="K77" s="70">
        <v>90</v>
      </c>
      <c r="L77" s="139">
        <v>50.9</v>
      </c>
      <c r="M77" s="119"/>
      <c r="N77" s="71">
        <f t="shared" si="1"/>
        <v>0</v>
      </c>
      <c r="O77" s="76"/>
    </row>
    <row r="78" spans="1:15" ht="14.4" x14ac:dyDescent="0.3">
      <c r="A78" s="148">
        <v>491</v>
      </c>
      <c r="B78" s="59" t="s">
        <v>1033</v>
      </c>
      <c r="C78" s="59" t="s">
        <v>1079</v>
      </c>
      <c r="D78" s="115" t="s">
        <v>1183</v>
      </c>
      <c r="E78" s="59" t="s">
        <v>1184</v>
      </c>
      <c r="F78" s="115" t="s">
        <v>1185</v>
      </c>
      <c r="G78" s="59" t="s">
        <v>1154</v>
      </c>
      <c r="H78" s="115" t="s">
        <v>1155</v>
      </c>
      <c r="I78" s="115" t="s">
        <v>1186</v>
      </c>
      <c r="J78" s="125" t="s">
        <v>26</v>
      </c>
      <c r="K78" s="70">
        <v>92.5</v>
      </c>
      <c r="L78" s="139">
        <v>52.300000000000004</v>
      </c>
      <c r="M78" s="119"/>
      <c r="N78" s="71">
        <f t="shared" ref="N78:N109" si="2">M78*L78</f>
        <v>0</v>
      </c>
      <c r="O78" s="76"/>
    </row>
    <row r="79" spans="1:15" ht="14.4" x14ac:dyDescent="0.3">
      <c r="A79" s="148">
        <v>492</v>
      </c>
      <c r="B79" s="59" t="s">
        <v>1033</v>
      </c>
      <c r="C79" s="59" t="s">
        <v>1079</v>
      </c>
      <c r="D79" s="115" t="s">
        <v>1183</v>
      </c>
      <c r="E79" s="59" t="s">
        <v>1187</v>
      </c>
      <c r="F79" s="115" t="s">
        <v>1185</v>
      </c>
      <c r="G79" s="59" t="s">
        <v>1154</v>
      </c>
      <c r="H79" s="115" t="s">
        <v>1155</v>
      </c>
      <c r="I79" s="115" t="s">
        <v>1188</v>
      </c>
      <c r="J79" s="125" t="s">
        <v>26</v>
      </c>
      <c r="K79" s="70">
        <v>97.5</v>
      </c>
      <c r="L79" s="139">
        <v>55.1</v>
      </c>
      <c r="M79" s="119"/>
      <c r="N79" s="71">
        <f t="shared" si="2"/>
        <v>0</v>
      </c>
      <c r="O79" s="76"/>
    </row>
    <row r="80" spans="1:15" ht="14.4" x14ac:dyDescent="0.3">
      <c r="A80" s="148">
        <v>493</v>
      </c>
      <c r="B80" s="59" t="s">
        <v>1033</v>
      </c>
      <c r="C80" s="59" t="s">
        <v>1079</v>
      </c>
      <c r="D80" s="115" t="s">
        <v>1183</v>
      </c>
      <c r="E80" s="59" t="s">
        <v>1189</v>
      </c>
      <c r="F80" s="115" t="s">
        <v>1185</v>
      </c>
      <c r="G80" s="59" t="s">
        <v>1154</v>
      </c>
      <c r="H80" s="115" t="s">
        <v>1155</v>
      </c>
      <c r="I80" s="115" t="s">
        <v>1190</v>
      </c>
      <c r="J80" s="125" t="s">
        <v>26</v>
      </c>
      <c r="K80" s="70">
        <v>102.5</v>
      </c>
      <c r="L80" s="139">
        <v>57.9</v>
      </c>
      <c r="M80" s="119"/>
      <c r="N80" s="71">
        <f t="shared" si="2"/>
        <v>0</v>
      </c>
      <c r="O80" s="76"/>
    </row>
    <row r="81" spans="1:15" ht="14.4" x14ac:dyDescent="0.3">
      <c r="A81" s="148">
        <v>494</v>
      </c>
      <c r="B81" s="59" t="s">
        <v>1033</v>
      </c>
      <c r="C81" s="59" t="s">
        <v>1079</v>
      </c>
      <c r="D81" s="115" t="s">
        <v>1183</v>
      </c>
      <c r="E81" s="59" t="s">
        <v>1191</v>
      </c>
      <c r="F81" s="115" t="s">
        <v>1185</v>
      </c>
      <c r="G81" s="59" t="s">
        <v>1154</v>
      </c>
      <c r="H81" s="115" t="s">
        <v>1155</v>
      </c>
      <c r="I81" s="115" t="s">
        <v>1192</v>
      </c>
      <c r="J81" s="125" t="s">
        <v>353</v>
      </c>
      <c r="K81" s="70">
        <v>107.5</v>
      </c>
      <c r="L81" s="139">
        <v>60.800000000000004</v>
      </c>
      <c r="M81" s="119"/>
      <c r="N81" s="71">
        <f t="shared" si="2"/>
        <v>0</v>
      </c>
      <c r="O81" s="76"/>
    </row>
    <row r="82" spans="1:15" ht="14.4" x14ac:dyDescent="0.3">
      <c r="A82" s="148">
        <v>495</v>
      </c>
      <c r="B82" s="59" t="s">
        <v>1033</v>
      </c>
      <c r="C82" s="59" t="s">
        <v>1079</v>
      </c>
      <c r="D82" s="115" t="s">
        <v>1183</v>
      </c>
      <c r="E82" s="59" t="s">
        <v>1193</v>
      </c>
      <c r="F82" s="115" t="s">
        <v>1185</v>
      </c>
      <c r="G82" s="59" t="s">
        <v>1154</v>
      </c>
      <c r="H82" s="115" t="s">
        <v>1155</v>
      </c>
      <c r="I82" s="115" t="s">
        <v>1194</v>
      </c>
      <c r="J82" s="125" t="s">
        <v>26</v>
      </c>
      <c r="K82" s="70">
        <v>112.5</v>
      </c>
      <c r="L82" s="139">
        <v>63.6</v>
      </c>
      <c r="M82" s="119"/>
      <c r="N82" s="71">
        <f t="shared" si="2"/>
        <v>0</v>
      </c>
      <c r="O82" s="76"/>
    </row>
    <row r="83" spans="1:15" ht="14.4" x14ac:dyDescent="0.3">
      <c r="A83" s="148">
        <v>496</v>
      </c>
      <c r="B83" s="59" t="s">
        <v>1033</v>
      </c>
      <c r="C83" s="59" t="s">
        <v>1079</v>
      </c>
      <c r="D83" s="115" t="s">
        <v>1183</v>
      </c>
      <c r="E83" s="59" t="s">
        <v>1195</v>
      </c>
      <c r="F83" s="115" t="s">
        <v>1185</v>
      </c>
      <c r="G83" s="59" t="s">
        <v>1154</v>
      </c>
      <c r="H83" s="115" t="s">
        <v>1155</v>
      </c>
      <c r="I83" s="115" t="s">
        <v>1196</v>
      </c>
      <c r="J83" s="125" t="s">
        <v>26</v>
      </c>
      <c r="K83" s="70">
        <v>117.5</v>
      </c>
      <c r="L83" s="139">
        <v>66.399999999999991</v>
      </c>
      <c r="M83" s="119"/>
      <c r="N83" s="71">
        <f t="shared" si="2"/>
        <v>0</v>
      </c>
      <c r="O83" s="76"/>
    </row>
    <row r="84" spans="1:15" ht="14.4" x14ac:dyDescent="0.3">
      <c r="A84" s="148">
        <v>497</v>
      </c>
      <c r="B84" s="59" t="s">
        <v>1033</v>
      </c>
      <c r="C84" s="59" t="s">
        <v>1079</v>
      </c>
      <c r="D84" s="115" t="s">
        <v>1183</v>
      </c>
      <c r="E84" s="59" t="s">
        <v>1197</v>
      </c>
      <c r="F84" s="115" t="s">
        <v>1185</v>
      </c>
      <c r="G84" s="59" t="s">
        <v>1154</v>
      </c>
      <c r="H84" s="115" t="s">
        <v>1155</v>
      </c>
      <c r="I84" s="115" t="s">
        <v>1198</v>
      </c>
      <c r="J84" s="125" t="s">
        <v>353</v>
      </c>
      <c r="K84" s="70">
        <v>122.5</v>
      </c>
      <c r="L84" s="139">
        <v>69.199999999999989</v>
      </c>
      <c r="M84" s="119"/>
      <c r="N84" s="71">
        <f t="shared" si="2"/>
        <v>0</v>
      </c>
      <c r="O84" s="76"/>
    </row>
    <row r="85" spans="1:15" ht="14.4" x14ac:dyDescent="0.3">
      <c r="A85" s="148">
        <v>498</v>
      </c>
      <c r="B85" s="59" t="s">
        <v>1033</v>
      </c>
      <c r="C85" s="59" t="s">
        <v>1079</v>
      </c>
      <c r="D85" s="115" t="s">
        <v>1183</v>
      </c>
      <c r="E85" s="59" t="s">
        <v>1199</v>
      </c>
      <c r="F85" s="115" t="s">
        <v>1185</v>
      </c>
      <c r="G85" s="59" t="s">
        <v>1154</v>
      </c>
      <c r="H85" s="115" t="s">
        <v>1155</v>
      </c>
      <c r="I85" s="115" t="s">
        <v>1200</v>
      </c>
      <c r="J85" s="125" t="s">
        <v>26</v>
      </c>
      <c r="K85" s="70">
        <v>127.5</v>
      </c>
      <c r="L85" s="139">
        <v>72</v>
      </c>
      <c r="M85" s="119"/>
      <c r="N85" s="71">
        <f t="shared" si="2"/>
        <v>0</v>
      </c>
      <c r="O85" s="76"/>
    </row>
    <row r="86" spans="1:15" ht="14.4" x14ac:dyDescent="0.3">
      <c r="A86" s="148">
        <v>499</v>
      </c>
      <c r="B86" s="59" t="s">
        <v>1033</v>
      </c>
      <c r="C86" s="59" t="s">
        <v>1079</v>
      </c>
      <c r="D86" s="115" t="s">
        <v>1183</v>
      </c>
      <c r="E86" s="59" t="s">
        <v>1201</v>
      </c>
      <c r="F86" s="115" t="s">
        <v>1185</v>
      </c>
      <c r="G86" s="59" t="s">
        <v>1154</v>
      </c>
      <c r="H86" s="115" t="s">
        <v>1155</v>
      </c>
      <c r="I86" s="115" t="s">
        <v>1202</v>
      </c>
      <c r="J86" s="125" t="s">
        <v>353</v>
      </c>
      <c r="K86" s="70">
        <v>132.5</v>
      </c>
      <c r="L86" s="139">
        <v>74.899999999999991</v>
      </c>
      <c r="M86" s="119"/>
      <c r="N86" s="71">
        <f t="shared" si="2"/>
        <v>0</v>
      </c>
      <c r="O86" s="76"/>
    </row>
    <row r="87" spans="1:15" ht="14.4" x14ac:dyDescent="0.3">
      <c r="A87" s="148">
        <v>500</v>
      </c>
      <c r="B87" s="59" t="s">
        <v>1033</v>
      </c>
      <c r="C87" s="59" t="s">
        <v>1079</v>
      </c>
      <c r="D87" s="115" t="s">
        <v>1183</v>
      </c>
      <c r="E87" s="59" t="s">
        <v>1203</v>
      </c>
      <c r="F87" s="115" t="s">
        <v>1185</v>
      </c>
      <c r="G87" s="59" t="s">
        <v>1154</v>
      </c>
      <c r="H87" s="115" t="s">
        <v>1155</v>
      </c>
      <c r="I87" s="115" t="s">
        <v>1204</v>
      </c>
      <c r="J87" s="125" t="s">
        <v>26</v>
      </c>
      <c r="K87" s="70">
        <v>137.5</v>
      </c>
      <c r="L87" s="139">
        <v>77.699999999999989</v>
      </c>
      <c r="M87" s="119"/>
      <c r="N87" s="71">
        <f t="shared" si="2"/>
        <v>0</v>
      </c>
      <c r="O87" s="76"/>
    </row>
    <row r="88" spans="1:15" ht="14.4" x14ac:dyDescent="0.3">
      <c r="A88" s="148">
        <v>501</v>
      </c>
      <c r="B88" s="59" t="s">
        <v>1033</v>
      </c>
      <c r="C88" s="59" t="s">
        <v>1079</v>
      </c>
      <c r="D88" s="115" t="s">
        <v>1183</v>
      </c>
      <c r="E88" s="59" t="s">
        <v>1205</v>
      </c>
      <c r="F88" s="115" t="s">
        <v>1185</v>
      </c>
      <c r="G88" s="59" t="s">
        <v>1154</v>
      </c>
      <c r="H88" s="115" t="s">
        <v>1155</v>
      </c>
      <c r="I88" s="115" t="s">
        <v>1206</v>
      </c>
      <c r="J88" s="125" t="s">
        <v>353</v>
      </c>
      <c r="K88" s="70">
        <v>143.5</v>
      </c>
      <c r="L88" s="139">
        <v>81.099999999999994</v>
      </c>
      <c r="M88" s="119"/>
      <c r="N88" s="71">
        <f t="shared" si="2"/>
        <v>0</v>
      </c>
      <c r="O88" s="76"/>
    </row>
    <row r="89" spans="1:15" ht="14.4" x14ac:dyDescent="0.3">
      <c r="A89" s="148">
        <v>502</v>
      </c>
      <c r="B89" s="59" t="s">
        <v>1033</v>
      </c>
      <c r="C89" s="59" t="s">
        <v>1079</v>
      </c>
      <c r="D89" s="115" t="s">
        <v>1183</v>
      </c>
      <c r="E89" s="59" t="s">
        <v>1207</v>
      </c>
      <c r="F89" s="115" t="s">
        <v>1185</v>
      </c>
      <c r="G89" s="59" t="s">
        <v>1154</v>
      </c>
      <c r="H89" s="115" t="s">
        <v>1155</v>
      </c>
      <c r="I89" s="115" t="s">
        <v>1208</v>
      </c>
      <c r="J89" s="125" t="s">
        <v>353</v>
      </c>
      <c r="K89" s="70">
        <v>148.5</v>
      </c>
      <c r="L89" s="139">
        <v>83.899999999999991</v>
      </c>
      <c r="M89" s="119"/>
      <c r="N89" s="71">
        <f t="shared" si="2"/>
        <v>0</v>
      </c>
      <c r="O89" s="76"/>
    </row>
    <row r="90" spans="1:15" ht="14.4" x14ac:dyDescent="0.3">
      <c r="A90" s="148">
        <v>503</v>
      </c>
      <c r="B90" s="59" t="s">
        <v>1033</v>
      </c>
      <c r="C90" s="59" t="s">
        <v>1079</v>
      </c>
      <c r="D90" s="115" t="s">
        <v>1183</v>
      </c>
      <c r="E90" s="59" t="s">
        <v>1209</v>
      </c>
      <c r="F90" s="115" t="s">
        <v>1185</v>
      </c>
      <c r="G90" s="59" t="s">
        <v>1154</v>
      </c>
      <c r="H90" s="115" t="s">
        <v>1155</v>
      </c>
      <c r="I90" s="115" t="s">
        <v>1210</v>
      </c>
      <c r="J90" s="125" t="s">
        <v>353</v>
      </c>
      <c r="K90" s="70">
        <v>145</v>
      </c>
      <c r="L90" s="139">
        <v>81.899999999999991</v>
      </c>
      <c r="M90" s="119"/>
      <c r="N90" s="71">
        <f t="shared" si="2"/>
        <v>0</v>
      </c>
      <c r="O90" s="76"/>
    </row>
    <row r="91" spans="1:15" ht="14.4" x14ac:dyDescent="0.3">
      <c r="A91" s="148">
        <v>504</v>
      </c>
      <c r="B91" s="59" t="s">
        <v>1033</v>
      </c>
      <c r="C91" s="59" t="s">
        <v>1079</v>
      </c>
      <c r="D91" s="115" t="s">
        <v>1211</v>
      </c>
      <c r="E91" s="59" t="s">
        <v>1212</v>
      </c>
      <c r="F91" s="115" t="s">
        <v>1213</v>
      </c>
      <c r="G91" s="59" t="s">
        <v>133</v>
      </c>
      <c r="H91" s="115" t="s">
        <v>134</v>
      </c>
      <c r="I91" s="115" t="s">
        <v>800</v>
      </c>
      <c r="J91" s="125" t="s">
        <v>26</v>
      </c>
      <c r="K91" s="70">
        <v>92.5</v>
      </c>
      <c r="L91" s="139">
        <v>52.300000000000004</v>
      </c>
      <c r="M91" s="119"/>
      <c r="N91" s="71">
        <f t="shared" si="2"/>
        <v>0</v>
      </c>
      <c r="O91" s="76"/>
    </row>
    <row r="92" spans="1:15" ht="14.4" x14ac:dyDescent="0.3">
      <c r="A92" s="148">
        <v>505</v>
      </c>
      <c r="B92" s="59" t="s">
        <v>1033</v>
      </c>
      <c r="C92" s="59" t="s">
        <v>1079</v>
      </c>
      <c r="D92" s="115" t="s">
        <v>1214</v>
      </c>
      <c r="E92" s="59" t="s">
        <v>1215</v>
      </c>
      <c r="F92" s="115" t="s">
        <v>1216</v>
      </c>
      <c r="G92" s="59" t="s">
        <v>133</v>
      </c>
      <c r="H92" s="115" t="s">
        <v>134</v>
      </c>
      <c r="I92" s="115" t="s">
        <v>804</v>
      </c>
      <c r="J92" s="125" t="s">
        <v>26</v>
      </c>
      <c r="K92" s="70">
        <v>92</v>
      </c>
      <c r="L92" s="139">
        <v>52</v>
      </c>
      <c r="M92" s="119"/>
      <c r="N92" s="71">
        <f t="shared" si="2"/>
        <v>0</v>
      </c>
      <c r="O92" s="76"/>
    </row>
  </sheetData>
  <autoFilter ref="A13:N92" xr:uid="{0C900FB6-A066-4330-88FA-7D9692A452AC}">
    <sortState xmlns:xlrd2="http://schemas.microsoft.com/office/spreadsheetml/2017/richdata2" ref="A14:N92">
      <sortCondition ref="A13:A92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39E8-331F-4497-92F4-8817540B65EA}">
  <sheetPr>
    <tabColor theme="5" tint="0.39997558519241921"/>
  </sheetPr>
  <dimension ref="A2:O65"/>
  <sheetViews>
    <sheetView showGridLines="0" zoomScale="90" zoomScaleNormal="90" workbookViewId="0">
      <selection activeCell="F7" sqref="F7"/>
    </sheetView>
  </sheetViews>
  <sheetFormatPr defaultColWidth="9.109375" defaultRowHeight="13.8" x14ac:dyDescent="0.3"/>
  <cols>
    <col min="1" max="1" width="6.44140625" style="53" customWidth="1"/>
    <col min="2" max="2" width="27.33203125" style="53" bestFit="1" customWidth="1"/>
    <col min="3" max="3" width="12.33203125" style="53" bestFit="1" customWidth="1"/>
    <col min="4" max="4" width="12.44140625" style="53" bestFit="1" customWidth="1"/>
    <col min="5" max="5" width="15.5546875" style="53" bestFit="1" customWidth="1"/>
    <col min="6" max="6" width="45.33203125" style="53" bestFit="1" customWidth="1"/>
    <col min="7" max="7" width="7.88671875" style="53" bestFit="1" customWidth="1"/>
    <col min="8" max="8" width="17.5546875" style="53" bestFit="1" customWidth="1"/>
    <col min="9" max="9" width="16" style="53" bestFit="1" customWidth="1"/>
    <col min="10" max="10" width="27" style="53" customWidth="1"/>
    <col min="11" max="11" width="21.6640625" style="53" bestFit="1" customWidth="1"/>
    <col min="12" max="12" width="24.6640625" style="53" bestFit="1" customWidth="1"/>
    <col min="13" max="13" width="7.6640625" style="53" bestFit="1" customWidth="1"/>
    <col min="14" max="14" width="14.33203125" style="53" bestFit="1" customWidth="1"/>
    <col min="15" max="15" width="9.109375" style="53" customWidth="1"/>
    <col min="16" max="16384" width="9.109375" style="53"/>
  </cols>
  <sheetData>
    <row r="2" spans="1:15" ht="14.4" x14ac:dyDescent="0.3">
      <c r="B2"/>
    </row>
    <row r="5" spans="1:15" x14ac:dyDescent="0.3">
      <c r="I5" s="57" t="s">
        <v>1810</v>
      </c>
      <c r="J5" s="55"/>
      <c r="K5" s="94" t="s">
        <v>0</v>
      </c>
      <c r="L5" s="143">
        <f>SUM(N14:N65)</f>
        <v>0</v>
      </c>
    </row>
    <row r="6" spans="1:15" x14ac:dyDescent="0.3">
      <c r="I6" s="87" t="s">
        <v>1079</v>
      </c>
      <c r="J6" s="91"/>
      <c r="K6" s="94" t="s">
        <v>2</v>
      </c>
      <c r="L6" s="74">
        <f>SUM(M14:M65)</f>
        <v>0</v>
      </c>
    </row>
    <row r="13" spans="1:15" x14ac:dyDescent="0.3">
      <c r="A13" s="126" t="s">
        <v>5</v>
      </c>
      <c r="B13" s="127" t="s">
        <v>6</v>
      </c>
      <c r="C13" s="127" t="s">
        <v>7</v>
      </c>
      <c r="D13" s="127" t="s">
        <v>8</v>
      </c>
      <c r="E13" s="127" t="s">
        <v>9</v>
      </c>
      <c r="F13" s="127" t="s">
        <v>10</v>
      </c>
      <c r="G13" s="127" t="s">
        <v>11</v>
      </c>
      <c r="H13" s="127" t="s">
        <v>12</v>
      </c>
      <c r="I13" s="127" t="s">
        <v>13</v>
      </c>
      <c r="J13" s="66" t="s">
        <v>14</v>
      </c>
      <c r="K13" s="67" t="s">
        <v>15</v>
      </c>
      <c r="L13" s="137" t="s">
        <v>1809</v>
      </c>
      <c r="M13" s="67" t="s">
        <v>17</v>
      </c>
      <c r="N13" s="68" t="s">
        <v>18</v>
      </c>
    </row>
    <row r="14" spans="1:15" ht="14.4" x14ac:dyDescent="0.3">
      <c r="A14" s="148">
        <v>506</v>
      </c>
      <c r="B14" s="59" t="s">
        <v>492</v>
      </c>
      <c r="C14" s="59" t="s">
        <v>1217</v>
      </c>
      <c r="D14" s="115" t="s">
        <v>1218</v>
      </c>
      <c r="E14" s="59" t="s">
        <v>1219</v>
      </c>
      <c r="F14" s="115" t="s">
        <v>1220</v>
      </c>
      <c r="G14" s="59" t="s">
        <v>133</v>
      </c>
      <c r="H14" s="59" t="s">
        <v>134</v>
      </c>
      <c r="I14" s="115" t="s">
        <v>280</v>
      </c>
      <c r="J14" s="125" t="s">
        <v>26</v>
      </c>
      <c r="K14" s="70">
        <v>7.25</v>
      </c>
      <c r="L14" s="139">
        <v>4.0999999999999996</v>
      </c>
      <c r="M14" s="119"/>
      <c r="N14" s="71">
        <f t="shared" ref="N14:N45" si="0">L14*M14</f>
        <v>0</v>
      </c>
      <c r="O14" s="76"/>
    </row>
    <row r="15" spans="1:15" ht="14.4" x14ac:dyDescent="0.3">
      <c r="A15" s="148">
        <v>507</v>
      </c>
      <c r="B15" s="59" t="s">
        <v>492</v>
      </c>
      <c r="C15" s="59" t="s">
        <v>1217</v>
      </c>
      <c r="D15" s="115" t="s">
        <v>1221</v>
      </c>
      <c r="E15" s="59" t="s">
        <v>1222</v>
      </c>
      <c r="F15" s="115" t="s">
        <v>1223</v>
      </c>
      <c r="G15" s="59" t="s">
        <v>133</v>
      </c>
      <c r="H15" s="59" t="s">
        <v>134</v>
      </c>
      <c r="I15" s="115" t="s">
        <v>280</v>
      </c>
      <c r="J15" s="125" t="s">
        <v>26</v>
      </c>
      <c r="K15" s="70">
        <v>7.25</v>
      </c>
      <c r="L15" s="139">
        <v>4.0999999999999996</v>
      </c>
      <c r="M15" s="119"/>
      <c r="N15" s="71">
        <f t="shared" si="0"/>
        <v>0</v>
      </c>
      <c r="O15" s="76"/>
    </row>
    <row r="16" spans="1:15" ht="14.4" x14ac:dyDescent="0.3">
      <c r="A16" s="148">
        <v>508</v>
      </c>
      <c r="B16" s="59" t="s">
        <v>492</v>
      </c>
      <c r="C16" s="59" t="s">
        <v>1217</v>
      </c>
      <c r="D16" s="115" t="s">
        <v>1224</v>
      </c>
      <c r="E16" s="59" t="s">
        <v>1225</v>
      </c>
      <c r="F16" s="115" t="s">
        <v>1226</v>
      </c>
      <c r="G16" s="59" t="s">
        <v>133</v>
      </c>
      <c r="H16" s="59" t="s">
        <v>134</v>
      </c>
      <c r="I16" s="115" t="s">
        <v>280</v>
      </c>
      <c r="J16" s="125" t="s">
        <v>26</v>
      </c>
      <c r="K16" s="70">
        <v>12.5</v>
      </c>
      <c r="L16" s="139">
        <v>7.1</v>
      </c>
      <c r="M16" s="119"/>
      <c r="N16" s="71">
        <f t="shared" si="0"/>
        <v>0</v>
      </c>
      <c r="O16" s="76"/>
    </row>
    <row r="17" spans="1:15" ht="14.4" x14ac:dyDescent="0.3">
      <c r="A17" s="148">
        <v>509</v>
      </c>
      <c r="B17" s="59" t="s">
        <v>492</v>
      </c>
      <c r="C17" s="59" t="s">
        <v>1217</v>
      </c>
      <c r="D17" s="115" t="s">
        <v>1227</v>
      </c>
      <c r="E17" s="59" t="s">
        <v>1228</v>
      </c>
      <c r="F17" s="115" t="s">
        <v>1229</v>
      </c>
      <c r="G17" s="59" t="s">
        <v>133</v>
      </c>
      <c r="H17" s="59" t="s">
        <v>134</v>
      </c>
      <c r="I17" s="115" t="s">
        <v>280</v>
      </c>
      <c r="J17" s="125" t="s">
        <v>26</v>
      </c>
      <c r="K17" s="70">
        <v>35.5</v>
      </c>
      <c r="L17" s="139">
        <v>20.100000000000001</v>
      </c>
      <c r="M17" s="119"/>
      <c r="N17" s="71">
        <f t="shared" si="0"/>
        <v>0</v>
      </c>
      <c r="O17" s="76"/>
    </row>
    <row r="18" spans="1:15" ht="14.4" x14ac:dyDescent="0.3">
      <c r="A18" s="148">
        <v>510</v>
      </c>
      <c r="B18" s="59" t="s">
        <v>833</v>
      </c>
      <c r="C18" s="59" t="s">
        <v>1217</v>
      </c>
      <c r="D18" s="115" t="s">
        <v>1230</v>
      </c>
      <c r="E18" s="59" t="s">
        <v>1231</v>
      </c>
      <c r="F18" s="115" t="s">
        <v>1232</v>
      </c>
      <c r="G18" s="59" t="s">
        <v>133</v>
      </c>
      <c r="H18" s="59" t="s">
        <v>134</v>
      </c>
      <c r="I18" s="115" t="s">
        <v>280</v>
      </c>
      <c r="J18" s="125" t="s">
        <v>26</v>
      </c>
      <c r="K18" s="70">
        <v>41.5</v>
      </c>
      <c r="L18" s="139">
        <v>23.5</v>
      </c>
      <c r="M18" s="119"/>
      <c r="N18" s="71">
        <f t="shared" si="0"/>
        <v>0</v>
      </c>
      <c r="O18" s="76"/>
    </row>
    <row r="19" spans="1:15" ht="14.4" x14ac:dyDescent="0.3">
      <c r="A19" s="148">
        <v>511</v>
      </c>
      <c r="B19" s="59" t="s">
        <v>833</v>
      </c>
      <c r="C19" s="59" t="s">
        <v>1217</v>
      </c>
      <c r="D19" s="115" t="s">
        <v>1233</v>
      </c>
      <c r="E19" s="59" t="s">
        <v>1234</v>
      </c>
      <c r="F19" s="115" t="s">
        <v>1235</v>
      </c>
      <c r="G19" s="59" t="s">
        <v>133</v>
      </c>
      <c r="H19" s="59" t="s">
        <v>134</v>
      </c>
      <c r="I19" s="115" t="s">
        <v>280</v>
      </c>
      <c r="J19" s="125" t="s">
        <v>26</v>
      </c>
      <c r="K19" s="70">
        <v>41.5</v>
      </c>
      <c r="L19" s="139">
        <v>23.5</v>
      </c>
      <c r="M19" s="119"/>
      <c r="N19" s="71">
        <f t="shared" si="0"/>
        <v>0</v>
      </c>
      <c r="O19" s="76"/>
    </row>
    <row r="20" spans="1:15" ht="14.4" x14ac:dyDescent="0.3">
      <c r="A20" s="148">
        <v>512</v>
      </c>
      <c r="B20" s="59" t="s">
        <v>833</v>
      </c>
      <c r="C20" s="59" t="s">
        <v>1217</v>
      </c>
      <c r="D20" s="115" t="s">
        <v>1236</v>
      </c>
      <c r="E20" s="59" t="s">
        <v>1237</v>
      </c>
      <c r="F20" s="115" t="s">
        <v>1238</v>
      </c>
      <c r="G20" s="59" t="s">
        <v>133</v>
      </c>
      <c r="H20" s="59" t="s">
        <v>134</v>
      </c>
      <c r="I20" s="115" t="s">
        <v>280</v>
      </c>
      <c r="J20" s="125" t="s">
        <v>26</v>
      </c>
      <c r="K20" s="70">
        <v>46</v>
      </c>
      <c r="L20" s="139">
        <v>26</v>
      </c>
      <c r="M20" s="119"/>
      <c r="N20" s="71">
        <f t="shared" si="0"/>
        <v>0</v>
      </c>
      <c r="O20" s="76"/>
    </row>
    <row r="21" spans="1:15" ht="14.4" x14ac:dyDescent="0.3">
      <c r="A21" s="148">
        <v>513</v>
      </c>
      <c r="B21" s="59" t="s">
        <v>833</v>
      </c>
      <c r="C21" s="59" t="s">
        <v>1217</v>
      </c>
      <c r="D21" s="115" t="s">
        <v>1239</v>
      </c>
      <c r="E21" s="59" t="s">
        <v>1240</v>
      </c>
      <c r="F21" s="115" t="s">
        <v>1241</v>
      </c>
      <c r="G21" s="59" t="s">
        <v>133</v>
      </c>
      <c r="H21" s="59" t="s">
        <v>134</v>
      </c>
      <c r="I21" s="115" t="s">
        <v>280</v>
      </c>
      <c r="J21" s="125" t="s">
        <v>26</v>
      </c>
      <c r="K21" s="70">
        <v>40</v>
      </c>
      <c r="L21" s="139">
        <v>22.6</v>
      </c>
      <c r="M21" s="119"/>
      <c r="N21" s="71">
        <f t="shared" si="0"/>
        <v>0</v>
      </c>
      <c r="O21" s="76"/>
    </row>
    <row r="22" spans="1:15" ht="14.4" x14ac:dyDescent="0.3">
      <c r="A22" s="148">
        <v>514</v>
      </c>
      <c r="B22" s="59" t="s">
        <v>833</v>
      </c>
      <c r="C22" s="59" t="s">
        <v>1217</v>
      </c>
      <c r="D22" s="115" t="s">
        <v>1242</v>
      </c>
      <c r="E22" s="59" t="s">
        <v>1243</v>
      </c>
      <c r="F22" s="115" t="s">
        <v>1244</v>
      </c>
      <c r="G22" s="59" t="s">
        <v>133</v>
      </c>
      <c r="H22" s="59" t="s">
        <v>134</v>
      </c>
      <c r="I22" s="115" t="s">
        <v>280</v>
      </c>
      <c r="J22" s="125" t="s">
        <v>26</v>
      </c>
      <c r="K22" s="70">
        <v>466</v>
      </c>
      <c r="L22" s="139">
        <v>263.20000000000005</v>
      </c>
      <c r="M22" s="119"/>
      <c r="N22" s="71">
        <f t="shared" si="0"/>
        <v>0</v>
      </c>
      <c r="O22" s="76"/>
    </row>
    <row r="23" spans="1:15" ht="14.4" x14ac:dyDescent="0.3">
      <c r="A23" s="148">
        <v>515</v>
      </c>
      <c r="B23" s="59" t="s">
        <v>833</v>
      </c>
      <c r="C23" s="59" t="s">
        <v>1217</v>
      </c>
      <c r="D23" s="115" t="s">
        <v>1245</v>
      </c>
      <c r="E23" s="59" t="s">
        <v>1246</v>
      </c>
      <c r="F23" s="115" t="s">
        <v>1247</v>
      </c>
      <c r="G23" s="59" t="s">
        <v>161</v>
      </c>
      <c r="H23" s="59" t="s">
        <v>162</v>
      </c>
      <c r="I23" s="115" t="s">
        <v>280</v>
      </c>
      <c r="J23" s="125" t="s">
        <v>26</v>
      </c>
      <c r="K23" s="70">
        <v>102.5</v>
      </c>
      <c r="L23" s="139">
        <v>57.9</v>
      </c>
      <c r="M23" s="119"/>
      <c r="N23" s="71">
        <f t="shared" si="0"/>
        <v>0</v>
      </c>
      <c r="O23" s="76"/>
    </row>
    <row r="24" spans="1:15" ht="14.4" x14ac:dyDescent="0.3">
      <c r="A24" s="148">
        <v>516</v>
      </c>
      <c r="B24" s="59" t="s">
        <v>833</v>
      </c>
      <c r="C24" s="59" t="s">
        <v>1217</v>
      </c>
      <c r="D24" s="115" t="s">
        <v>1248</v>
      </c>
      <c r="E24" s="59" t="s">
        <v>1249</v>
      </c>
      <c r="F24" s="115" t="s">
        <v>1250</v>
      </c>
      <c r="G24" s="59" t="s">
        <v>886</v>
      </c>
      <c r="H24" s="59" t="s">
        <v>887</v>
      </c>
      <c r="I24" s="115" t="s">
        <v>280</v>
      </c>
      <c r="J24" s="125" t="s">
        <v>26</v>
      </c>
      <c r="K24" s="70">
        <v>12.5</v>
      </c>
      <c r="L24" s="139">
        <v>7.1</v>
      </c>
      <c r="M24" s="119"/>
      <c r="N24" s="71">
        <f t="shared" si="0"/>
        <v>0</v>
      </c>
      <c r="O24" s="76"/>
    </row>
    <row r="25" spans="1:15" ht="14.4" x14ac:dyDescent="0.3">
      <c r="A25" s="148">
        <v>517</v>
      </c>
      <c r="B25" s="59" t="s">
        <v>833</v>
      </c>
      <c r="C25" s="59" t="s">
        <v>1217</v>
      </c>
      <c r="D25" s="115" t="s">
        <v>1251</v>
      </c>
      <c r="E25" s="59" t="s">
        <v>1252</v>
      </c>
      <c r="F25" s="115" t="s">
        <v>1253</v>
      </c>
      <c r="G25" s="59" t="s">
        <v>133</v>
      </c>
      <c r="H25" s="59" t="s">
        <v>134</v>
      </c>
      <c r="I25" s="115" t="s">
        <v>1254</v>
      </c>
      <c r="J25" s="125" t="s">
        <v>26</v>
      </c>
      <c r="K25" s="70">
        <v>45</v>
      </c>
      <c r="L25" s="139">
        <v>25.5</v>
      </c>
      <c r="M25" s="119"/>
      <c r="N25" s="71">
        <f t="shared" si="0"/>
        <v>0</v>
      </c>
      <c r="O25" s="76"/>
    </row>
    <row r="26" spans="1:15" ht="14.4" x14ac:dyDescent="0.3">
      <c r="A26" s="148">
        <v>518</v>
      </c>
      <c r="B26" s="59" t="s">
        <v>833</v>
      </c>
      <c r="C26" s="59" t="s">
        <v>1217</v>
      </c>
      <c r="D26" s="115" t="s">
        <v>1255</v>
      </c>
      <c r="E26" s="59" t="s">
        <v>1256</v>
      </c>
      <c r="F26" s="115" t="s">
        <v>1257</v>
      </c>
      <c r="G26" s="59" t="s">
        <v>133</v>
      </c>
      <c r="H26" s="59" t="s">
        <v>134</v>
      </c>
      <c r="I26" s="115" t="s">
        <v>280</v>
      </c>
      <c r="J26" s="125" t="s">
        <v>26</v>
      </c>
      <c r="K26" s="70">
        <v>60</v>
      </c>
      <c r="L26" s="139">
        <v>33.9</v>
      </c>
      <c r="M26" s="119"/>
      <c r="N26" s="71">
        <f t="shared" si="0"/>
        <v>0</v>
      </c>
      <c r="O26" s="76"/>
    </row>
    <row r="27" spans="1:15" ht="14.4" x14ac:dyDescent="0.3">
      <c r="A27" s="148">
        <v>519</v>
      </c>
      <c r="B27" s="59" t="s">
        <v>833</v>
      </c>
      <c r="C27" s="59" t="s">
        <v>1217</v>
      </c>
      <c r="D27" s="115" t="s">
        <v>1258</v>
      </c>
      <c r="E27" s="59" t="s">
        <v>1259</v>
      </c>
      <c r="F27" s="115" t="s">
        <v>1260</v>
      </c>
      <c r="G27" s="59" t="s">
        <v>133</v>
      </c>
      <c r="H27" s="59" t="s">
        <v>134</v>
      </c>
      <c r="I27" s="115" t="s">
        <v>1261</v>
      </c>
      <c r="J27" s="125" t="s">
        <v>26</v>
      </c>
      <c r="K27" s="70">
        <v>15.5</v>
      </c>
      <c r="L27" s="139">
        <v>8.7999999999999989</v>
      </c>
      <c r="M27" s="119"/>
      <c r="N27" s="71">
        <f t="shared" si="0"/>
        <v>0</v>
      </c>
      <c r="O27" s="76"/>
    </row>
    <row r="28" spans="1:15" ht="14.4" x14ac:dyDescent="0.3">
      <c r="A28" s="148">
        <v>520</v>
      </c>
      <c r="B28" s="59" t="s">
        <v>833</v>
      </c>
      <c r="C28" s="59" t="s">
        <v>1217</v>
      </c>
      <c r="D28" s="115" t="s">
        <v>1262</v>
      </c>
      <c r="E28" s="59" t="s">
        <v>1263</v>
      </c>
      <c r="F28" s="115" t="s">
        <v>1264</v>
      </c>
      <c r="G28" s="59" t="s">
        <v>133</v>
      </c>
      <c r="H28" s="59" t="s">
        <v>134</v>
      </c>
      <c r="I28" s="115" t="s">
        <v>280</v>
      </c>
      <c r="J28" s="125" t="s">
        <v>26</v>
      </c>
      <c r="K28" s="70">
        <v>102</v>
      </c>
      <c r="L28" s="139">
        <v>57.6</v>
      </c>
      <c r="M28" s="119"/>
      <c r="N28" s="71">
        <f t="shared" si="0"/>
        <v>0</v>
      </c>
      <c r="O28" s="76"/>
    </row>
    <row r="29" spans="1:15" ht="14.4" x14ac:dyDescent="0.3">
      <c r="A29" s="148">
        <v>521</v>
      </c>
      <c r="B29" s="59" t="s">
        <v>1014</v>
      </c>
      <c r="C29" s="59" t="s">
        <v>1217</v>
      </c>
      <c r="D29" s="115" t="s">
        <v>1265</v>
      </c>
      <c r="E29" s="59" t="s">
        <v>1266</v>
      </c>
      <c r="F29" s="115" t="s">
        <v>1267</v>
      </c>
      <c r="G29" s="59" t="s">
        <v>133</v>
      </c>
      <c r="H29" s="59" t="s">
        <v>134</v>
      </c>
      <c r="I29" s="115" t="s">
        <v>280</v>
      </c>
      <c r="J29" s="125" t="s">
        <v>26</v>
      </c>
      <c r="K29" s="70">
        <v>15.5</v>
      </c>
      <c r="L29" s="139">
        <v>8.7999999999999989</v>
      </c>
      <c r="M29" s="119"/>
      <c r="N29" s="71">
        <f t="shared" si="0"/>
        <v>0</v>
      </c>
      <c r="O29" s="76"/>
    </row>
    <row r="30" spans="1:15" ht="14.4" x14ac:dyDescent="0.3">
      <c r="A30" s="148">
        <v>522</v>
      </c>
      <c r="B30" s="59" t="s">
        <v>1014</v>
      </c>
      <c r="C30" s="59" t="s">
        <v>1217</v>
      </c>
      <c r="D30" s="115" t="s">
        <v>1268</v>
      </c>
      <c r="E30" s="59" t="s">
        <v>1269</v>
      </c>
      <c r="F30" s="115" t="s">
        <v>1270</v>
      </c>
      <c r="G30" s="59" t="s">
        <v>133</v>
      </c>
      <c r="H30" s="59" t="s">
        <v>134</v>
      </c>
      <c r="I30" s="115" t="s">
        <v>280</v>
      </c>
      <c r="J30" s="125" t="s">
        <v>26</v>
      </c>
      <c r="K30" s="70">
        <v>35</v>
      </c>
      <c r="L30" s="139">
        <v>19.8</v>
      </c>
      <c r="M30" s="119"/>
      <c r="N30" s="71">
        <f t="shared" si="0"/>
        <v>0</v>
      </c>
      <c r="O30" s="76"/>
    </row>
    <row r="31" spans="1:15" ht="14.4" x14ac:dyDescent="0.3">
      <c r="A31" s="148">
        <v>523</v>
      </c>
      <c r="B31" s="59" t="s">
        <v>1014</v>
      </c>
      <c r="C31" s="59" t="s">
        <v>1217</v>
      </c>
      <c r="D31" s="115" t="s">
        <v>1271</v>
      </c>
      <c r="E31" s="59" t="s">
        <v>1272</v>
      </c>
      <c r="F31" s="115" t="s">
        <v>1273</v>
      </c>
      <c r="G31" s="59" t="s">
        <v>886</v>
      </c>
      <c r="H31" s="59" t="s">
        <v>887</v>
      </c>
      <c r="I31" s="115" t="s">
        <v>280</v>
      </c>
      <c r="J31" s="125" t="s">
        <v>26</v>
      </c>
      <c r="K31" s="70">
        <v>16.5</v>
      </c>
      <c r="L31" s="139">
        <v>9.4</v>
      </c>
      <c r="M31" s="119"/>
      <c r="N31" s="71">
        <f t="shared" si="0"/>
        <v>0</v>
      </c>
      <c r="O31" s="76"/>
    </row>
    <row r="32" spans="1:15" ht="14.4" x14ac:dyDescent="0.3">
      <c r="A32" s="148">
        <v>524</v>
      </c>
      <c r="B32" s="59" t="s">
        <v>1014</v>
      </c>
      <c r="C32" s="59" t="s">
        <v>1217</v>
      </c>
      <c r="D32" s="115" t="s">
        <v>1274</v>
      </c>
      <c r="E32" s="59" t="s">
        <v>1275</v>
      </c>
      <c r="F32" s="115" t="s">
        <v>1276</v>
      </c>
      <c r="G32" s="59" t="s">
        <v>133</v>
      </c>
      <c r="H32" s="59" t="s">
        <v>134</v>
      </c>
      <c r="I32" s="115" t="s">
        <v>280</v>
      </c>
      <c r="J32" s="125" t="s">
        <v>26</v>
      </c>
      <c r="K32" s="70">
        <v>10.5</v>
      </c>
      <c r="L32" s="139">
        <v>6</v>
      </c>
      <c r="M32" s="119"/>
      <c r="N32" s="71">
        <f t="shared" si="0"/>
        <v>0</v>
      </c>
      <c r="O32" s="76"/>
    </row>
    <row r="33" spans="1:15" ht="14.4" x14ac:dyDescent="0.3">
      <c r="A33" s="148">
        <v>525</v>
      </c>
      <c r="B33" s="59" t="s">
        <v>1014</v>
      </c>
      <c r="C33" s="59" t="s">
        <v>1217</v>
      </c>
      <c r="D33" s="115" t="s">
        <v>1277</v>
      </c>
      <c r="E33" s="59" t="s">
        <v>1278</v>
      </c>
      <c r="F33" s="115" t="s">
        <v>1279</v>
      </c>
      <c r="G33" s="59" t="s">
        <v>133</v>
      </c>
      <c r="H33" s="59" t="s">
        <v>134</v>
      </c>
      <c r="I33" s="115" t="s">
        <v>280</v>
      </c>
      <c r="J33" s="125" t="s">
        <v>26</v>
      </c>
      <c r="K33" s="70">
        <v>15.5</v>
      </c>
      <c r="L33" s="139">
        <v>8.7999999999999989</v>
      </c>
      <c r="M33" s="119"/>
      <c r="N33" s="71">
        <f t="shared" si="0"/>
        <v>0</v>
      </c>
      <c r="O33" s="76"/>
    </row>
    <row r="34" spans="1:15" ht="14.4" x14ac:dyDescent="0.3">
      <c r="A34" s="148">
        <v>526</v>
      </c>
      <c r="B34" s="59" t="s">
        <v>1014</v>
      </c>
      <c r="C34" s="59" t="s">
        <v>1217</v>
      </c>
      <c r="D34" s="115" t="s">
        <v>1280</v>
      </c>
      <c r="E34" s="59" t="s">
        <v>1281</v>
      </c>
      <c r="F34" s="115" t="s">
        <v>1282</v>
      </c>
      <c r="G34" s="59" t="s">
        <v>133</v>
      </c>
      <c r="H34" s="59" t="s">
        <v>134</v>
      </c>
      <c r="I34" s="115" t="s">
        <v>280</v>
      </c>
      <c r="J34" s="125" t="s">
        <v>26</v>
      </c>
      <c r="K34" s="70">
        <v>15.5</v>
      </c>
      <c r="L34" s="139">
        <v>8.7999999999999989</v>
      </c>
      <c r="M34" s="119"/>
      <c r="N34" s="71">
        <f t="shared" si="0"/>
        <v>0</v>
      </c>
      <c r="O34" s="76"/>
    </row>
    <row r="35" spans="1:15" ht="14.4" x14ac:dyDescent="0.3">
      <c r="A35" s="148">
        <v>527</v>
      </c>
      <c r="B35" s="59" t="s">
        <v>1014</v>
      </c>
      <c r="C35" s="59" t="s">
        <v>1217</v>
      </c>
      <c r="D35" s="115" t="s">
        <v>1283</v>
      </c>
      <c r="E35" s="59" t="s">
        <v>1284</v>
      </c>
      <c r="F35" s="115" t="s">
        <v>1285</v>
      </c>
      <c r="G35" s="59" t="s">
        <v>133</v>
      </c>
      <c r="H35" s="59" t="s">
        <v>134</v>
      </c>
      <c r="I35" s="115" t="s">
        <v>280</v>
      </c>
      <c r="J35" s="125" t="s">
        <v>26</v>
      </c>
      <c r="K35" s="70">
        <v>15.5</v>
      </c>
      <c r="L35" s="139">
        <v>8.7999999999999989</v>
      </c>
      <c r="M35" s="119"/>
      <c r="N35" s="71">
        <f t="shared" si="0"/>
        <v>0</v>
      </c>
      <c r="O35" s="76"/>
    </row>
    <row r="36" spans="1:15" ht="14.4" x14ac:dyDescent="0.3">
      <c r="A36" s="148">
        <v>528</v>
      </c>
      <c r="B36" s="59" t="s">
        <v>1286</v>
      </c>
      <c r="C36" s="59" t="s">
        <v>1217</v>
      </c>
      <c r="D36" s="115" t="s">
        <v>1287</v>
      </c>
      <c r="E36" s="59" t="s">
        <v>1288</v>
      </c>
      <c r="F36" s="115" t="s">
        <v>1289</v>
      </c>
      <c r="G36" s="59" t="s">
        <v>133</v>
      </c>
      <c r="H36" s="59" t="s">
        <v>134</v>
      </c>
      <c r="I36" s="115" t="s">
        <v>280</v>
      </c>
      <c r="J36" s="125" t="s">
        <v>26</v>
      </c>
      <c r="K36" s="70">
        <v>24.5</v>
      </c>
      <c r="L36" s="139">
        <v>13.9</v>
      </c>
      <c r="M36" s="119"/>
      <c r="N36" s="71">
        <f t="shared" si="0"/>
        <v>0</v>
      </c>
      <c r="O36" s="76"/>
    </row>
    <row r="37" spans="1:15" ht="14.4" x14ac:dyDescent="0.3">
      <c r="A37" s="148">
        <v>529</v>
      </c>
      <c r="B37" s="59" t="s">
        <v>1286</v>
      </c>
      <c r="C37" s="59" t="s">
        <v>1217</v>
      </c>
      <c r="D37" s="115" t="s">
        <v>1290</v>
      </c>
      <c r="E37" s="59" t="s">
        <v>1291</v>
      </c>
      <c r="F37" s="115" t="s">
        <v>1292</v>
      </c>
      <c r="G37" s="59" t="s">
        <v>133</v>
      </c>
      <c r="H37" s="59" t="s">
        <v>134</v>
      </c>
      <c r="I37" s="115" t="s">
        <v>280</v>
      </c>
      <c r="J37" s="125" t="s">
        <v>26</v>
      </c>
      <c r="K37" s="70">
        <v>19.5</v>
      </c>
      <c r="L37" s="139">
        <v>11.1</v>
      </c>
      <c r="M37" s="119"/>
      <c r="N37" s="71">
        <f t="shared" si="0"/>
        <v>0</v>
      </c>
      <c r="O37" s="76"/>
    </row>
    <row r="38" spans="1:15" ht="14.4" x14ac:dyDescent="0.3">
      <c r="A38" s="148">
        <v>530</v>
      </c>
      <c r="B38" s="59" t="s">
        <v>1286</v>
      </c>
      <c r="C38" s="59" t="s">
        <v>1217</v>
      </c>
      <c r="D38" s="115" t="s">
        <v>1293</v>
      </c>
      <c r="E38" s="59" t="s">
        <v>1294</v>
      </c>
      <c r="F38" s="115" t="s">
        <v>1295</v>
      </c>
      <c r="G38" s="59" t="s">
        <v>987</v>
      </c>
      <c r="H38" s="59" t="s">
        <v>988</v>
      </c>
      <c r="I38" s="115" t="s">
        <v>280</v>
      </c>
      <c r="J38" s="125" t="s">
        <v>26</v>
      </c>
      <c r="K38" s="70">
        <v>20</v>
      </c>
      <c r="L38" s="139">
        <v>11.299999999999999</v>
      </c>
      <c r="M38" s="119"/>
      <c r="N38" s="71">
        <f t="shared" si="0"/>
        <v>0</v>
      </c>
      <c r="O38" s="76"/>
    </row>
    <row r="39" spans="1:15" ht="14.4" x14ac:dyDescent="0.3">
      <c r="A39" s="148">
        <v>531</v>
      </c>
      <c r="B39" s="59" t="s">
        <v>1286</v>
      </c>
      <c r="C39" s="59" t="s">
        <v>1217</v>
      </c>
      <c r="D39" s="115" t="s">
        <v>1296</v>
      </c>
      <c r="E39" s="59" t="s">
        <v>1297</v>
      </c>
      <c r="F39" s="115" t="s">
        <v>1298</v>
      </c>
      <c r="G39" s="59" t="s">
        <v>161</v>
      </c>
      <c r="H39" s="59" t="s">
        <v>792</v>
      </c>
      <c r="I39" s="115" t="s">
        <v>280</v>
      </c>
      <c r="J39" s="125" t="s">
        <v>26</v>
      </c>
      <c r="K39" s="70">
        <v>22.5</v>
      </c>
      <c r="L39" s="139">
        <v>12.799999999999999</v>
      </c>
      <c r="M39" s="119"/>
      <c r="N39" s="71">
        <f t="shared" si="0"/>
        <v>0</v>
      </c>
      <c r="O39" s="76"/>
    </row>
    <row r="40" spans="1:15" ht="14.4" x14ac:dyDescent="0.3">
      <c r="A40" s="148">
        <v>532</v>
      </c>
      <c r="B40" s="59" t="s">
        <v>1286</v>
      </c>
      <c r="C40" s="59" t="s">
        <v>1217</v>
      </c>
      <c r="D40" s="115" t="s">
        <v>1299</v>
      </c>
      <c r="E40" s="59" t="s">
        <v>1300</v>
      </c>
      <c r="F40" s="115" t="s">
        <v>1301</v>
      </c>
      <c r="G40" s="59" t="s">
        <v>133</v>
      </c>
      <c r="H40" s="59" t="s">
        <v>134</v>
      </c>
      <c r="I40" s="115" t="s">
        <v>280</v>
      </c>
      <c r="J40" s="125" t="s">
        <v>26</v>
      </c>
      <c r="K40" s="70">
        <v>10.5</v>
      </c>
      <c r="L40" s="139">
        <v>6</v>
      </c>
      <c r="M40" s="119"/>
      <c r="N40" s="71">
        <f t="shared" si="0"/>
        <v>0</v>
      </c>
      <c r="O40" s="76"/>
    </row>
    <row r="41" spans="1:15" ht="14.4" x14ac:dyDescent="0.3">
      <c r="A41" s="148">
        <v>533</v>
      </c>
      <c r="B41" s="59" t="s">
        <v>1286</v>
      </c>
      <c r="C41" s="59" t="s">
        <v>1217</v>
      </c>
      <c r="D41" s="115" t="s">
        <v>1302</v>
      </c>
      <c r="E41" s="59" t="s">
        <v>1303</v>
      </c>
      <c r="F41" s="115" t="s">
        <v>1304</v>
      </c>
      <c r="G41" s="59" t="s">
        <v>133</v>
      </c>
      <c r="H41" s="59" t="s">
        <v>134</v>
      </c>
      <c r="I41" s="115" t="s">
        <v>280</v>
      </c>
      <c r="J41" s="125" t="s">
        <v>26</v>
      </c>
      <c r="K41" s="70">
        <v>10.5</v>
      </c>
      <c r="L41" s="139">
        <v>6</v>
      </c>
      <c r="M41" s="119"/>
      <c r="N41" s="71">
        <f t="shared" si="0"/>
        <v>0</v>
      </c>
      <c r="O41" s="76"/>
    </row>
    <row r="42" spans="1:15" ht="14.4" x14ac:dyDescent="0.3">
      <c r="A42" s="148">
        <v>534</v>
      </c>
      <c r="B42" s="59" t="s">
        <v>1286</v>
      </c>
      <c r="C42" s="59" t="s">
        <v>1217</v>
      </c>
      <c r="D42" s="115" t="s">
        <v>1305</v>
      </c>
      <c r="E42" s="59" t="s">
        <v>1306</v>
      </c>
      <c r="F42" s="115" t="s">
        <v>1307</v>
      </c>
      <c r="G42" s="59" t="s">
        <v>843</v>
      </c>
      <c r="H42" s="59" t="s">
        <v>844</v>
      </c>
      <c r="I42" s="115" t="s">
        <v>280</v>
      </c>
      <c r="J42" s="125" t="s">
        <v>26</v>
      </c>
      <c r="K42" s="70">
        <v>100</v>
      </c>
      <c r="L42" s="139">
        <v>56.5</v>
      </c>
      <c r="M42" s="119"/>
      <c r="N42" s="71">
        <f t="shared" si="0"/>
        <v>0</v>
      </c>
      <c r="O42" s="76"/>
    </row>
    <row r="43" spans="1:15" ht="14.4" x14ac:dyDescent="0.3">
      <c r="A43" s="148">
        <v>535</v>
      </c>
      <c r="B43" s="59" t="s">
        <v>1286</v>
      </c>
      <c r="C43" s="59" t="s">
        <v>1217</v>
      </c>
      <c r="D43" s="115" t="s">
        <v>1308</v>
      </c>
      <c r="E43" s="59" t="s">
        <v>1309</v>
      </c>
      <c r="F43" s="115" t="s">
        <v>1310</v>
      </c>
      <c r="G43" s="59" t="s">
        <v>161</v>
      </c>
      <c r="H43" s="59" t="s">
        <v>162</v>
      </c>
      <c r="I43" s="115" t="s">
        <v>280</v>
      </c>
      <c r="J43" s="125" t="s">
        <v>26</v>
      </c>
      <c r="K43" s="70">
        <v>18.5</v>
      </c>
      <c r="L43" s="139">
        <v>10.5</v>
      </c>
      <c r="M43" s="119"/>
      <c r="N43" s="71">
        <f t="shared" si="0"/>
        <v>0</v>
      </c>
      <c r="O43" s="76"/>
    </row>
    <row r="44" spans="1:15" ht="14.4" x14ac:dyDescent="0.3">
      <c r="A44" s="148">
        <v>536</v>
      </c>
      <c r="B44" s="59" t="s">
        <v>1286</v>
      </c>
      <c r="C44" s="59" t="s">
        <v>1217</v>
      </c>
      <c r="D44" s="115" t="s">
        <v>1311</v>
      </c>
      <c r="E44" s="59" t="s">
        <v>1312</v>
      </c>
      <c r="F44" s="115" t="s">
        <v>1313</v>
      </c>
      <c r="G44" s="59" t="s">
        <v>161</v>
      </c>
      <c r="H44" s="59" t="s">
        <v>162</v>
      </c>
      <c r="I44" s="115" t="s">
        <v>163</v>
      </c>
      <c r="J44" s="125" t="s">
        <v>26</v>
      </c>
      <c r="K44" s="70">
        <v>172.5</v>
      </c>
      <c r="L44" s="139">
        <v>97.5</v>
      </c>
      <c r="M44" s="119"/>
      <c r="N44" s="71">
        <f t="shared" si="0"/>
        <v>0</v>
      </c>
      <c r="O44" s="76"/>
    </row>
    <row r="45" spans="1:15" ht="14.4" x14ac:dyDescent="0.3">
      <c r="A45" s="148">
        <v>537</v>
      </c>
      <c r="B45" s="59" t="s">
        <v>1286</v>
      </c>
      <c r="C45" s="59" t="s">
        <v>1217</v>
      </c>
      <c r="D45" s="115" t="s">
        <v>1311</v>
      </c>
      <c r="E45" s="59" t="s">
        <v>1314</v>
      </c>
      <c r="F45" s="115" t="s">
        <v>1313</v>
      </c>
      <c r="G45" s="59" t="s">
        <v>161</v>
      </c>
      <c r="H45" s="59" t="s">
        <v>162</v>
      </c>
      <c r="I45" s="115" t="s">
        <v>165</v>
      </c>
      <c r="J45" s="125" t="s">
        <v>26</v>
      </c>
      <c r="K45" s="70">
        <v>172.5</v>
      </c>
      <c r="L45" s="139">
        <v>97.5</v>
      </c>
      <c r="M45" s="119"/>
      <c r="N45" s="71">
        <f t="shared" si="0"/>
        <v>0</v>
      </c>
      <c r="O45" s="76"/>
    </row>
    <row r="46" spans="1:15" ht="14.4" x14ac:dyDescent="0.3">
      <c r="A46" s="148">
        <v>538</v>
      </c>
      <c r="B46" s="59" t="s">
        <v>1286</v>
      </c>
      <c r="C46" s="59" t="s">
        <v>1217</v>
      </c>
      <c r="D46" s="115" t="s">
        <v>1311</v>
      </c>
      <c r="E46" s="59" t="s">
        <v>1315</v>
      </c>
      <c r="F46" s="115" t="s">
        <v>1313</v>
      </c>
      <c r="G46" s="59" t="s">
        <v>161</v>
      </c>
      <c r="H46" s="59" t="s">
        <v>162</v>
      </c>
      <c r="I46" s="115" t="s">
        <v>167</v>
      </c>
      <c r="J46" s="125" t="s">
        <v>26</v>
      </c>
      <c r="K46" s="70">
        <v>172.5</v>
      </c>
      <c r="L46" s="139">
        <v>97.5</v>
      </c>
      <c r="M46" s="119"/>
      <c r="N46" s="71">
        <f t="shared" ref="N46:N77" si="1">L46*M46</f>
        <v>0</v>
      </c>
      <c r="O46" s="76"/>
    </row>
    <row r="47" spans="1:15" ht="14.4" x14ac:dyDescent="0.3">
      <c r="A47" s="148">
        <v>539</v>
      </c>
      <c r="B47" s="59" t="s">
        <v>1286</v>
      </c>
      <c r="C47" s="59" t="s">
        <v>1217</v>
      </c>
      <c r="D47" s="115" t="s">
        <v>1316</v>
      </c>
      <c r="E47" s="59" t="s">
        <v>1317</v>
      </c>
      <c r="F47" s="115" t="s">
        <v>1318</v>
      </c>
      <c r="G47" s="59" t="s">
        <v>133</v>
      </c>
      <c r="H47" s="59" t="s">
        <v>134</v>
      </c>
      <c r="I47" s="115" t="s">
        <v>280</v>
      </c>
      <c r="J47" s="125" t="s">
        <v>26</v>
      </c>
      <c r="K47" s="70">
        <v>8</v>
      </c>
      <c r="L47" s="139">
        <v>4.5999999999999996</v>
      </c>
      <c r="M47" s="119"/>
      <c r="N47" s="71">
        <f t="shared" si="1"/>
        <v>0</v>
      </c>
      <c r="O47" s="76"/>
    </row>
    <row r="48" spans="1:15" ht="14.4" x14ac:dyDescent="0.3">
      <c r="A48" s="148">
        <v>540</v>
      </c>
      <c r="B48" s="59" t="s">
        <v>1286</v>
      </c>
      <c r="C48" s="59" t="s">
        <v>1217</v>
      </c>
      <c r="D48" s="115" t="s">
        <v>1319</v>
      </c>
      <c r="E48" s="59" t="s">
        <v>1320</v>
      </c>
      <c r="F48" s="115" t="s">
        <v>1321</v>
      </c>
      <c r="G48" s="59" t="s">
        <v>843</v>
      </c>
      <c r="H48" s="59" t="s">
        <v>844</v>
      </c>
      <c r="I48" s="115" t="s">
        <v>280</v>
      </c>
      <c r="J48" s="125" t="s">
        <v>26</v>
      </c>
      <c r="K48" s="70">
        <v>117.5</v>
      </c>
      <c r="L48" s="139">
        <v>66.399999999999991</v>
      </c>
      <c r="M48" s="119"/>
      <c r="N48" s="71">
        <f t="shared" si="1"/>
        <v>0</v>
      </c>
      <c r="O48" s="76"/>
    </row>
    <row r="49" spans="1:15" ht="14.4" x14ac:dyDescent="0.3">
      <c r="A49" s="148">
        <v>541</v>
      </c>
      <c r="B49" s="59" t="s">
        <v>1286</v>
      </c>
      <c r="C49" s="59" t="s">
        <v>1217</v>
      </c>
      <c r="D49" s="115" t="s">
        <v>1322</v>
      </c>
      <c r="E49" s="59" t="s">
        <v>1323</v>
      </c>
      <c r="F49" s="115" t="s">
        <v>1324</v>
      </c>
      <c r="G49" s="59" t="s">
        <v>133</v>
      </c>
      <c r="H49" s="59" t="s">
        <v>134</v>
      </c>
      <c r="I49" s="115" t="s">
        <v>280</v>
      </c>
      <c r="J49" s="125" t="s">
        <v>26</v>
      </c>
      <c r="K49" s="70">
        <v>16.5</v>
      </c>
      <c r="L49" s="139">
        <v>9.4</v>
      </c>
      <c r="M49" s="119"/>
      <c r="N49" s="71">
        <f t="shared" si="1"/>
        <v>0</v>
      </c>
      <c r="O49" s="76"/>
    </row>
    <row r="50" spans="1:15" ht="14.4" x14ac:dyDescent="0.3">
      <c r="A50" s="148">
        <v>542</v>
      </c>
      <c r="B50" s="59" t="s">
        <v>1286</v>
      </c>
      <c r="C50" s="59" t="s">
        <v>1217</v>
      </c>
      <c r="D50" s="115" t="s">
        <v>1325</v>
      </c>
      <c r="E50" s="59" t="s">
        <v>1326</v>
      </c>
      <c r="F50" s="115" t="s">
        <v>1327</v>
      </c>
      <c r="G50" s="59" t="s">
        <v>133</v>
      </c>
      <c r="H50" s="59" t="s">
        <v>134</v>
      </c>
      <c r="I50" s="115" t="s">
        <v>280</v>
      </c>
      <c r="J50" s="125" t="s">
        <v>26</v>
      </c>
      <c r="K50" s="70">
        <v>24.5</v>
      </c>
      <c r="L50" s="139">
        <v>13.9</v>
      </c>
      <c r="M50" s="119"/>
      <c r="N50" s="71">
        <f t="shared" si="1"/>
        <v>0</v>
      </c>
      <c r="O50" s="76"/>
    </row>
    <row r="51" spans="1:15" ht="14.4" x14ac:dyDescent="0.3">
      <c r="A51" s="148">
        <v>543</v>
      </c>
      <c r="B51" s="59" t="s">
        <v>1286</v>
      </c>
      <c r="C51" s="59" t="s">
        <v>1217</v>
      </c>
      <c r="D51" s="115" t="s">
        <v>1328</v>
      </c>
      <c r="E51" s="59" t="s">
        <v>1329</v>
      </c>
      <c r="F51" s="115" t="s">
        <v>1330</v>
      </c>
      <c r="G51" s="59" t="s">
        <v>987</v>
      </c>
      <c r="H51" s="59" t="s">
        <v>988</v>
      </c>
      <c r="I51" s="115" t="s">
        <v>280</v>
      </c>
      <c r="J51" s="125" t="s">
        <v>26</v>
      </c>
      <c r="K51" s="70">
        <v>18.5</v>
      </c>
      <c r="L51" s="139">
        <v>10.5</v>
      </c>
      <c r="M51" s="119"/>
      <c r="N51" s="71">
        <f t="shared" si="1"/>
        <v>0</v>
      </c>
      <c r="O51" s="76"/>
    </row>
    <row r="52" spans="1:15" ht="14.4" x14ac:dyDescent="0.3">
      <c r="A52" s="148">
        <v>544</v>
      </c>
      <c r="B52" s="59" t="s">
        <v>1286</v>
      </c>
      <c r="C52" s="59" t="s">
        <v>1217</v>
      </c>
      <c r="D52" s="115" t="s">
        <v>1331</v>
      </c>
      <c r="E52" s="59" t="s">
        <v>1332</v>
      </c>
      <c r="F52" s="115" t="s">
        <v>1333</v>
      </c>
      <c r="G52" s="59" t="s">
        <v>161</v>
      </c>
      <c r="H52" s="59" t="s">
        <v>162</v>
      </c>
      <c r="I52" s="115" t="s">
        <v>280</v>
      </c>
      <c r="J52" s="125" t="s">
        <v>26</v>
      </c>
      <c r="K52" s="70">
        <v>41.5</v>
      </c>
      <c r="L52" s="139">
        <v>23.5</v>
      </c>
      <c r="M52" s="119"/>
      <c r="N52" s="71">
        <f t="shared" si="1"/>
        <v>0</v>
      </c>
      <c r="O52" s="76"/>
    </row>
    <row r="53" spans="1:15" ht="14.4" x14ac:dyDescent="0.3">
      <c r="A53" s="148">
        <v>545</v>
      </c>
      <c r="B53" s="59" t="s">
        <v>1286</v>
      </c>
      <c r="C53" s="59" t="s">
        <v>1217</v>
      </c>
      <c r="D53" s="115" t="s">
        <v>1334</v>
      </c>
      <c r="E53" s="59" t="s">
        <v>1335</v>
      </c>
      <c r="F53" s="115" t="s">
        <v>1336</v>
      </c>
      <c r="G53" s="59" t="s">
        <v>133</v>
      </c>
      <c r="H53" s="59" t="s">
        <v>134</v>
      </c>
      <c r="I53" s="115" t="s">
        <v>270</v>
      </c>
      <c r="J53" s="125" t="s">
        <v>1037</v>
      </c>
      <c r="K53" s="70">
        <v>12.5</v>
      </c>
      <c r="L53" s="139">
        <v>7.1</v>
      </c>
      <c r="M53" s="119"/>
      <c r="N53" s="71">
        <f t="shared" si="1"/>
        <v>0</v>
      </c>
      <c r="O53" s="76"/>
    </row>
    <row r="54" spans="1:15" ht="14.4" x14ac:dyDescent="0.3">
      <c r="A54" s="148">
        <v>546</v>
      </c>
      <c r="B54" s="59" t="s">
        <v>1286</v>
      </c>
      <c r="C54" s="59" t="s">
        <v>1217</v>
      </c>
      <c r="D54" s="115" t="s">
        <v>1334</v>
      </c>
      <c r="E54" s="59" t="s">
        <v>1337</v>
      </c>
      <c r="F54" s="115" t="s">
        <v>1336</v>
      </c>
      <c r="G54" s="59" t="s">
        <v>133</v>
      </c>
      <c r="H54" s="59" t="s">
        <v>134</v>
      </c>
      <c r="I54" s="115" t="s">
        <v>272</v>
      </c>
      <c r="J54" s="125" t="s">
        <v>26</v>
      </c>
      <c r="K54" s="70">
        <v>12.5</v>
      </c>
      <c r="L54" s="139">
        <v>7.1</v>
      </c>
      <c r="M54" s="119"/>
      <c r="N54" s="71">
        <f t="shared" si="1"/>
        <v>0</v>
      </c>
      <c r="O54" s="76"/>
    </row>
    <row r="55" spans="1:15" ht="14.4" x14ac:dyDescent="0.3">
      <c r="A55" s="148">
        <v>547</v>
      </c>
      <c r="B55" s="59" t="s">
        <v>1286</v>
      </c>
      <c r="C55" s="59" t="s">
        <v>1217</v>
      </c>
      <c r="D55" s="115" t="s">
        <v>1334</v>
      </c>
      <c r="E55" s="59" t="s">
        <v>1338</v>
      </c>
      <c r="F55" s="115" t="s">
        <v>1336</v>
      </c>
      <c r="G55" s="59" t="s">
        <v>133</v>
      </c>
      <c r="H55" s="59" t="s">
        <v>134</v>
      </c>
      <c r="I55" s="115" t="s">
        <v>274</v>
      </c>
      <c r="J55" s="125" t="s">
        <v>26</v>
      </c>
      <c r="K55" s="70">
        <v>12.5</v>
      </c>
      <c r="L55" s="139">
        <v>7.1</v>
      </c>
      <c r="M55" s="119"/>
      <c r="N55" s="71">
        <f t="shared" si="1"/>
        <v>0</v>
      </c>
      <c r="O55" s="76"/>
    </row>
    <row r="56" spans="1:15" ht="14.4" x14ac:dyDescent="0.3">
      <c r="A56" s="148">
        <v>548</v>
      </c>
      <c r="B56" s="59" t="s">
        <v>1286</v>
      </c>
      <c r="C56" s="59" t="s">
        <v>1217</v>
      </c>
      <c r="D56" s="115" t="s">
        <v>1339</v>
      </c>
      <c r="E56" s="59" t="s">
        <v>1340</v>
      </c>
      <c r="F56" s="115" t="s">
        <v>1341</v>
      </c>
      <c r="G56" s="59" t="s">
        <v>161</v>
      </c>
      <c r="H56" s="59" t="s">
        <v>162</v>
      </c>
      <c r="I56" s="115" t="s">
        <v>280</v>
      </c>
      <c r="J56" s="125" t="s">
        <v>26</v>
      </c>
      <c r="K56" s="70">
        <v>60.5</v>
      </c>
      <c r="L56" s="139">
        <v>34.200000000000003</v>
      </c>
      <c r="M56" s="119"/>
      <c r="N56" s="71">
        <f t="shared" si="1"/>
        <v>0</v>
      </c>
      <c r="O56" s="76"/>
    </row>
    <row r="57" spans="1:15" ht="14.4" x14ac:dyDescent="0.3">
      <c r="A57" s="148">
        <v>549</v>
      </c>
      <c r="B57" s="59" t="s">
        <v>1286</v>
      </c>
      <c r="C57" s="59" t="s">
        <v>1217</v>
      </c>
      <c r="D57" s="115" t="s">
        <v>1342</v>
      </c>
      <c r="E57" s="59" t="s">
        <v>1343</v>
      </c>
      <c r="F57" s="115" t="s">
        <v>1344</v>
      </c>
      <c r="G57" s="59" t="s">
        <v>161</v>
      </c>
      <c r="H57" s="59" t="s">
        <v>162</v>
      </c>
      <c r="I57" s="115" t="s">
        <v>280</v>
      </c>
      <c r="J57" s="125" t="s">
        <v>26</v>
      </c>
      <c r="K57" s="70">
        <v>18.5</v>
      </c>
      <c r="L57" s="139">
        <v>10.5</v>
      </c>
      <c r="M57" s="119"/>
      <c r="N57" s="71">
        <f t="shared" si="1"/>
        <v>0</v>
      </c>
      <c r="O57" s="76"/>
    </row>
    <row r="58" spans="1:15" ht="14.4" x14ac:dyDescent="0.3">
      <c r="A58" s="148">
        <v>550</v>
      </c>
      <c r="B58" s="59" t="s">
        <v>1286</v>
      </c>
      <c r="C58" s="59" t="s">
        <v>1217</v>
      </c>
      <c r="D58" s="115" t="s">
        <v>1345</v>
      </c>
      <c r="E58" s="59" t="s">
        <v>1346</v>
      </c>
      <c r="F58" s="115" t="s">
        <v>1347</v>
      </c>
      <c r="G58" s="59" t="s">
        <v>133</v>
      </c>
      <c r="H58" s="59" t="s">
        <v>134</v>
      </c>
      <c r="I58" s="115" t="s">
        <v>280</v>
      </c>
      <c r="J58" s="125" t="s">
        <v>26</v>
      </c>
      <c r="K58" s="70">
        <v>15.5</v>
      </c>
      <c r="L58" s="139">
        <v>8.7999999999999989</v>
      </c>
      <c r="M58" s="119"/>
      <c r="N58" s="71">
        <f t="shared" si="1"/>
        <v>0</v>
      </c>
      <c r="O58" s="76"/>
    </row>
    <row r="59" spans="1:15" ht="14.4" x14ac:dyDescent="0.3">
      <c r="A59" s="148">
        <v>551</v>
      </c>
      <c r="B59" s="59" t="s">
        <v>1286</v>
      </c>
      <c r="C59" s="59" t="s">
        <v>1217</v>
      </c>
      <c r="D59" s="115" t="s">
        <v>1348</v>
      </c>
      <c r="E59" s="59" t="s">
        <v>1349</v>
      </c>
      <c r="F59" s="115" t="s">
        <v>1350</v>
      </c>
      <c r="G59" s="59" t="s">
        <v>161</v>
      </c>
      <c r="H59" s="59" t="s">
        <v>162</v>
      </c>
      <c r="I59" s="115" t="s">
        <v>280</v>
      </c>
      <c r="J59" s="125" t="s">
        <v>26</v>
      </c>
      <c r="K59" s="70">
        <v>30</v>
      </c>
      <c r="L59" s="139">
        <v>17</v>
      </c>
      <c r="M59" s="119"/>
      <c r="N59" s="71">
        <f t="shared" si="1"/>
        <v>0</v>
      </c>
      <c r="O59" s="76"/>
    </row>
    <row r="60" spans="1:15" ht="14.4" x14ac:dyDescent="0.3">
      <c r="A60" s="148">
        <v>552</v>
      </c>
      <c r="B60" s="59" t="s">
        <v>1286</v>
      </c>
      <c r="C60" s="59" t="s">
        <v>1217</v>
      </c>
      <c r="D60" s="115" t="s">
        <v>1351</v>
      </c>
      <c r="E60" s="59" t="s">
        <v>1352</v>
      </c>
      <c r="F60" s="115" t="s">
        <v>1353</v>
      </c>
      <c r="G60" s="59" t="s">
        <v>161</v>
      </c>
      <c r="H60" s="59" t="s">
        <v>162</v>
      </c>
      <c r="I60" s="115" t="s">
        <v>280</v>
      </c>
      <c r="J60" s="125" t="s">
        <v>26</v>
      </c>
      <c r="K60" s="70">
        <v>15.5</v>
      </c>
      <c r="L60" s="139">
        <v>8.7999999999999989</v>
      </c>
      <c r="M60" s="119"/>
      <c r="N60" s="71">
        <f t="shared" si="1"/>
        <v>0</v>
      </c>
      <c r="O60" s="76"/>
    </row>
    <row r="61" spans="1:15" ht="14.4" x14ac:dyDescent="0.3">
      <c r="A61" s="148">
        <v>553</v>
      </c>
      <c r="B61" s="59" t="s">
        <v>1286</v>
      </c>
      <c r="C61" s="59" t="s">
        <v>1217</v>
      </c>
      <c r="D61" s="115" t="s">
        <v>1354</v>
      </c>
      <c r="E61" s="59" t="s">
        <v>1355</v>
      </c>
      <c r="F61" s="115" t="s">
        <v>1356</v>
      </c>
      <c r="G61" s="59" t="s">
        <v>161</v>
      </c>
      <c r="H61" s="59" t="s">
        <v>162</v>
      </c>
      <c r="I61" s="115" t="s">
        <v>280</v>
      </c>
      <c r="J61" s="125" t="s">
        <v>26</v>
      </c>
      <c r="K61" s="70">
        <v>15.5</v>
      </c>
      <c r="L61" s="139">
        <v>8.7999999999999989</v>
      </c>
      <c r="M61" s="119"/>
      <c r="N61" s="71">
        <f t="shared" si="1"/>
        <v>0</v>
      </c>
      <c r="O61" s="76"/>
    </row>
    <row r="62" spans="1:15" ht="14.4" x14ac:dyDescent="0.3">
      <c r="A62" s="148">
        <v>554</v>
      </c>
      <c r="B62" s="59" t="s">
        <v>1286</v>
      </c>
      <c r="C62" s="59" t="s">
        <v>1217</v>
      </c>
      <c r="D62" s="115" t="s">
        <v>1357</v>
      </c>
      <c r="E62" s="59" t="s">
        <v>1358</v>
      </c>
      <c r="F62" s="115" t="s">
        <v>1359</v>
      </c>
      <c r="G62" s="59" t="s">
        <v>161</v>
      </c>
      <c r="H62" s="59" t="s">
        <v>792</v>
      </c>
      <c r="I62" s="115" t="s">
        <v>280</v>
      </c>
      <c r="J62" s="125" t="s">
        <v>26</v>
      </c>
      <c r="K62" s="70">
        <v>30</v>
      </c>
      <c r="L62" s="139">
        <v>17</v>
      </c>
      <c r="M62" s="119"/>
      <c r="N62" s="71">
        <f t="shared" si="1"/>
        <v>0</v>
      </c>
      <c r="O62" s="76"/>
    </row>
    <row r="63" spans="1:15" ht="14.4" x14ac:dyDescent="0.3">
      <c r="A63" s="148">
        <v>555</v>
      </c>
      <c r="B63" s="59" t="s">
        <v>1286</v>
      </c>
      <c r="C63" s="59" t="s">
        <v>1217</v>
      </c>
      <c r="D63" s="115" t="s">
        <v>1360</v>
      </c>
      <c r="E63" s="59" t="s">
        <v>1361</v>
      </c>
      <c r="F63" s="115" t="s">
        <v>1362</v>
      </c>
      <c r="G63" s="59" t="s">
        <v>133</v>
      </c>
      <c r="H63" s="59" t="s">
        <v>134</v>
      </c>
      <c r="I63" s="115" t="s">
        <v>280</v>
      </c>
      <c r="J63" s="125" t="s">
        <v>26</v>
      </c>
      <c r="K63" s="70">
        <v>10.25</v>
      </c>
      <c r="L63" s="139">
        <v>5.8</v>
      </c>
      <c r="M63" s="119"/>
      <c r="N63" s="71">
        <f t="shared" si="1"/>
        <v>0</v>
      </c>
      <c r="O63" s="76"/>
    </row>
    <row r="64" spans="1:15" ht="14.4" x14ac:dyDescent="0.3">
      <c r="A64" s="148">
        <v>556</v>
      </c>
      <c r="B64" s="15" t="s">
        <v>1286</v>
      </c>
      <c r="C64" s="15" t="s">
        <v>1217</v>
      </c>
      <c r="D64" s="16" t="s">
        <v>1363</v>
      </c>
      <c r="E64" s="16" t="s">
        <v>1364</v>
      </c>
      <c r="F64" s="15" t="s">
        <v>1365</v>
      </c>
      <c r="G64" s="16" t="s">
        <v>161</v>
      </c>
      <c r="H64" s="15" t="s">
        <v>162</v>
      </c>
      <c r="I64" s="15" t="s">
        <v>280</v>
      </c>
      <c r="J64" s="125" t="s">
        <v>101</v>
      </c>
      <c r="K64" s="70">
        <v>15</v>
      </c>
      <c r="L64" s="139">
        <v>8.5</v>
      </c>
      <c r="M64" s="119"/>
      <c r="N64" s="71">
        <f t="shared" si="1"/>
        <v>0</v>
      </c>
      <c r="O64" s="76"/>
    </row>
    <row r="65" spans="1:15" ht="14.4" x14ac:dyDescent="0.3">
      <c r="A65" s="148">
        <v>557</v>
      </c>
      <c r="B65" s="59" t="s">
        <v>1286</v>
      </c>
      <c r="C65" s="59" t="s">
        <v>1217</v>
      </c>
      <c r="D65" s="115" t="s">
        <v>1366</v>
      </c>
      <c r="E65" s="59" t="s">
        <v>1367</v>
      </c>
      <c r="F65" s="115" t="s">
        <v>1368</v>
      </c>
      <c r="G65" s="59" t="s">
        <v>987</v>
      </c>
      <c r="H65" s="59" t="s">
        <v>988</v>
      </c>
      <c r="I65" s="115" t="s">
        <v>280</v>
      </c>
      <c r="J65" s="125" t="s">
        <v>26</v>
      </c>
      <c r="K65" s="132">
        <v>46</v>
      </c>
      <c r="L65" s="139">
        <v>26</v>
      </c>
      <c r="M65" s="119"/>
      <c r="N65" s="60">
        <f t="shared" si="1"/>
        <v>0</v>
      </c>
      <c r="O65" s="76"/>
    </row>
  </sheetData>
  <autoFilter ref="A13:N56" xr:uid="{E98339E8-331F-4497-92F4-8817540B65EA}">
    <sortState xmlns:xlrd2="http://schemas.microsoft.com/office/spreadsheetml/2017/richdata2" ref="A14:N65">
      <sortCondition ref="A13:A56"/>
    </sortState>
  </autoFilter>
  <sortState xmlns:xlrd2="http://schemas.microsoft.com/office/spreadsheetml/2017/richdata2" ref="A13:N56">
    <sortCondition ref="B14:B56"/>
  </sortState>
  <customSheetViews>
    <customSheetView guid="{E0BAB3EC-1201-4193-B59E-5B286709951D}" scale="90" showGridLines="0" showAutoFilter="1">
      <pageMargins left="0" right="0" top="0" bottom="0" header="0" footer="0"/>
      <autoFilter ref="A13:N276" xr:uid="{9D516AAB-FD72-4301-A3D5-A27C91C26224}">
        <sortState xmlns:xlrd2="http://schemas.microsoft.com/office/spreadsheetml/2017/richdata2" ref="A14:N276">
          <sortCondition ref="A13"/>
        </sortState>
      </autoFilter>
    </customSheetView>
  </customSheetView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O117"/>
  <sheetViews>
    <sheetView showGridLines="0" zoomScale="90" zoomScaleNormal="90" workbookViewId="0">
      <selection activeCell="O1" sqref="O1:O1048576"/>
    </sheetView>
  </sheetViews>
  <sheetFormatPr defaultColWidth="9.109375" defaultRowHeight="13.8" x14ac:dyDescent="0.3"/>
  <cols>
    <col min="1" max="1" width="6" style="53" customWidth="1"/>
    <col min="2" max="2" width="26" style="53" bestFit="1" customWidth="1"/>
    <col min="3" max="3" width="13.44140625" style="53" bestFit="1" customWidth="1"/>
    <col min="4" max="5" width="13.44140625" style="53" customWidth="1"/>
    <col min="6" max="6" width="58.88671875" style="53" customWidth="1"/>
    <col min="7" max="7" width="8.44140625" style="53" bestFit="1" customWidth="1"/>
    <col min="8" max="8" width="20.44140625" style="53" customWidth="1"/>
    <col min="9" max="9" width="7.33203125" style="53" bestFit="1" customWidth="1"/>
    <col min="10" max="10" width="19" style="75" customWidth="1"/>
    <col min="11" max="11" width="16.33203125" style="53" customWidth="1"/>
    <col min="12" max="12" width="16.44140625" style="53" customWidth="1"/>
    <col min="13" max="13" width="8.33203125" style="76" bestFit="1" customWidth="1"/>
    <col min="14" max="14" width="15.6640625" style="53" bestFit="1" customWidth="1"/>
    <col min="15" max="15" width="12.44140625" style="53" customWidth="1"/>
    <col min="16" max="16384" width="9.109375" style="53"/>
  </cols>
  <sheetData>
    <row r="1" spans="1:15" x14ac:dyDescent="0.3">
      <c r="B1" s="54"/>
      <c r="C1" s="54"/>
      <c r="D1" s="54"/>
      <c r="E1" s="54"/>
      <c r="F1" s="54"/>
      <c r="G1" s="54"/>
      <c r="H1" s="54"/>
      <c r="I1" s="54"/>
      <c r="J1" s="55"/>
      <c r="K1" s="56"/>
      <c r="L1" s="56"/>
      <c r="M1" s="56"/>
      <c r="N1" s="56"/>
    </row>
    <row r="2" spans="1:15" ht="14.4" x14ac:dyDescent="0.3">
      <c r="B2"/>
      <c r="C2" s="54"/>
      <c r="D2" s="54"/>
      <c r="E2" s="54"/>
      <c r="F2" s="54"/>
      <c r="G2" s="54"/>
      <c r="H2" s="54"/>
      <c r="I2" s="54"/>
      <c r="J2" s="55"/>
      <c r="K2" s="56"/>
      <c r="L2" s="56"/>
      <c r="M2" s="56"/>
      <c r="N2" s="56"/>
    </row>
    <row r="3" spans="1:15" x14ac:dyDescent="0.3">
      <c r="B3" s="54"/>
      <c r="C3" s="54"/>
      <c r="D3" s="54"/>
      <c r="E3" s="54"/>
      <c r="F3" s="54"/>
      <c r="G3" s="54"/>
      <c r="H3" s="54"/>
      <c r="I3" s="54"/>
      <c r="J3" s="55"/>
      <c r="K3" s="56"/>
      <c r="L3" s="56"/>
      <c r="M3" s="56"/>
      <c r="N3" s="56"/>
    </row>
    <row r="4" spans="1:15" x14ac:dyDescent="0.3">
      <c r="B4" s="54"/>
      <c r="C4" s="54"/>
      <c r="D4" s="54"/>
      <c r="E4" s="54"/>
      <c r="F4" s="54"/>
      <c r="G4" s="54"/>
      <c r="H4" s="54"/>
      <c r="I4" s="54"/>
      <c r="J4" s="55"/>
      <c r="K4" s="56"/>
      <c r="L4" s="56"/>
      <c r="M4" s="56"/>
      <c r="N4" s="56"/>
    </row>
    <row r="5" spans="1:15" x14ac:dyDescent="0.3">
      <c r="B5" s="54"/>
      <c r="C5" s="54"/>
      <c r="D5" s="54"/>
      <c r="E5" s="54"/>
      <c r="F5" s="54"/>
      <c r="G5" s="57" t="s">
        <v>1810</v>
      </c>
      <c r="J5" s="56"/>
      <c r="K5" s="94" t="s">
        <v>0</v>
      </c>
      <c r="L5" s="143">
        <f>SUM(N16:N117)</f>
        <v>0</v>
      </c>
      <c r="N5" s="56"/>
    </row>
    <row r="6" spans="1:15" ht="14.4" x14ac:dyDescent="0.3">
      <c r="B6" s="54"/>
      <c r="C6" s="54"/>
      <c r="D6" s="54"/>
      <c r="E6" s="54"/>
      <c r="F6" s="54"/>
      <c r="G6" s="92" t="s">
        <v>1369</v>
      </c>
      <c r="J6"/>
      <c r="K6" s="94" t="s">
        <v>2</v>
      </c>
      <c r="L6" s="96">
        <f>SUM(M16:M117)</f>
        <v>0</v>
      </c>
      <c r="N6" s="56"/>
    </row>
    <row r="7" spans="1:15" x14ac:dyDescent="0.3">
      <c r="B7" s="54"/>
      <c r="C7" s="54"/>
      <c r="D7" s="54"/>
      <c r="E7" s="54"/>
      <c r="F7" s="54"/>
      <c r="G7" s="54"/>
      <c r="H7" s="54"/>
      <c r="I7" s="54"/>
      <c r="J7" s="55"/>
      <c r="K7" s="56"/>
      <c r="L7" s="56"/>
      <c r="M7" s="56"/>
      <c r="N7" s="56"/>
    </row>
    <row r="8" spans="1:15" x14ac:dyDescent="0.3">
      <c r="B8" s="54"/>
      <c r="C8" s="54"/>
      <c r="D8" s="54"/>
      <c r="E8" s="54"/>
      <c r="F8" s="54"/>
      <c r="G8" s="54"/>
      <c r="H8" s="54"/>
      <c r="I8" s="54"/>
      <c r="J8" s="55"/>
      <c r="K8" s="56"/>
      <c r="L8" s="56"/>
      <c r="M8" s="56"/>
      <c r="N8" s="56"/>
    </row>
    <row r="9" spans="1:15" x14ac:dyDescent="0.3">
      <c r="B9" s="58"/>
      <c r="C9" s="54"/>
      <c r="D9" s="54"/>
      <c r="E9" s="54"/>
      <c r="F9" s="54"/>
      <c r="G9" s="54"/>
      <c r="H9" s="54"/>
      <c r="I9" s="54"/>
      <c r="K9" s="56"/>
      <c r="L9" s="56"/>
      <c r="M9" s="56"/>
      <c r="N9" s="56"/>
    </row>
    <row r="10" spans="1:15" x14ac:dyDescent="0.3">
      <c r="B10" s="58"/>
      <c r="C10" s="54"/>
      <c r="D10" s="54"/>
      <c r="E10" s="54"/>
      <c r="F10" s="54"/>
      <c r="G10" s="54"/>
      <c r="H10" s="54"/>
      <c r="I10" s="54"/>
      <c r="K10" s="56"/>
      <c r="L10" s="56"/>
      <c r="M10" s="56"/>
      <c r="N10" s="56"/>
    </row>
    <row r="11" spans="1:15" x14ac:dyDescent="0.3">
      <c r="B11" s="58"/>
      <c r="C11" s="54"/>
      <c r="D11" s="54"/>
      <c r="E11" s="54"/>
      <c r="F11" s="54"/>
      <c r="G11" s="54"/>
      <c r="H11" s="54"/>
      <c r="I11" s="54"/>
      <c r="J11" s="55"/>
      <c r="K11" s="56"/>
      <c r="L11" s="56"/>
      <c r="M11" s="56"/>
      <c r="N11" s="56"/>
    </row>
    <row r="12" spans="1:15" x14ac:dyDescent="0.3">
      <c r="B12" s="58"/>
      <c r="C12" s="54"/>
      <c r="D12" s="54"/>
      <c r="E12" s="54"/>
      <c r="F12" s="54"/>
      <c r="G12" s="54"/>
      <c r="H12" s="54"/>
      <c r="I12" s="54"/>
      <c r="J12" s="55"/>
      <c r="K12" s="56"/>
      <c r="L12" s="56"/>
      <c r="M12" s="56"/>
      <c r="N12" s="56"/>
    </row>
    <row r="13" spans="1:15" x14ac:dyDescent="0.3">
      <c r="B13" s="58"/>
      <c r="C13" s="54"/>
      <c r="D13" s="54"/>
      <c r="E13" s="54"/>
      <c r="F13" s="54"/>
      <c r="G13" s="54"/>
      <c r="H13" s="54"/>
      <c r="I13" s="54"/>
      <c r="J13" s="55"/>
      <c r="K13" s="56"/>
      <c r="L13" s="56"/>
      <c r="M13" s="56"/>
      <c r="N13" s="56"/>
    </row>
    <row r="14" spans="1:15" x14ac:dyDescent="0.3">
      <c r="B14" s="54"/>
      <c r="C14" s="54"/>
      <c r="D14" s="54"/>
      <c r="E14" s="54"/>
      <c r="F14" s="54"/>
      <c r="G14" s="54"/>
      <c r="H14" s="54"/>
      <c r="I14" s="54"/>
      <c r="J14" s="55"/>
      <c r="K14" s="56"/>
      <c r="L14" s="56"/>
      <c r="M14" s="56"/>
      <c r="N14" s="56"/>
    </row>
    <row r="15" spans="1:15" ht="27.6" x14ac:dyDescent="0.3">
      <c r="A15" s="126" t="s">
        <v>5</v>
      </c>
      <c r="B15" s="127" t="s">
        <v>6</v>
      </c>
      <c r="C15" s="127" t="s">
        <v>7</v>
      </c>
      <c r="D15" s="127" t="s">
        <v>8</v>
      </c>
      <c r="E15" s="127" t="s">
        <v>9</v>
      </c>
      <c r="F15" s="127" t="s">
        <v>10</v>
      </c>
      <c r="G15" s="127" t="s">
        <v>11</v>
      </c>
      <c r="H15" s="127" t="s">
        <v>12</v>
      </c>
      <c r="I15" s="127" t="s">
        <v>13</v>
      </c>
      <c r="J15" s="128" t="s">
        <v>14</v>
      </c>
      <c r="K15" s="129" t="s">
        <v>15</v>
      </c>
      <c r="L15" s="137" t="s">
        <v>1809</v>
      </c>
      <c r="M15" s="130" t="s">
        <v>17</v>
      </c>
      <c r="N15" s="131" t="s">
        <v>18</v>
      </c>
    </row>
    <row r="16" spans="1:15" ht="14.4" x14ac:dyDescent="0.3">
      <c r="A16" s="149">
        <v>558</v>
      </c>
      <c r="B16" s="17" t="s">
        <v>1370</v>
      </c>
      <c r="C16" s="15" t="s">
        <v>1371</v>
      </c>
      <c r="D16" s="15" t="s">
        <v>1372</v>
      </c>
      <c r="E16" s="16" t="s">
        <v>1373</v>
      </c>
      <c r="F16" s="16" t="s">
        <v>1374</v>
      </c>
      <c r="G16" s="15" t="s">
        <v>1375</v>
      </c>
      <c r="H16" s="16" t="s">
        <v>1376</v>
      </c>
      <c r="I16" s="15" t="s">
        <v>1377</v>
      </c>
      <c r="J16" s="125" t="s">
        <v>1037</v>
      </c>
      <c r="K16" s="70">
        <v>54.99</v>
      </c>
      <c r="L16" s="139">
        <v>23.3</v>
      </c>
      <c r="M16" s="119"/>
      <c r="N16" s="71">
        <f t="shared" ref="N16:N47" si="0">L16*M16</f>
        <v>0</v>
      </c>
      <c r="O16" s="76"/>
    </row>
    <row r="17" spans="1:15" ht="14.4" x14ac:dyDescent="0.3">
      <c r="A17" s="149">
        <v>559</v>
      </c>
      <c r="B17" s="17" t="s">
        <v>1370</v>
      </c>
      <c r="C17" s="15" t="s">
        <v>1371</v>
      </c>
      <c r="D17" s="15" t="s">
        <v>1372</v>
      </c>
      <c r="E17" s="16" t="s">
        <v>1378</v>
      </c>
      <c r="F17" s="16" t="s">
        <v>1374</v>
      </c>
      <c r="G17" s="15" t="s">
        <v>1375</v>
      </c>
      <c r="H17" s="16" t="s">
        <v>1376</v>
      </c>
      <c r="I17" s="15" t="s">
        <v>270</v>
      </c>
      <c r="J17" s="125" t="s">
        <v>1037</v>
      </c>
      <c r="K17" s="70">
        <v>54.99</v>
      </c>
      <c r="L17" s="139">
        <v>23.3</v>
      </c>
      <c r="M17" s="119"/>
      <c r="N17" s="71">
        <f t="shared" si="0"/>
        <v>0</v>
      </c>
      <c r="O17" s="76"/>
    </row>
    <row r="18" spans="1:15" ht="14.4" x14ac:dyDescent="0.3">
      <c r="A18" s="149">
        <v>560</v>
      </c>
      <c r="B18" s="17" t="s">
        <v>1370</v>
      </c>
      <c r="C18" s="15" t="s">
        <v>1371</v>
      </c>
      <c r="D18" s="15" t="s">
        <v>1372</v>
      </c>
      <c r="E18" s="16" t="s">
        <v>1379</v>
      </c>
      <c r="F18" s="16" t="s">
        <v>1374</v>
      </c>
      <c r="G18" s="15" t="s">
        <v>1375</v>
      </c>
      <c r="H18" s="16" t="s">
        <v>1376</v>
      </c>
      <c r="I18" s="15" t="s">
        <v>272</v>
      </c>
      <c r="J18" s="125" t="s">
        <v>1037</v>
      </c>
      <c r="K18" s="70">
        <v>54.99</v>
      </c>
      <c r="L18" s="139">
        <v>23.3</v>
      </c>
      <c r="M18" s="119"/>
      <c r="N18" s="71">
        <f t="shared" si="0"/>
        <v>0</v>
      </c>
      <c r="O18" s="76"/>
    </row>
    <row r="19" spans="1:15" ht="14.4" x14ac:dyDescent="0.3">
      <c r="A19" s="149">
        <v>561</v>
      </c>
      <c r="B19" s="17" t="s">
        <v>1370</v>
      </c>
      <c r="C19" s="15" t="s">
        <v>1371</v>
      </c>
      <c r="D19" s="15" t="s">
        <v>1372</v>
      </c>
      <c r="E19" s="16" t="s">
        <v>1380</v>
      </c>
      <c r="F19" s="16" t="s">
        <v>1374</v>
      </c>
      <c r="G19" s="15" t="s">
        <v>1375</v>
      </c>
      <c r="H19" s="16" t="s">
        <v>1376</v>
      </c>
      <c r="I19" s="15" t="s">
        <v>274</v>
      </c>
      <c r="J19" s="125" t="s">
        <v>1037</v>
      </c>
      <c r="K19" s="70">
        <v>54.99</v>
      </c>
      <c r="L19" s="139">
        <v>23.3</v>
      </c>
      <c r="M19" s="119"/>
      <c r="N19" s="71">
        <f t="shared" si="0"/>
        <v>0</v>
      </c>
      <c r="O19" s="76"/>
    </row>
    <row r="20" spans="1:15" ht="14.4" x14ac:dyDescent="0.3">
      <c r="A20" s="149">
        <v>562</v>
      </c>
      <c r="B20" s="17" t="s">
        <v>1370</v>
      </c>
      <c r="C20" s="15" t="s">
        <v>1371</v>
      </c>
      <c r="D20" s="15" t="s">
        <v>1372</v>
      </c>
      <c r="E20" s="16" t="s">
        <v>1381</v>
      </c>
      <c r="F20" s="16" t="s">
        <v>1374</v>
      </c>
      <c r="G20" s="15" t="s">
        <v>1375</v>
      </c>
      <c r="H20" s="16" t="s">
        <v>1376</v>
      </c>
      <c r="I20" s="15" t="s">
        <v>276</v>
      </c>
      <c r="J20" s="125" t="s">
        <v>1037</v>
      </c>
      <c r="K20" s="70">
        <v>54.99</v>
      </c>
      <c r="L20" s="139">
        <v>23.3</v>
      </c>
      <c r="M20" s="119"/>
      <c r="N20" s="71">
        <f t="shared" si="0"/>
        <v>0</v>
      </c>
      <c r="O20" s="76"/>
    </row>
    <row r="21" spans="1:15" ht="14.4" x14ac:dyDescent="0.3">
      <c r="A21" s="149">
        <v>563</v>
      </c>
      <c r="B21" s="17" t="s">
        <v>1370</v>
      </c>
      <c r="C21" s="15" t="s">
        <v>1371</v>
      </c>
      <c r="D21" s="15" t="s">
        <v>1372</v>
      </c>
      <c r="E21" s="16" t="s">
        <v>1382</v>
      </c>
      <c r="F21" s="16" t="s">
        <v>1374</v>
      </c>
      <c r="G21" s="15" t="s">
        <v>1375</v>
      </c>
      <c r="H21" s="16" t="s">
        <v>1376</v>
      </c>
      <c r="I21" s="15" t="s">
        <v>1383</v>
      </c>
      <c r="J21" s="125" t="s">
        <v>1037</v>
      </c>
      <c r="K21" s="70">
        <v>54.99</v>
      </c>
      <c r="L21" s="139">
        <v>23.3</v>
      </c>
      <c r="M21" s="119"/>
      <c r="N21" s="71">
        <f t="shared" si="0"/>
        <v>0</v>
      </c>
      <c r="O21" s="76"/>
    </row>
    <row r="22" spans="1:15" ht="14.4" x14ac:dyDescent="0.3">
      <c r="A22" s="149">
        <v>564</v>
      </c>
      <c r="B22" s="15" t="s">
        <v>1745</v>
      </c>
      <c r="C22" s="15" t="s">
        <v>1371</v>
      </c>
      <c r="D22" s="16" t="s">
        <v>1782</v>
      </c>
      <c r="E22" s="16" t="s">
        <v>1783</v>
      </c>
      <c r="F22" s="15" t="s">
        <v>1784</v>
      </c>
      <c r="G22" s="16" t="s">
        <v>133</v>
      </c>
      <c r="H22" s="15" t="s">
        <v>134</v>
      </c>
      <c r="I22" s="15" t="s">
        <v>1377</v>
      </c>
      <c r="J22" s="136" t="s">
        <v>26</v>
      </c>
      <c r="K22" s="70">
        <v>89.99</v>
      </c>
      <c r="L22" s="139">
        <v>38.200000000000003</v>
      </c>
      <c r="M22" s="119"/>
      <c r="N22" s="71">
        <f t="shared" si="0"/>
        <v>0</v>
      </c>
      <c r="O22" s="76"/>
    </row>
    <row r="23" spans="1:15" ht="14.4" x14ac:dyDescent="0.3">
      <c r="A23" s="149">
        <v>565</v>
      </c>
      <c r="B23" s="15" t="s">
        <v>1745</v>
      </c>
      <c r="C23" s="15" t="s">
        <v>1371</v>
      </c>
      <c r="D23" s="16" t="s">
        <v>1782</v>
      </c>
      <c r="E23" s="16" t="s">
        <v>1785</v>
      </c>
      <c r="F23" s="15" t="s">
        <v>1784</v>
      </c>
      <c r="G23" s="16" t="s">
        <v>133</v>
      </c>
      <c r="H23" s="15" t="s">
        <v>134</v>
      </c>
      <c r="I23" s="15" t="s">
        <v>270</v>
      </c>
      <c r="J23" s="136" t="s">
        <v>26</v>
      </c>
      <c r="K23" s="70">
        <v>89.99</v>
      </c>
      <c r="L23" s="139">
        <v>38.200000000000003</v>
      </c>
      <c r="M23" s="119"/>
      <c r="N23" s="71">
        <f t="shared" si="0"/>
        <v>0</v>
      </c>
      <c r="O23" s="76"/>
    </row>
    <row r="24" spans="1:15" ht="14.4" x14ac:dyDescent="0.3">
      <c r="A24" s="149">
        <v>566</v>
      </c>
      <c r="B24" s="15" t="s">
        <v>1745</v>
      </c>
      <c r="C24" s="15" t="s">
        <v>1371</v>
      </c>
      <c r="D24" s="16" t="s">
        <v>1782</v>
      </c>
      <c r="E24" s="16" t="s">
        <v>1786</v>
      </c>
      <c r="F24" s="15" t="s">
        <v>1784</v>
      </c>
      <c r="G24" s="16" t="s">
        <v>133</v>
      </c>
      <c r="H24" s="15" t="s">
        <v>134</v>
      </c>
      <c r="I24" s="15" t="s">
        <v>272</v>
      </c>
      <c r="J24" s="136" t="s">
        <v>26</v>
      </c>
      <c r="K24" s="70">
        <v>89.99</v>
      </c>
      <c r="L24" s="139">
        <v>38.200000000000003</v>
      </c>
      <c r="M24" s="119"/>
      <c r="N24" s="71">
        <f t="shared" si="0"/>
        <v>0</v>
      </c>
      <c r="O24" s="76"/>
    </row>
    <row r="25" spans="1:15" ht="14.4" x14ac:dyDescent="0.3">
      <c r="A25" s="149">
        <v>567</v>
      </c>
      <c r="B25" s="15" t="s">
        <v>1745</v>
      </c>
      <c r="C25" s="15" t="s">
        <v>1371</v>
      </c>
      <c r="D25" s="16" t="s">
        <v>1782</v>
      </c>
      <c r="E25" s="16" t="s">
        <v>1787</v>
      </c>
      <c r="F25" s="15" t="s">
        <v>1784</v>
      </c>
      <c r="G25" s="16" t="s">
        <v>133</v>
      </c>
      <c r="H25" s="15" t="s">
        <v>134</v>
      </c>
      <c r="I25" s="15" t="s">
        <v>274</v>
      </c>
      <c r="J25" s="136" t="s">
        <v>26</v>
      </c>
      <c r="K25" s="70">
        <v>89.99</v>
      </c>
      <c r="L25" s="139">
        <v>38.200000000000003</v>
      </c>
      <c r="M25" s="119"/>
      <c r="N25" s="71">
        <f t="shared" si="0"/>
        <v>0</v>
      </c>
      <c r="O25" s="76"/>
    </row>
    <row r="26" spans="1:15" ht="14.4" x14ac:dyDescent="0.3">
      <c r="A26" s="149">
        <v>568</v>
      </c>
      <c r="B26" s="15" t="s">
        <v>1745</v>
      </c>
      <c r="C26" s="15" t="s">
        <v>1371</v>
      </c>
      <c r="D26" s="16" t="s">
        <v>1782</v>
      </c>
      <c r="E26" s="16" t="s">
        <v>1788</v>
      </c>
      <c r="F26" s="15" t="s">
        <v>1784</v>
      </c>
      <c r="G26" s="16" t="s">
        <v>133</v>
      </c>
      <c r="H26" s="15" t="s">
        <v>134</v>
      </c>
      <c r="I26" s="15" t="s">
        <v>276</v>
      </c>
      <c r="J26" s="136" t="s">
        <v>26</v>
      </c>
      <c r="K26" s="70">
        <v>89.99</v>
      </c>
      <c r="L26" s="139">
        <v>38.200000000000003</v>
      </c>
      <c r="M26" s="119"/>
      <c r="N26" s="71">
        <f t="shared" si="0"/>
        <v>0</v>
      </c>
      <c r="O26" s="76"/>
    </row>
    <row r="27" spans="1:15" ht="14.4" x14ac:dyDescent="0.3">
      <c r="A27" s="149">
        <v>569</v>
      </c>
      <c r="B27" s="15" t="s">
        <v>1745</v>
      </c>
      <c r="C27" s="15" t="s">
        <v>1371</v>
      </c>
      <c r="D27" s="16" t="s">
        <v>1782</v>
      </c>
      <c r="E27" s="16" t="s">
        <v>1789</v>
      </c>
      <c r="F27" s="15" t="s">
        <v>1784</v>
      </c>
      <c r="G27" s="16" t="s">
        <v>133</v>
      </c>
      <c r="H27" s="15" t="s">
        <v>134</v>
      </c>
      <c r="I27" s="15" t="s">
        <v>1383</v>
      </c>
      <c r="J27" s="136" t="s">
        <v>26</v>
      </c>
      <c r="K27" s="70">
        <v>89.99</v>
      </c>
      <c r="L27" s="139">
        <v>38.200000000000003</v>
      </c>
      <c r="M27" s="119"/>
      <c r="N27" s="71">
        <f t="shared" si="0"/>
        <v>0</v>
      </c>
      <c r="O27" s="76"/>
    </row>
    <row r="28" spans="1:15" ht="14.4" x14ac:dyDescent="0.3">
      <c r="A28" s="149">
        <v>570</v>
      </c>
      <c r="B28" s="15" t="s">
        <v>1370</v>
      </c>
      <c r="C28" s="15" t="s">
        <v>1371</v>
      </c>
      <c r="D28" s="16" t="s">
        <v>1790</v>
      </c>
      <c r="E28" s="16" t="s">
        <v>1791</v>
      </c>
      <c r="F28" s="15" t="s">
        <v>1792</v>
      </c>
      <c r="G28" s="16" t="s">
        <v>58</v>
      </c>
      <c r="H28" s="15" t="s">
        <v>59</v>
      </c>
      <c r="I28" s="15" t="s">
        <v>270</v>
      </c>
      <c r="J28" s="136" t="s">
        <v>26</v>
      </c>
      <c r="K28" s="70">
        <v>36.99</v>
      </c>
      <c r="L28" s="139">
        <v>15.7</v>
      </c>
      <c r="M28" s="119"/>
      <c r="N28" s="71">
        <f t="shared" si="0"/>
        <v>0</v>
      </c>
      <c r="O28" s="76"/>
    </row>
    <row r="29" spans="1:15" ht="14.4" x14ac:dyDescent="0.3">
      <c r="A29" s="149">
        <v>571</v>
      </c>
      <c r="B29" s="15" t="s">
        <v>1370</v>
      </c>
      <c r="C29" s="15" t="s">
        <v>1371</v>
      </c>
      <c r="D29" s="16" t="s">
        <v>1790</v>
      </c>
      <c r="E29" s="16" t="s">
        <v>1793</v>
      </c>
      <c r="F29" s="15" t="s">
        <v>1792</v>
      </c>
      <c r="G29" s="16" t="s">
        <v>58</v>
      </c>
      <c r="H29" s="15" t="s">
        <v>59</v>
      </c>
      <c r="I29" s="15" t="s">
        <v>272</v>
      </c>
      <c r="J29" s="136" t="s">
        <v>26</v>
      </c>
      <c r="K29" s="70">
        <v>36.99</v>
      </c>
      <c r="L29" s="139">
        <v>15.7</v>
      </c>
      <c r="M29" s="119"/>
      <c r="N29" s="71">
        <f t="shared" si="0"/>
        <v>0</v>
      </c>
      <c r="O29" s="76"/>
    </row>
    <row r="30" spans="1:15" ht="14.4" x14ac:dyDescent="0.3">
      <c r="A30" s="149">
        <v>572</v>
      </c>
      <c r="B30" s="15" t="s">
        <v>1370</v>
      </c>
      <c r="C30" s="15" t="s">
        <v>1371</v>
      </c>
      <c r="D30" s="16" t="s">
        <v>1790</v>
      </c>
      <c r="E30" s="16" t="s">
        <v>1794</v>
      </c>
      <c r="F30" s="15" t="s">
        <v>1792</v>
      </c>
      <c r="G30" s="16" t="s">
        <v>58</v>
      </c>
      <c r="H30" s="15" t="s">
        <v>59</v>
      </c>
      <c r="I30" s="15" t="s">
        <v>274</v>
      </c>
      <c r="J30" s="136" t="s">
        <v>26</v>
      </c>
      <c r="K30" s="70">
        <v>36.99</v>
      </c>
      <c r="L30" s="139">
        <v>15.7</v>
      </c>
      <c r="M30" s="119"/>
      <c r="N30" s="71">
        <f t="shared" si="0"/>
        <v>0</v>
      </c>
      <c r="O30" s="76"/>
    </row>
    <row r="31" spans="1:15" ht="14.4" x14ac:dyDescent="0.3">
      <c r="A31" s="149">
        <v>573</v>
      </c>
      <c r="B31" s="15" t="s">
        <v>1370</v>
      </c>
      <c r="C31" s="15" t="s">
        <v>1371</v>
      </c>
      <c r="D31" s="16" t="s">
        <v>1790</v>
      </c>
      <c r="E31" s="16" t="s">
        <v>1795</v>
      </c>
      <c r="F31" s="15" t="s">
        <v>1792</v>
      </c>
      <c r="G31" s="16" t="s">
        <v>58</v>
      </c>
      <c r="H31" s="15" t="s">
        <v>59</v>
      </c>
      <c r="I31" s="15" t="s">
        <v>276</v>
      </c>
      <c r="J31" s="136" t="s">
        <v>26</v>
      </c>
      <c r="K31" s="70">
        <v>36.99</v>
      </c>
      <c r="L31" s="139">
        <v>15.7</v>
      </c>
      <c r="M31" s="119"/>
      <c r="N31" s="71">
        <f t="shared" si="0"/>
        <v>0</v>
      </c>
      <c r="O31" s="76"/>
    </row>
    <row r="32" spans="1:15" ht="14.4" x14ac:dyDescent="0.3">
      <c r="A32" s="149">
        <v>574</v>
      </c>
      <c r="B32" s="15" t="s">
        <v>1370</v>
      </c>
      <c r="C32" s="15" t="s">
        <v>1371</v>
      </c>
      <c r="D32" s="16" t="s">
        <v>1790</v>
      </c>
      <c r="E32" s="16" t="s">
        <v>1796</v>
      </c>
      <c r="F32" s="15" t="s">
        <v>1792</v>
      </c>
      <c r="G32" s="16" t="s">
        <v>58</v>
      </c>
      <c r="H32" s="15" t="s">
        <v>59</v>
      </c>
      <c r="I32" s="15" t="s">
        <v>1383</v>
      </c>
      <c r="J32" s="136" t="s">
        <v>26</v>
      </c>
      <c r="K32" s="70">
        <v>36.99</v>
      </c>
      <c r="L32" s="139">
        <v>15.7</v>
      </c>
      <c r="M32" s="119"/>
      <c r="N32" s="71">
        <f t="shared" si="0"/>
        <v>0</v>
      </c>
      <c r="O32" s="76"/>
    </row>
    <row r="33" spans="1:15" ht="14.4" x14ac:dyDescent="0.3">
      <c r="A33" s="149">
        <v>575</v>
      </c>
      <c r="B33" s="15" t="s">
        <v>1370</v>
      </c>
      <c r="C33" s="15" t="s">
        <v>1371</v>
      </c>
      <c r="D33" s="16" t="s">
        <v>1797</v>
      </c>
      <c r="E33" s="16" t="s">
        <v>1798</v>
      </c>
      <c r="F33" s="15" t="s">
        <v>1799</v>
      </c>
      <c r="G33" s="16" t="s">
        <v>133</v>
      </c>
      <c r="H33" s="15" t="s">
        <v>134</v>
      </c>
      <c r="I33" s="15" t="s">
        <v>1377</v>
      </c>
      <c r="J33" s="136" t="s">
        <v>101</v>
      </c>
      <c r="K33" s="70">
        <v>36.99</v>
      </c>
      <c r="L33" s="139">
        <v>15.7</v>
      </c>
      <c r="M33" s="119"/>
      <c r="N33" s="71">
        <f t="shared" si="0"/>
        <v>0</v>
      </c>
      <c r="O33" s="76"/>
    </row>
    <row r="34" spans="1:15" ht="14.4" x14ac:dyDescent="0.3">
      <c r="A34" s="149">
        <v>576</v>
      </c>
      <c r="B34" s="15" t="s">
        <v>1370</v>
      </c>
      <c r="C34" s="15" t="s">
        <v>1371</v>
      </c>
      <c r="D34" s="16" t="s">
        <v>1797</v>
      </c>
      <c r="E34" s="16" t="s">
        <v>1800</v>
      </c>
      <c r="F34" s="15" t="s">
        <v>1799</v>
      </c>
      <c r="G34" s="16" t="s">
        <v>133</v>
      </c>
      <c r="H34" s="15" t="s">
        <v>134</v>
      </c>
      <c r="I34" s="15" t="s">
        <v>270</v>
      </c>
      <c r="J34" s="136" t="s">
        <v>101</v>
      </c>
      <c r="K34" s="70">
        <v>36.99</v>
      </c>
      <c r="L34" s="139">
        <v>15.7</v>
      </c>
      <c r="M34" s="119"/>
      <c r="N34" s="71">
        <f t="shared" si="0"/>
        <v>0</v>
      </c>
      <c r="O34" s="76"/>
    </row>
    <row r="35" spans="1:15" ht="14.4" x14ac:dyDescent="0.3">
      <c r="A35" s="149">
        <v>577</v>
      </c>
      <c r="B35" s="15" t="s">
        <v>1370</v>
      </c>
      <c r="C35" s="15" t="s">
        <v>1371</v>
      </c>
      <c r="D35" s="16" t="s">
        <v>1797</v>
      </c>
      <c r="E35" s="16" t="s">
        <v>1801</v>
      </c>
      <c r="F35" s="15" t="s">
        <v>1799</v>
      </c>
      <c r="G35" s="16" t="s">
        <v>133</v>
      </c>
      <c r="H35" s="15" t="s">
        <v>134</v>
      </c>
      <c r="I35" s="15" t="s">
        <v>272</v>
      </c>
      <c r="J35" s="136" t="s">
        <v>101</v>
      </c>
      <c r="K35" s="70">
        <v>36.99</v>
      </c>
      <c r="L35" s="139">
        <v>15.7</v>
      </c>
      <c r="M35" s="119"/>
      <c r="N35" s="71">
        <f t="shared" si="0"/>
        <v>0</v>
      </c>
      <c r="O35" s="76"/>
    </row>
    <row r="36" spans="1:15" ht="14.4" x14ac:dyDescent="0.3">
      <c r="A36" s="149">
        <v>578</v>
      </c>
      <c r="B36" s="15" t="s">
        <v>1370</v>
      </c>
      <c r="C36" s="15" t="s">
        <v>1371</v>
      </c>
      <c r="D36" s="16" t="s">
        <v>1797</v>
      </c>
      <c r="E36" s="16" t="s">
        <v>1802</v>
      </c>
      <c r="F36" s="15" t="s">
        <v>1799</v>
      </c>
      <c r="G36" s="16" t="s">
        <v>133</v>
      </c>
      <c r="H36" s="15" t="s">
        <v>134</v>
      </c>
      <c r="I36" s="15" t="s">
        <v>274</v>
      </c>
      <c r="J36" s="136" t="s">
        <v>101</v>
      </c>
      <c r="K36" s="70">
        <v>36.99</v>
      </c>
      <c r="L36" s="139">
        <v>15.7</v>
      </c>
      <c r="M36" s="119"/>
      <c r="N36" s="71">
        <f t="shared" si="0"/>
        <v>0</v>
      </c>
      <c r="O36" s="76"/>
    </row>
    <row r="37" spans="1:15" ht="14.4" x14ac:dyDescent="0.3">
      <c r="A37" s="149">
        <v>579</v>
      </c>
      <c r="B37" s="15" t="s">
        <v>1370</v>
      </c>
      <c r="C37" s="15" t="s">
        <v>1371</v>
      </c>
      <c r="D37" s="16" t="s">
        <v>1797</v>
      </c>
      <c r="E37" s="16" t="s">
        <v>1803</v>
      </c>
      <c r="F37" s="15" t="s">
        <v>1799</v>
      </c>
      <c r="G37" s="16" t="s">
        <v>133</v>
      </c>
      <c r="H37" s="15" t="s">
        <v>134</v>
      </c>
      <c r="I37" s="15" t="s">
        <v>276</v>
      </c>
      <c r="J37" s="136" t="s">
        <v>101</v>
      </c>
      <c r="K37" s="70">
        <v>36.99</v>
      </c>
      <c r="L37" s="139">
        <v>15.7</v>
      </c>
      <c r="M37" s="119"/>
      <c r="N37" s="71">
        <f t="shared" si="0"/>
        <v>0</v>
      </c>
      <c r="O37" s="76"/>
    </row>
    <row r="38" spans="1:15" ht="14.4" x14ac:dyDescent="0.3">
      <c r="A38" s="149">
        <v>580</v>
      </c>
      <c r="B38" s="15" t="s">
        <v>1370</v>
      </c>
      <c r="C38" s="15" t="s">
        <v>1371</v>
      </c>
      <c r="D38" s="16" t="s">
        <v>1797</v>
      </c>
      <c r="E38" s="16" t="s">
        <v>1804</v>
      </c>
      <c r="F38" s="15" t="s">
        <v>1799</v>
      </c>
      <c r="G38" s="16" t="s">
        <v>133</v>
      </c>
      <c r="H38" s="15" t="s">
        <v>134</v>
      </c>
      <c r="I38" s="15" t="s">
        <v>1383</v>
      </c>
      <c r="J38" s="136" t="s">
        <v>101</v>
      </c>
      <c r="K38" s="70">
        <v>36.99</v>
      </c>
      <c r="L38" s="139">
        <v>15.7</v>
      </c>
      <c r="M38" s="119"/>
      <c r="N38" s="71">
        <f t="shared" si="0"/>
        <v>0</v>
      </c>
      <c r="O38" s="76"/>
    </row>
    <row r="39" spans="1:15" ht="14.4" x14ac:dyDescent="0.3">
      <c r="A39" s="149">
        <v>581</v>
      </c>
      <c r="B39" s="17" t="s">
        <v>1370</v>
      </c>
      <c r="C39" s="15" t="s">
        <v>1371</v>
      </c>
      <c r="D39" s="15" t="s">
        <v>1384</v>
      </c>
      <c r="E39" s="16" t="s">
        <v>1385</v>
      </c>
      <c r="F39" s="16" t="s">
        <v>1386</v>
      </c>
      <c r="G39" s="15" t="s">
        <v>1387</v>
      </c>
      <c r="H39" s="16" t="s">
        <v>1388</v>
      </c>
      <c r="I39" s="15" t="s">
        <v>270</v>
      </c>
      <c r="J39" s="125" t="s">
        <v>26</v>
      </c>
      <c r="K39" s="70">
        <v>36.99</v>
      </c>
      <c r="L39" s="139">
        <v>15.7</v>
      </c>
      <c r="M39" s="119"/>
      <c r="N39" s="71">
        <f t="shared" si="0"/>
        <v>0</v>
      </c>
      <c r="O39" s="76"/>
    </row>
    <row r="40" spans="1:15" ht="14.4" x14ac:dyDescent="0.3">
      <c r="A40" s="149">
        <v>582</v>
      </c>
      <c r="B40" s="17" t="s">
        <v>1370</v>
      </c>
      <c r="C40" s="15" t="s">
        <v>1371</v>
      </c>
      <c r="D40" s="15" t="s">
        <v>1384</v>
      </c>
      <c r="E40" s="16" t="s">
        <v>1389</v>
      </c>
      <c r="F40" s="16" t="s">
        <v>1386</v>
      </c>
      <c r="G40" s="15" t="s">
        <v>1387</v>
      </c>
      <c r="H40" s="16" t="s">
        <v>1388</v>
      </c>
      <c r="I40" s="15" t="s">
        <v>272</v>
      </c>
      <c r="J40" s="125" t="s">
        <v>26</v>
      </c>
      <c r="K40" s="70">
        <v>36.99</v>
      </c>
      <c r="L40" s="139">
        <v>15.7</v>
      </c>
      <c r="M40" s="119"/>
      <c r="N40" s="71">
        <f t="shared" si="0"/>
        <v>0</v>
      </c>
      <c r="O40" s="76"/>
    </row>
    <row r="41" spans="1:15" ht="14.4" x14ac:dyDescent="0.3">
      <c r="A41" s="149">
        <v>583</v>
      </c>
      <c r="B41" s="17" t="s">
        <v>1370</v>
      </c>
      <c r="C41" s="15" t="s">
        <v>1371</v>
      </c>
      <c r="D41" s="15" t="s">
        <v>1384</v>
      </c>
      <c r="E41" s="16" t="s">
        <v>1390</v>
      </c>
      <c r="F41" s="16" t="s">
        <v>1386</v>
      </c>
      <c r="G41" s="15" t="s">
        <v>1387</v>
      </c>
      <c r="H41" s="16" t="s">
        <v>1388</v>
      </c>
      <c r="I41" s="15" t="s">
        <v>274</v>
      </c>
      <c r="J41" s="125" t="s">
        <v>26</v>
      </c>
      <c r="K41" s="70">
        <v>36.99</v>
      </c>
      <c r="L41" s="139">
        <v>15.7</v>
      </c>
      <c r="M41" s="119"/>
      <c r="N41" s="71">
        <f t="shared" si="0"/>
        <v>0</v>
      </c>
      <c r="O41" s="76"/>
    </row>
    <row r="42" spans="1:15" ht="14.4" x14ac:dyDescent="0.3">
      <c r="A42" s="149">
        <v>584</v>
      </c>
      <c r="B42" s="17" t="s">
        <v>1370</v>
      </c>
      <c r="C42" s="15" t="s">
        <v>1371</v>
      </c>
      <c r="D42" s="15" t="s">
        <v>1384</v>
      </c>
      <c r="E42" s="16" t="s">
        <v>1391</v>
      </c>
      <c r="F42" s="16" t="s">
        <v>1386</v>
      </c>
      <c r="G42" s="15" t="s">
        <v>1387</v>
      </c>
      <c r="H42" s="16" t="s">
        <v>1388</v>
      </c>
      <c r="I42" s="15" t="s">
        <v>276</v>
      </c>
      <c r="J42" s="125" t="s">
        <v>26</v>
      </c>
      <c r="K42" s="70">
        <v>36.99</v>
      </c>
      <c r="L42" s="139">
        <v>15.7</v>
      </c>
      <c r="M42" s="119"/>
      <c r="N42" s="71">
        <f t="shared" si="0"/>
        <v>0</v>
      </c>
      <c r="O42" s="76"/>
    </row>
    <row r="43" spans="1:15" ht="14.4" x14ac:dyDescent="0.3">
      <c r="A43" s="149">
        <v>585</v>
      </c>
      <c r="B43" s="17" t="s">
        <v>1370</v>
      </c>
      <c r="C43" s="15" t="s">
        <v>1371</v>
      </c>
      <c r="D43" s="15" t="s">
        <v>1384</v>
      </c>
      <c r="E43" s="16" t="s">
        <v>1392</v>
      </c>
      <c r="F43" s="16" t="s">
        <v>1386</v>
      </c>
      <c r="G43" s="15" t="s">
        <v>1387</v>
      </c>
      <c r="H43" s="16" t="s">
        <v>1388</v>
      </c>
      <c r="I43" s="15" t="s">
        <v>1383</v>
      </c>
      <c r="J43" s="125" t="s">
        <v>26</v>
      </c>
      <c r="K43" s="70">
        <v>36.99</v>
      </c>
      <c r="L43" s="139">
        <v>15.7</v>
      </c>
      <c r="M43" s="119"/>
      <c r="N43" s="71">
        <f t="shared" si="0"/>
        <v>0</v>
      </c>
      <c r="O43" s="76"/>
    </row>
    <row r="44" spans="1:15" ht="14.4" x14ac:dyDescent="0.3">
      <c r="A44" s="149">
        <v>586</v>
      </c>
      <c r="B44" s="17" t="s">
        <v>1370</v>
      </c>
      <c r="C44" s="15" t="s">
        <v>1371</v>
      </c>
      <c r="D44" s="15" t="s">
        <v>1393</v>
      </c>
      <c r="E44" s="16" t="s">
        <v>1394</v>
      </c>
      <c r="F44" s="16" t="s">
        <v>1395</v>
      </c>
      <c r="G44" s="15" t="s">
        <v>1396</v>
      </c>
      <c r="H44" s="16" t="s">
        <v>1397</v>
      </c>
      <c r="I44" s="15" t="s">
        <v>270</v>
      </c>
      <c r="J44" s="125" t="s">
        <v>26</v>
      </c>
      <c r="K44" s="70">
        <v>36.99</v>
      </c>
      <c r="L44" s="139">
        <v>15.7</v>
      </c>
      <c r="M44" s="119"/>
      <c r="N44" s="71">
        <f t="shared" si="0"/>
        <v>0</v>
      </c>
      <c r="O44" s="76"/>
    </row>
    <row r="45" spans="1:15" ht="14.4" x14ac:dyDescent="0.3">
      <c r="A45" s="149">
        <v>587</v>
      </c>
      <c r="B45" s="17" t="s">
        <v>1370</v>
      </c>
      <c r="C45" s="15" t="s">
        <v>1371</v>
      </c>
      <c r="D45" s="15" t="s">
        <v>1393</v>
      </c>
      <c r="E45" s="16" t="s">
        <v>1398</v>
      </c>
      <c r="F45" s="16" t="s">
        <v>1395</v>
      </c>
      <c r="G45" s="15" t="s">
        <v>1396</v>
      </c>
      <c r="H45" s="16" t="s">
        <v>1397</v>
      </c>
      <c r="I45" s="15" t="s">
        <v>272</v>
      </c>
      <c r="J45" s="125" t="s">
        <v>26</v>
      </c>
      <c r="K45" s="70">
        <v>36.99</v>
      </c>
      <c r="L45" s="139">
        <v>15.7</v>
      </c>
      <c r="M45" s="119"/>
      <c r="N45" s="71">
        <f t="shared" si="0"/>
        <v>0</v>
      </c>
      <c r="O45" s="76"/>
    </row>
    <row r="46" spans="1:15" ht="14.4" x14ac:dyDescent="0.3">
      <c r="A46" s="149">
        <v>588</v>
      </c>
      <c r="B46" s="17" t="s">
        <v>1370</v>
      </c>
      <c r="C46" s="15" t="s">
        <v>1371</v>
      </c>
      <c r="D46" s="15" t="s">
        <v>1393</v>
      </c>
      <c r="E46" s="16" t="s">
        <v>1399</v>
      </c>
      <c r="F46" s="16" t="s">
        <v>1395</v>
      </c>
      <c r="G46" s="15" t="s">
        <v>1396</v>
      </c>
      <c r="H46" s="16" t="s">
        <v>1397</v>
      </c>
      <c r="I46" s="15" t="s">
        <v>274</v>
      </c>
      <c r="J46" s="125" t="s">
        <v>26</v>
      </c>
      <c r="K46" s="70">
        <v>36.99</v>
      </c>
      <c r="L46" s="139">
        <v>15.7</v>
      </c>
      <c r="M46" s="119"/>
      <c r="N46" s="71">
        <f t="shared" si="0"/>
        <v>0</v>
      </c>
      <c r="O46" s="76"/>
    </row>
    <row r="47" spans="1:15" ht="14.4" x14ac:dyDescent="0.3">
      <c r="A47" s="149">
        <v>589</v>
      </c>
      <c r="B47" s="17" t="s">
        <v>1370</v>
      </c>
      <c r="C47" s="15" t="s">
        <v>1371</v>
      </c>
      <c r="D47" s="15" t="s">
        <v>1393</v>
      </c>
      <c r="E47" s="16" t="s">
        <v>1400</v>
      </c>
      <c r="F47" s="16" t="s">
        <v>1395</v>
      </c>
      <c r="G47" s="15" t="s">
        <v>1396</v>
      </c>
      <c r="H47" s="16" t="s">
        <v>1397</v>
      </c>
      <c r="I47" s="15" t="s">
        <v>276</v>
      </c>
      <c r="J47" s="125" t="s">
        <v>26</v>
      </c>
      <c r="K47" s="70">
        <v>36.99</v>
      </c>
      <c r="L47" s="139">
        <v>15.7</v>
      </c>
      <c r="M47" s="119"/>
      <c r="N47" s="71">
        <f t="shared" si="0"/>
        <v>0</v>
      </c>
      <c r="O47" s="76"/>
    </row>
    <row r="48" spans="1:15" ht="14.4" x14ac:dyDescent="0.3">
      <c r="A48" s="149">
        <v>590</v>
      </c>
      <c r="B48" s="17" t="s">
        <v>1370</v>
      </c>
      <c r="C48" s="15" t="s">
        <v>1371</v>
      </c>
      <c r="D48" s="15" t="s">
        <v>1393</v>
      </c>
      <c r="E48" s="16" t="s">
        <v>1401</v>
      </c>
      <c r="F48" s="16" t="s">
        <v>1395</v>
      </c>
      <c r="G48" s="15" t="s">
        <v>1396</v>
      </c>
      <c r="H48" s="16" t="s">
        <v>1397</v>
      </c>
      <c r="I48" s="15" t="s">
        <v>1383</v>
      </c>
      <c r="J48" s="125" t="s">
        <v>26</v>
      </c>
      <c r="K48" s="70">
        <v>36.99</v>
      </c>
      <c r="L48" s="139">
        <v>15.7</v>
      </c>
      <c r="M48" s="119"/>
      <c r="N48" s="71">
        <f t="shared" ref="N48:N79" si="1">L48*M48</f>
        <v>0</v>
      </c>
      <c r="O48" s="76"/>
    </row>
    <row r="49" spans="1:15" ht="14.4" x14ac:dyDescent="0.3">
      <c r="A49" s="149">
        <v>591</v>
      </c>
      <c r="B49" s="17" t="s">
        <v>1370</v>
      </c>
      <c r="C49" s="15" t="s">
        <v>1371</v>
      </c>
      <c r="D49" s="15" t="s">
        <v>1402</v>
      </c>
      <c r="E49" s="16" t="s">
        <v>1403</v>
      </c>
      <c r="F49" s="16" t="s">
        <v>1404</v>
      </c>
      <c r="G49" s="15" t="s">
        <v>1405</v>
      </c>
      <c r="H49" s="16" t="s">
        <v>1406</v>
      </c>
      <c r="I49" s="15" t="s">
        <v>270</v>
      </c>
      <c r="J49" s="125" t="s">
        <v>26</v>
      </c>
      <c r="K49" s="70">
        <v>36.99</v>
      </c>
      <c r="L49" s="139">
        <v>15.7</v>
      </c>
      <c r="M49" s="119"/>
      <c r="N49" s="71">
        <f t="shared" si="1"/>
        <v>0</v>
      </c>
      <c r="O49" s="76"/>
    </row>
    <row r="50" spans="1:15" ht="14.4" x14ac:dyDescent="0.3">
      <c r="A50" s="149">
        <v>592</v>
      </c>
      <c r="B50" s="17" t="s">
        <v>1370</v>
      </c>
      <c r="C50" s="15" t="s">
        <v>1371</v>
      </c>
      <c r="D50" s="15" t="s">
        <v>1402</v>
      </c>
      <c r="E50" s="16" t="s">
        <v>1407</v>
      </c>
      <c r="F50" s="16" t="s">
        <v>1404</v>
      </c>
      <c r="G50" s="15" t="s">
        <v>1405</v>
      </c>
      <c r="H50" s="16" t="s">
        <v>1406</v>
      </c>
      <c r="I50" s="15" t="s">
        <v>272</v>
      </c>
      <c r="J50" s="125" t="s">
        <v>26</v>
      </c>
      <c r="K50" s="70">
        <v>36.99</v>
      </c>
      <c r="L50" s="139">
        <v>15.7</v>
      </c>
      <c r="M50" s="119"/>
      <c r="N50" s="71">
        <f t="shared" si="1"/>
        <v>0</v>
      </c>
      <c r="O50" s="76"/>
    </row>
    <row r="51" spans="1:15" ht="14.4" x14ac:dyDescent="0.3">
      <c r="A51" s="149">
        <v>593</v>
      </c>
      <c r="B51" s="17" t="s">
        <v>1370</v>
      </c>
      <c r="C51" s="15" t="s">
        <v>1371</v>
      </c>
      <c r="D51" s="15" t="s">
        <v>1402</v>
      </c>
      <c r="E51" s="16" t="s">
        <v>1408</v>
      </c>
      <c r="F51" s="16" t="s">
        <v>1404</v>
      </c>
      <c r="G51" s="15" t="s">
        <v>1405</v>
      </c>
      <c r="H51" s="16" t="s">
        <v>1406</v>
      </c>
      <c r="I51" s="15" t="s">
        <v>274</v>
      </c>
      <c r="J51" s="125" t="s">
        <v>26</v>
      </c>
      <c r="K51" s="70">
        <v>36.99</v>
      </c>
      <c r="L51" s="139">
        <v>15.7</v>
      </c>
      <c r="M51" s="119"/>
      <c r="N51" s="71">
        <f t="shared" si="1"/>
        <v>0</v>
      </c>
      <c r="O51" s="76"/>
    </row>
    <row r="52" spans="1:15" ht="14.4" x14ac:dyDescent="0.3">
      <c r="A52" s="149">
        <v>594</v>
      </c>
      <c r="B52" s="17" t="s">
        <v>1370</v>
      </c>
      <c r="C52" s="15" t="s">
        <v>1371</v>
      </c>
      <c r="D52" s="15" t="s">
        <v>1402</v>
      </c>
      <c r="E52" s="16" t="s">
        <v>1409</v>
      </c>
      <c r="F52" s="16" t="s">
        <v>1404</v>
      </c>
      <c r="G52" s="15" t="s">
        <v>1405</v>
      </c>
      <c r="H52" s="16" t="s">
        <v>1406</v>
      </c>
      <c r="I52" s="15" t="s">
        <v>276</v>
      </c>
      <c r="J52" s="125" t="s">
        <v>26</v>
      </c>
      <c r="K52" s="70">
        <v>36.99</v>
      </c>
      <c r="L52" s="139">
        <v>15.7</v>
      </c>
      <c r="M52" s="119"/>
      <c r="N52" s="71">
        <f t="shared" si="1"/>
        <v>0</v>
      </c>
      <c r="O52" s="76"/>
    </row>
    <row r="53" spans="1:15" ht="14.4" x14ac:dyDescent="0.3">
      <c r="A53" s="149">
        <v>595</v>
      </c>
      <c r="B53" s="17" t="s">
        <v>1370</v>
      </c>
      <c r="C53" s="15" t="s">
        <v>1371</v>
      </c>
      <c r="D53" s="15" t="s">
        <v>1402</v>
      </c>
      <c r="E53" s="16" t="s">
        <v>1410</v>
      </c>
      <c r="F53" s="16" t="s">
        <v>1404</v>
      </c>
      <c r="G53" s="15" t="s">
        <v>1405</v>
      </c>
      <c r="H53" s="16" t="s">
        <v>1406</v>
      </c>
      <c r="I53" s="15" t="s">
        <v>1383</v>
      </c>
      <c r="J53" s="125" t="s">
        <v>26</v>
      </c>
      <c r="K53" s="70">
        <v>36.99</v>
      </c>
      <c r="L53" s="139">
        <v>15.7</v>
      </c>
      <c r="M53" s="119"/>
      <c r="N53" s="71">
        <f t="shared" si="1"/>
        <v>0</v>
      </c>
      <c r="O53" s="76"/>
    </row>
    <row r="54" spans="1:15" ht="14.4" x14ac:dyDescent="0.3">
      <c r="A54" s="149">
        <v>596</v>
      </c>
      <c r="B54" s="17" t="s">
        <v>1411</v>
      </c>
      <c r="C54" s="15" t="s">
        <v>1371</v>
      </c>
      <c r="D54" s="15" t="s">
        <v>1412</v>
      </c>
      <c r="E54" s="16" t="s">
        <v>1413</v>
      </c>
      <c r="F54" s="16" t="s">
        <v>1414</v>
      </c>
      <c r="G54" s="15" t="s">
        <v>1415</v>
      </c>
      <c r="H54" s="16" t="s">
        <v>1416</v>
      </c>
      <c r="I54" s="15" t="s">
        <v>280</v>
      </c>
      <c r="J54" s="125" t="s">
        <v>26</v>
      </c>
      <c r="K54" s="70">
        <v>36</v>
      </c>
      <c r="L54" s="139">
        <v>17.200000000000003</v>
      </c>
      <c r="M54" s="119"/>
      <c r="N54" s="71">
        <f t="shared" si="1"/>
        <v>0</v>
      </c>
      <c r="O54" s="76"/>
    </row>
    <row r="55" spans="1:15" ht="14.4" x14ac:dyDescent="0.3">
      <c r="A55" s="149">
        <v>597</v>
      </c>
      <c r="B55" s="17" t="s">
        <v>1411</v>
      </c>
      <c r="C55" s="15" t="s">
        <v>1371</v>
      </c>
      <c r="D55" s="15" t="s">
        <v>1417</v>
      </c>
      <c r="E55" s="16" t="s">
        <v>1418</v>
      </c>
      <c r="F55" s="16" t="s">
        <v>1419</v>
      </c>
      <c r="G55" s="15" t="s">
        <v>133</v>
      </c>
      <c r="H55" s="16" t="s">
        <v>134</v>
      </c>
      <c r="I55" s="15" t="s">
        <v>280</v>
      </c>
      <c r="J55" s="125" t="s">
        <v>26</v>
      </c>
      <c r="K55" s="70">
        <v>36</v>
      </c>
      <c r="L55" s="139">
        <v>17.200000000000003</v>
      </c>
      <c r="M55" s="119"/>
      <c r="N55" s="71">
        <f t="shared" si="1"/>
        <v>0</v>
      </c>
      <c r="O55" s="76"/>
    </row>
    <row r="56" spans="1:15" ht="14.4" x14ac:dyDescent="0.3">
      <c r="A56" s="149">
        <v>598</v>
      </c>
      <c r="B56" s="17" t="s">
        <v>1411</v>
      </c>
      <c r="C56" s="15" t="s">
        <v>1371</v>
      </c>
      <c r="D56" s="15" t="s">
        <v>1420</v>
      </c>
      <c r="E56" s="16" t="s">
        <v>1421</v>
      </c>
      <c r="F56" s="16" t="s">
        <v>1422</v>
      </c>
      <c r="G56" s="15" t="s">
        <v>133</v>
      </c>
      <c r="H56" s="16" t="s">
        <v>134</v>
      </c>
      <c r="I56" s="15" t="s">
        <v>280</v>
      </c>
      <c r="J56" s="125" t="s">
        <v>26</v>
      </c>
      <c r="K56" s="70">
        <v>36</v>
      </c>
      <c r="L56" s="139">
        <v>17.200000000000003</v>
      </c>
      <c r="M56" s="119"/>
      <c r="N56" s="71">
        <f t="shared" si="1"/>
        <v>0</v>
      </c>
      <c r="O56" s="76"/>
    </row>
    <row r="57" spans="1:15" ht="14.4" x14ac:dyDescent="0.3">
      <c r="A57" s="149">
        <v>599</v>
      </c>
      <c r="B57" s="17" t="s">
        <v>1411</v>
      </c>
      <c r="C57" s="15" t="s">
        <v>1371</v>
      </c>
      <c r="D57" s="15" t="s">
        <v>1423</v>
      </c>
      <c r="E57" s="16" t="s">
        <v>1424</v>
      </c>
      <c r="F57" s="16" t="s">
        <v>1425</v>
      </c>
      <c r="G57" s="15" t="s">
        <v>1426</v>
      </c>
      <c r="H57" s="16" t="s">
        <v>1427</v>
      </c>
      <c r="I57" s="15" t="s">
        <v>280</v>
      </c>
      <c r="J57" s="125" t="s">
        <v>26</v>
      </c>
      <c r="K57" s="70">
        <v>36</v>
      </c>
      <c r="L57" s="139">
        <v>17.200000000000003</v>
      </c>
      <c r="M57" s="119"/>
      <c r="N57" s="71">
        <f t="shared" si="1"/>
        <v>0</v>
      </c>
      <c r="O57" s="76"/>
    </row>
    <row r="58" spans="1:15" ht="14.4" x14ac:dyDescent="0.3">
      <c r="A58" s="149">
        <v>600</v>
      </c>
      <c r="B58" s="17" t="s">
        <v>1411</v>
      </c>
      <c r="C58" s="15" t="s">
        <v>1371</v>
      </c>
      <c r="D58" s="15" t="s">
        <v>1428</v>
      </c>
      <c r="E58" s="16" t="s">
        <v>1429</v>
      </c>
      <c r="F58" s="16" t="s">
        <v>1430</v>
      </c>
      <c r="G58" s="15" t="s">
        <v>1431</v>
      </c>
      <c r="H58" s="16" t="s">
        <v>1432</v>
      </c>
      <c r="I58" s="15" t="s">
        <v>280</v>
      </c>
      <c r="J58" s="125" t="s">
        <v>26</v>
      </c>
      <c r="K58" s="70">
        <v>36</v>
      </c>
      <c r="L58" s="139">
        <v>17.200000000000003</v>
      </c>
      <c r="M58" s="119"/>
      <c r="N58" s="71">
        <f t="shared" si="1"/>
        <v>0</v>
      </c>
      <c r="O58" s="76"/>
    </row>
    <row r="59" spans="1:15" ht="14.4" x14ac:dyDescent="0.3">
      <c r="A59" s="149">
        <v>601</v>
      </c>
      <c r="B59" s="17" t="s">
        <v>1411</v>
      </c>
      <c r="C59" s="15" t="s">
        <v>1371</v>
      </c>
      <c r="D59" s="15" t="s">
        <v>1428</v>
      </c>
      <c r="E59" s="16" t="s">
        <v>1433</v>
      </c>
      <c r="F59" s="16" t="s">
        <v>1430</v>
      </c>
      <c r="G59" s="15" t="s">
        <v>1434</v>
      </c>
      <c r="H59" s="16" t="s">
        <v>1435</v>
      </c>
      <c r="I59" s="15" t="s">
        <v>280</v>
      </c>
      <c r="J59" s="125" t="s">
        <v>26</v>
      </c>
      <c r="K59" s="70">
        <v>36</v>
      </c>
      <c r="L59" s="139">
        <v>17.200000000000003</v>
      </c>
      <c r="M59" s="119"/>
      <c r="N59" s="71">
        <f t="shared" si="1"/>
        <v>0</v>
      </c>
      <c r="O59" s="76"/>
    </row>
    <row r="60" spans="1:15" ht="14.4" x14ac:dyDescent="0.3">
      <c r="A60" s="149">
        <v>602</v>
      </c>
      <c r="B60" s="17" t="s">
        <v>1411</v>
      </c>
      <c r="C60" s="15" t="s">
        <v>1371</v>
      </c>
      <c r="D60" s="15" t="s">
        <v>1436</v>
      </c>
      <c r="E60" s="16" t="s">
        <v>1437</v>
      </c>
      <c r="F60" s="16" t="s">
        <v>1438</v>
      </c>
      <c r="G60" s="15" t="s">
        <v>1405</v>
      </c>
      <c r="H60" s="16" t="s">
        <v>1406</v>
      </c>
      <c r="I60" s="15" t="s">
        <v>280</v>
      </c>
      <c r="J60" s="125" t="s">
        <v>26</v>
      </c>
      <c r="K60" s="70">
        <v>41.5</v>
      </c>
      <c r="L60" s="139">
        <v>19.900000000000002</v>
      </c>
      <c r="M60" s="119"/>
      <c r="N60" s="71">
        <f t="shared" si="1"/>
        <v>0</v>
      </c>
      <c r="O60" s="76"/>
    </row>
    <row r="61" spans="1:15" ht="14.4" x14ac:dyDescent="0.3">
      <c r="A61" s="149">
        <v>603</v>
      </c>
      <c r="B61" s="17" t="s">
        <v>1411</v>
      </c>
      <c r="C61" s="15" t="s">
        <v>1371</v>
      </c>
      <c r="D61" s="15" t="s">
        <v>1436</v>
      </c>
      <c r="E61" s="16" t="s">
        <v>1439</v>
      </c>
      <c r="F61" s="16" t="s">
        <v>1438</v>
      </c>
      <c r="G61" s="15" t="s">
        <v>1440</v>
      </c>
      <c r="H61" s="16" t="s">
        <v>1441</v>
      </c>
      <c r="I61" s="15" t="s">
        <v>280</v>
      </c>
      <c r="J61" s="125" t="s">
        <v>26</v>
      </c>
      <c r="K61" s="70">
        <v>41.5</v>
      </c>
      <c r="L61" s="139">
        <v>19.900000000000002</v>
      </c>
      <c r="M61" s="119"/>
      <c r="N61" s="71">
        <f t="shared" si="1"/>
        <v>0</v>
      </c>
      <c r="O61" s="76"/>
    </row>
    <row r="62" spans="1:15" ht="14.4" x14ac:dyDescent="0.3">
      <c r="A62" s="149">
        <v>604</v>
      </c>
      <c r="B62" s="17" t="s">
        <v>1411</v>
      </c>
      <c r="C62" s="15" t="s">
        <v>1371</v>
      </c>
      <c r="D62" s="15" t="s">
        <v>1442</v>
      </c>
      <c r="E62" s="16" t="s">
        <v>1443</v>
      </c>
      <c r="F62" s="16" t="s">
        <v>1444</v>
      </c>
      <c r="G62" s="15" t="s">
        <v>133</v>
      </c>
      <c r="H62" s="16" t="s">
        <v>134</v>
      </c>
      <c r="I62" s="15" t="s">
        <v>280</v>
      </c>
      <c r="J62" s="125" t="s">
        <v>26</v>
      </c>
      <c r="K62" s="70">
        <v>41.5</v>
      </c>
      <c r="L62" s="139">
        <v>19.900000000000002</v>
      </c>
      <c r="M62" s="119"/>
      <c r="N62" s="71">
        <f t="shared" si="1"/>
        <v>0</v>
      </c>
      <c r="O62" s="76"/>
    </row>
    <row r="63" spans="1:15" ht="14.4" x14ac:dyDescent="0.3">
      <c r="A63" s="149">
        <v>605</v>
      </c>
      <c r="B63" s="17" t="s">
        <v>1411</v>
      </c>
      <c r="C63" s="15" t="s">
        <v>1371</v>
      </c>
      <c r="D63" s="15" t="s">
        <v>1445</v>
      </c>
      <c r="E63" s="16" t="s">
        <v>1446</v>
      </c>
      <c r="F63" s="16" t="s">
        <v>1447</v>
      </c>
      <c r="G63" s="15" t="s">
        <v>133</v>
      </c>
      <c r="H63" s="16" t="s">
        <v>134</v>
      </c>
      <c r="I63" s="15" t="s">
        <v>264</v>
      </c>
      <c r="J63" s="125" t="s">
        <v>26</v>
      </c>
      <c r="K63" s="70">
        <v>36</v>
      </c>
      <c r="L63" s="139">
        <v>17.200000000000003</v>
      </c>
      <c r="M63" s="119"/>
      <c r="N63" s="71">
        <f t="shared" si="1"/>
        <v>0</v>
      </c>
      <c r="O63" s="76"/>
    </row>
    <row r="64" spans="1:15" ht="14.4" x14ac:dyDescent="0.3">
      <c r="A64" s="149">
        <v>606</v>
      </c>
      <c r="B64" s="17" t="s">
        <v>1411</v>
      </c>
      <c r="C64" s="15" t="s">
        <v>1371</v>
      </c>
      <c r="D64" s="15" t="s">
        <v>1445</v>
      </c>
      <c r="E64" s="16" t="s">
        <v>1448</v>
      </c>
      <c r="F64" s="16" t="s">
        <v>1447</v>
      </c>
      <c r="G64" s="15" t="s">
        <v>133</v>
      </c>
      <c r="H64" s="16" t="s">
        <v>134</v>
      </c>
      <c r="I64" s="15" t="s">
        <v>266</v>
      </c>
      <c r="J64" s="125" t="s">
        <v>26</v>
      </c>
      <c r="K64" s="70">
        <v>36</v>
      </c>
      <c r="L64" s="139">
        <v>17.200000000000003</v>
      </c>
      <c r="M64" s="119"/>
      <c r="N64" s="71">
        <f t="shared" si="1"/>
        <v>0</v>
      </c>
      <c r="O64" s="76"/>
    </row>
    <row r="65" spans="1:15" ht="14.4" x14ac:dyDescent="0.3">
      <c r="A65" s="149">
        <v>607</v>
      </c>
      <c r="B65" s="17" t="s">
        <v>1411</v>
      </c>
      <c r="C65" s="15" t="s">
        <v>1371</v>
      </c>
      <c r="D65" s="15" t="s">
        <v>1449</v>
      </c>
      <c r="E65" s="16" t="s">
        <v>1450</v>
      </c>
      <c r="F65" s="16" t="s">
        <v>1451</v>
      </c>
      <c r="G65" s="15" t="s">
        <v>1405</v>
      </c>
      <c r="H65" s="16" t="s">
        <v>1406</v>
      </c>
      <c r="I65" s="15" t="s">
        <v>280</v>
      </c>
      <c r="J65" s="125" t="s">
        <v>26</v>
      </c>
      <c r="K65" s="70">
        <v>24.99</v>
      </c>
      <c r="L65" s="139">
        <v>12</v>
      </c>
      <c r="M65" s="119"/>
      <c r="N65" s="71">
        <f t="shared" si="1"/>
        <v>0</v>
      </c>
      <c r="O65" s="76"/>
    </row>
    <row r="66" spans="1:15" ht="14.4" x14ac:dyDescent="0.3">
      <c r="A66" s="149">
        <v>608</v>
      </c>
      <c r="B66" s="17" t="s">
        <v>1411</v>
      </c>
      <c r="C66" s="15" t="s">
        <v>1371</v>
      </c>
      <c r="D66" s="15" t="s">
        <v>1449</v>
      </c>
      <c r="E66" s="16" t="s">
        <v>1452</v>
      </c>
      <c r="F66" s="16" t="s">
        <v>1451</v>
      </c>
      <c r="G66" s="15" t="s">
        <v>1453</v>
      </c>
      <c r="H66" s="16" t="s">
        <v>1454</v>
      </c>
      <c r="I66" s="15" t="s">
        <v>280</v>
      </c>
      <c r="J66" s="125" t="s">
        <v>26</v>
      </c>
      <c r="K66" s="70">
        <v>24.99</v>
      </c>
      <c r="L66" s="139">
        <v>12</v>
      </c>
      <c r="M66" s="119"/>
      <c r="N66" s="71">
        <f t="shared" si="1"/>
        <v>0</v>
      </c>
      <c r="O66" s="76"/>
    </row>
    <row r="67" spans="1:15" ht="14.4" x14ac:dyDescent="0.3">
      <c r="A67" s="149">
        <v>609</v>
      </c>
      <c r="B67" s="17" t="s">
        <v>1411</v>
      </c>
      <c r="C67" s="15" t="s">
        <v>1371</v>
      </c>
      <c r="D67" s="15" t="s">
        <v>1455</v>
      </c>
      <c r="E67" s="16" t="s">
        <v>1456</v>
      </c>
      <c r="F67" s="16" t="s">
        <v>1457</v>
      </c>
      <c r="G67" s="15" t="s">
        <v>1458</v>
      </c>
      <c r="H67" s="16" t="s">
        <v>1459</v>
      </c>
      <c r="I67" s="15" t="s">
        <v>280</v>
      </c>
      <c r="J67" s="125" t="s">
        <v>26</v>
      </c>
      <c r="K67" s="70">
        <v>24.99</v>
      </c>
      <c r="L67" s="139">
        <v>12</v>
      </c>
      <c r="M67" s="119"/>
      <c r="N67" s="71">
        <f t="shared" si="1"/>
        <v>0</v>
      </c>
      <c r="O67" s="76"/>
    </row>
    <row r="68" spans="1:15" ht="14.4" x14ac:dyDescent="0.3">
      <c r="A68" s="149">
        <v>610</v>
      </c>
      <c r="B68" s="17" t="s">
        <v>1411</v>
      </c>
      <c r="C68" s="15" t="s">
        <v>1371</v>
      </c>
      <c r="D68" s="15" t="s">
        <v>1455</v>
      </c>
      <c r="E68" s="16" t="s">
        <v>1460</v>
      </c>
      <c r="F68" s="16" t="s">
        <v>1457</v>
      </c>
      <c r="G68" s="15" t="s">
        <v>133</v>
      </c>
      <c r="H68" s="16" t="s">
        <v>134</v>
      </c>
      <c r="I68" s="15" t="s">
        <v>280</v>
      </c>
      <c r="J68" s="125" t="s">
        <v>26</v>
      </c>
      <c r="K68" s="70">
        <v>24.99</v>
      </c>
      <c r="L68" s="139">
        <v>12</v>
      </c>
      <c r="M68" s="119"/>
      <c r="N68" s="71">
        <f t="shared" si="1"/>
        <v>0</v>
      </c>
      <c r="O68" s="76"/>
    </row>
    <row r="69" spans="1:15" ht="14.4" x14ac:dyDescent="0.3">
      <c r="A69" s="149">
        <v>611</v>
      </c>
      <c r="B69" s="17" t="s">
        <v>1411</v>
      </c>
      <c r="C69" s="15" t="s">
        <v>1371</v>
      </c>
      <c r="D69" s="15" t="s">
        <v>1461</v>
      </c>
      <c r="E69" s="16" t="s">
        <v>1462</v>
      </c>
      <c r="F69" s="16" t="s">
        <v>1463</v>
      </c>
      <c r="G69" s="15" t="s">
        <v>482</v>
      </c>
      <c r="H69" s="16" t="s">
        <v>1464</v>
      </c>
      <c r="I69" s="15" t="s">
        <v>280</v>
      </c>
      <c r="J69" s="125" t="s">
        <v>26</v>
      </c>
      <c r="K69" s="70">
        <v>36</v>
      </c>
      <c r="L69" s="139">
        <v>17.200000000000003</v>
      </c>
      <c r="M69" s="119"/>
      <c r="N69" s="71">
        <f t="shared" si="1"/>
        <v>0</v>
      </c>
      <c r="O69" s="76"/>
    </row>
    <row r="70" spans="1:15" ht="14.4" x14ac:dyDescent="0.3">
      <c r="A70" s="149">
        <v>612</v>
      </c>
      <c r="B70" s="17" t="s">
        <v>1411</v>
      </c>
      <c r="C70" s="15" t="s">
        <v>1371</v>
      </c>
      <c r="D70" s="15" t="s">
        <v>1465</v>
      </c>
      <c r="E70" s="16" t="s">
        <v>1466</v>
      </c>
      <c r="F70" s="16" t="s">
        <v>1467</v>
      </c>
      <c r="G70" s="15" t="s">
        <v>1468</v>
      </c>
      <c r="H70" s="16" t="s">
        <v>1469</v>
      </c>
      <c r="I70" s="15" t="s">
        <v>280</v>
      </c>
      <c r="J70" s="125" t="s">
        <v>26</v>
      </c>
      <c r="K70" s="70">
        <v>36</v>
      </c>
      <c r="L70" s="139">
        <v>17.200000000000003</v>
      </c>
      <c r="M70" s="119"/>
      <c r="N70" s="71">
        <f t="shared" si="1"/>
        <v>0</v>
      </c>
      <c r="O70" s="76"/>
    </row>
    <row r="71" spans="1:15" ht="14.4" x14ac:dyDescent="0.3">
      <c r="A71" s="149">
        <v>613</v>
      </c>
      <c r="B71" s="17" t="s">
        <v>1411</v>
      </c>
      <c r="C71" s="15" t="s">
        <v>1371</v>
      </c>
      <c r="D71" s="15" t="s">
        <v>1470</v>
      </c>
      <c r="E71" s="16" t="s">
        <v>1471</v>
      </c>
      <c r="F71" s="16" t="s">
        <v>1472</v>
      </c>
      <c r="G71" s="15" t="s">
        <v>1405</v>
      </c>
      <c r="H71" s="16" t="s">
        <v>1406</v>
      </c>
      <c r="I71" s="15" t="s">
        <v>280</v>
      </c>
      <c r="J71" s="125" t="s">
        <v>26</v>
      </c>
      <c r="K71" s="70">
        <v>36</v>
      </c>
      <c r="L71" s="139">
        <v>17.200000000000003</v>
      </c>
      <c r="M71" s="119"/>
      <c r="N71" s="71">
        <f t="shared" si="1"/>
        <v>0</v>
      </c>
      <c r="O71" s="76"/>
    </row>
    <row r="72" spans="1:15" ht="14.4" x14ac:dyDescent="0.3">
      <c r="A72" s="149">
        <v>614</v>
      </c>
      <c r="B72" s="17" t="s">
        <v>1411</v>
      </c>
      <c r="C72" s="15" t="s">
        <v>1371</v>
      </c>
      <c r="D72" s="15" t="s">
        <v>1473</v>
      </c>
      <c r="E72" s="16" t="s">
        <v>1474</v>
      </c>
      <c r="F72" s="16" t="s">
        <v>1475</v>
      </c>
      <c r="G72" s="15" t="s">
        <v>133</v>
      </c>
      <c r="H72" s="16" t="s">
        <v>134</v>
      </c>
      <c r="I72" s="15" t="s">
        <v>280</v>
      </c>
      <c r="J72" s="125" t="s">
        <v>26</v>
      </c>
      <c r="K72" s="70">
        <v>36</v>
      </c>
      <c r="L72" s="139">
        <v>17.200000000000003</v>
      </c>
      <c r="M72" s="119"/>
      <c r="N72" s="71">
        <f t="shared" si="1"/>
        <v>0</v>
      </c>
      <c r="O72" s="76"/>
    </row>
    <row r="73" spans="1:15" ht="14.4" x14ac:dyDescent="0.3">
      <c r="A73" s="149">
        <v>615</v>
      </c>
      <c r="B73" s="17" t="s">
        <v>1411</v>
      </c>
      <c r="C73" s="15" t="s">
        <v>1371</v>
      </c>
      <c r="D73" s="15" t="s">
        <v>1476</v>
      </c>
      <c r="E73" s="16" t="s">
        <v>1477</v>
      </c>
      <c r="F73" s="16" t="s">
        <v>1478</v>
      </c>
      <c r="G73" s="15" t="s">
        <v>1479</v>
      </c>
      <c r="H73" s="16" t="s">
        <v>1480</v>
      </c>
      <c r="I73" s="15" t="s">
        <v>280</v>
      </c>
      <c r="J73" s="125" t="s">
        <v>26</v>
      </c>
      <c r="K73" s="70">
        <v>36</v>
      </c>
      <c r="L73" s="139">
        <v>17.200000000000003</v>
      </c>
      <c r="M73" s="119"/>
      <c r="N73" s="71">
        <f t="shared" si="1"/>
        <v>0</v>
      </c>
      <c r="O73" s="76"/>
    </row>
    <row r="74" spans="1:15" ht="14.4" x14ac:dyDescent="0.3">
      <c r="A74" s="149">
        <v>616</v>
      </c>
      <c r="B74" s="17" t="s">
        <v>1411</v>
      </c>
      <c r="C74" s="15" t="s">
        <v>1371</v>
      </c>
      <c r="D74" s="15" t="s">
        <v>1481</v>
      </c>
      <c r="E74" s="16" t="s">
        <v>1482</v>
      </c>
      <c r="F74" s="16" t="s">
        <v>1483</v>
      </c>
      <c r="G74" s="15" t="s">
        <v>133</v>
      </c>
      <c r="H74" s="16" t="s">
        <v>134</v>
      </c>
      <c r="I74" s="15" t="s">
        <v>280</v>
      </c>
      <c r="J74" s="125" t="s">
        <v>26</v>
      </c>
      <c r="K74" s="70">
        <v>69.989999999999995</v>
      </c>
      <c r="L74" s="139">
        <v>33.5</v>
      </c>
      <c r="M74" s="119"/>
      <c r="N74" s="71">
        <f t="shared" si="1"/>
        <v>0</v>
      </c>
      <c r="O74" s="76"/>
    </row>
    <row r="75" spans="1:15" ht="14.4" x14ac:dyDescent="0.3">
      <c r="A75" s="149">
        <v>617</v>
      </c>
      <c r="B75" s="17" t="s">
        <v>1484</v>
      </c>
      <c r="C75" s="15" t="s">
        <v>1371</v>
      </c>
      <c r="D75" s="15" t="s">
        <v>1485</v>
      </c>
      <c r="E75" s="16" t="s">
        <v>1486</v>
      </c>
      <c r="F75" s="16" t="s">
        <v>1487</v>
      </c>
      <c r="G75" s="15" t="s">
        <v>1488</v>
      </c>
      <c r="H75" s="16" t="s">
        <v>1489</v>
      </c>
      <c r="I75" s="15" t="s">
        <v>280</v>
      </c>
      <c r="J75" s="125" t="s">
        <v>26</v>
      </c>
      <c r="K75" s="70">
        <v>79.989999999999995</v>
      </c>
      <c r="L75" s="139">
        <v>38.300000000000004</v>
      </c>
      <c r="M75" s="119"/>
      <c r="N75" s="71">
        <f t="shared" si="1"/>
        <v>0</v>
      </c>
      <c r="O75" s="76"/>
    </row>
    <row r="76" spans="1:15" ht="14.4" x14ac:dyDescent="0.3">
      <c r="A76" s="149">
        <v>618</v>
      </c>
      <c r="B76" s="17" t="s">
        <v>1484</v>
      </c>
      <c r="C76" s="15" t="s">
        <v>1371</v>
      </c>
      <c r="D76" s="15" t="s">
        <v>1485</v>
      </c>
      <c r="E76" s="15" t="s">
        <v>1490</v>
      </c>
      <c r="F76" s="16" t="s">
        <v>1487</v>
      </c>
      <c r="G76" s="16" t="s">
        <v>1375</v>
      </c>
      <c r="H76" s="16" t="s">
        <v>1376</v>
      </c>
      <c r="I76" s="15" t="s">
        <v>280</v>
      </c>
      <c r="J76" s="125" t="s">
        <v>26</v>
      </c>
      <c r="K76" s="70">
        <v>79.989999999999995</v>
      </c>
      <c r="L76" s="139">
        <v>38.300000000000004</v>
      </c>
      <c r="M76" s="119"/>
      <c r="N76" s="71">
        <f t="shared" si="1"/>
        <v>0</v>
      </c>
      <c r="O76" s="76"/>
    </row>
    <row r="77" spans="1:15" ht="14.4" x14ac:dyDescent="0.3">
      <c r="A77" s="149">
        <v>619</v>
      </c>
      <c r="B77" s="17" t="s">
        <v>833</v>
      </c>
      <c r="C77" s="15" t="s">
        <v>1371</v>
      </c>
      <c r="D77" s="15" t="s">
        <v>1491</v>
      </c>
      <c r="E77" s="16" t="s">
        <v>1492</v>
      </c>
      <c r="F77" s="16" t="s">
        <v>1493</v>
      </c>
      <c r="G77" s="15" t="s">
        <v>161</v>
      </c>
      <c r="H77" s="16" t="s">
        <v>162</v>
      </c>
      <c r="I77" s="15" t="s">
        <v>280</v>
      </c>
      <c r="J77" s="125" t="s">
        <v>101</v>
      </c>
      <c r="K77" s="70">
        <v>150</v>
      </c>
      <c r="L77" s="139">
        <v>84.7</v>
      </c>
      <c r="M77" s="119"/>
      <c r="N77" s="71">
        <f t="shared" si="1"/>
        <v>0</v>
      </c>
      <c r="O77" s="76"/>
    </row>
    <row r="78" spans="1:15" ht="14.4" x14ac:dyDescent="0.3">
      <c r="A78" s="149">
        <v>620</v>
      </c>
      <c r="B78" s="17" t="s">
        <v>766</v>
      </c>
      <c r="C78" s="15" t="s">
        <v>1371</v>
      </c>
      <c r="D78" s="15" t="s">
        <v>1494</v>
      </c>
      <c r="E78" s="16" t="s">
        <v>1495</v>
      </c>
      <c r="F78" s="16" t="s">
        <v>1496</v>
      </c>
      <c r="G78" s="15" t="s">
        <v>133</v>
      </c>
      <c r="H78" s="16" t="s">
        <v>134</v>
      </c>
      <c r="I78" s="15" t="s">
        <v>280</v>
      </c>
      <c r="J78" s="125" t="s">
        <v>26</v>
      </c>
      <c r="K78" s="70">
        <v>600</v>
      </c>
      <c r="L78" s="139">
        <v>484</v>
      </c>
      <c r="M78" s="119"/>
      <c r="N78" s="71">
        <f t="shared" si="1"/>
        <v>0</v>
      </c>
      <c r="O78" s="76"/>
    </row>
    <row r="79" spans="1:15" ht="14.4" x14ac:dyDescent="0.3">
      <c r="A79" s="149">
        <v>621</v>
      </c>
      <c r="B79" s="17" t="s">
        <v>766</v>
      </c>
      <c r="C79" s="15" t="s">
        <v>1371</v>
      </c>
      <c r="D79" s="15" t="s">
        <v>1497</v>
      </c>
      <c r="E79" s="16" t="s">
        <v>1498</v>
      </c>
      <c r="F79" s="16" t="s">
        <v>1499</v>
      </c>
      <c r="G79" s="15" t="s">
        <v>133</v>
      </c>
      <c r="H79" s="16" t="s">
        <v>134</v>
      </c>
      <c r="I79" s="15" t="s">
        <v>280</v>
      </c>
      <c r="J79" s="125" t="s">
        <v>26</v>
      </c>
      <c r="K79" s="70">
        <v>250</v>
      </c>
      <c r="L79" s="139">
        <v>201.7</v>
      </c>
      <c r="M79" s="119"/>
      <c r="N79" s="71">
        <f t="shared" si="1"/>
        <v>0</v>
      </c>
      <c r="O79" s="76"/>
    </row>
    <row r="80" spans="1:15" ht="14.4" x14ac:dyDescent="0.3">
      <c r="A80" s="149">
        <v>622</v>
      </c>
      <c r="B80" s="17" t="s">
        <v>766</v>
      </c>
      <c r="C80" s="15" t="s">
        <v>1371</v>
      </c>
      <c r="D80" s="15" t="s">
        <v>1500</v>
      </c>
      <c r="E80" s="16" t="s">
        <v>1501</v>
      </c>
      <c r="F80" s="16" t="s">
        <v>1502</v>
      </c>
      <c r="G80" s="15" t="s">
        <v>133</v>
      </c>
      <c r="H80" s="16" t="s">
        <v>134</v>
      </c>
      <c r="I80" s="15" t="s">
        <v>369</v>
      </c>
      <c r="J80" s="125" t="s">
        <v>26</v>
      </c>
      <c r="K80" s="70">
        <v>35</v>
      </c>
      <c r="L80" s="139">
        <v>28.3</v>
      </c>
      <c r="M80" s="119"/>
      <c r="N80" s="71">
        <f t="shared" ref="N80:N111" si="2">L80*M80</f>
        <v>0</v>
      </c>
      <c r="O80" s="76"/>
    </row>
    <row r="81" spans="1:15" ht="14.4" x14ac:dyDescent="0.3">
      <c r="A81" s="149">
        <v>623</v>
      </c>
      <c r="B81" s="17" t="s">
        <v>766</v>
      </c>
      <c r="C81" s="15" t="s">
        <v>1371</v>
      </c>
      <c r="D81" s="15" t="s">
        <v>1503</v>
      </c>
      <c r="E81" s="16" t="s">
        <v>1504</v>
      </c>
      <c r="F81" s="16" t="s">
        <v>1505</v>
      </c>
      <c r="G81" s="15" t="s">
        <v>133</v>
      </c>
      <c r="H81" s="16" t="s">
        <v>134</v>
      </c>
      <c r="I81" s="15" t="s">
        <v>62</v>
      </c>
      <c r="J81" s="125" t="s">
        <v>26</v>
      </c>
      <c r="K81" s="70">
        <v>125</v>
      </c>
      <c r="L81" s="139">
        <v>100.89999999999999</v>
      </c>
      <c r="M81" s="119"/>
      <c r="N81" s="71">
        <f t="shared" si="2"/>
        <v>0</v>
      </c>
      <c r="O81" s="76"/>
    </row>
    <row r="82" spans="1:15" ht="14.4" x14ac:dyDescent="0.3">
      <c r="A82" s="149">
        <v>624</v>
      </c>
      <c r="B82" s="17" t="s">
        <v>766</v>
      </c>
      <c r="C82" s="15" t="s">
        <v>1371</v>
      </c>
      <c r="D82" s="15" t="s">
        <v>1506</v>
      </c>
      <c r="E82" s="16" t="s">
        <v>1507</v>
      </c>
      <c r="F82" s="16" t="s">
        <v>1508</v>
      </c>
      <c r="G82" s="15" t="s">
        <v>133</v>
      </c>
      <c r="H82" s="16" t="s">
        <v>134</v>
      </c>
      <c r="I82" s="15" t="s">
        <v>62</v>
      </c>
      <c r="J82" s="125" t="s">
        <v>26</v>
      </c>
      <c r="K82" s="70">
        <v>45</v>
      </c>
      <c r="L82" s="139">
        <v>36.299999999999997</v>
      </c>
      <c r="M82" s="119"/>
      <c r="N82" s="71">
        <f t="shared" si="2"/>
        <v>0</v>
      </c>
      <c r="O82" s="76"/>
    </row>
    <row r="83" spans="1:15" ht="14.4" x14ac:dyDescent="0.3">
      <c r="A83" s="149">
        <v>625</v>
      </c>
      <c r="B83" s="17" t="s">
        <v>766</v>
      </c>
      <c r="C83" s="15" t="s">
        <v>1371</v>
      </c>
      <c r="D83" s="15" t="s">
        <v>1509</v>
      </c>
      <c r="E83" s="16" t="s">
        <v>1510</v>
      </c>
      <c r="F83" s="16" t="s">
        <v>1511</v>
      </c>
      <c r="G83" s="15" t="s">
        <v>133</v>
      </c>
      <c r="H83" s="16" t="s">
        <v>134</v>
      </c>
      <c r="I83" s="15" t="s">
        <v>1512</v>
      </c>
      <c r="J83" s="125" t="s">
        <v>26</v>
      </c>
      <c r="K83" s="70">
        <v>90</v>
      </c>
      <c r="L83" s="139">
        <v>72.599999999999994</v>
      </c>
      <c r="M83" s="119"/>
      <c r="N83" s="71">
        <f t="shared" si="2"/>
        <v>0</v>
      </c>
      <c r="O83" s="76"/>
    </row>
    <row r="84" spans="1:15" ht="14.4" x14ac:dyDescent="0.3">
      <c r="A84" s="149">
        <v>626</v>
      </c>
      <c r="B84" s="17" t="s">
        <v>766</v>
      </c>
      <c r="C84" s="15" t="s">
        <v>1371</v>
      </c>
      <c r="D84" s="15" t="s">
        <v>1513</v>
      </c>
      <c r="E84" s="16" t="s">
        <v>1514</v>
      </c>
      <c r="F84" s="16" t="s">
        <v>1515</v>
      </c>
      <c r="G84" s="15" t="s">
        <v>357</v>
      </c>
      <c r="H84" s="16" t="s">
        <v>358</v>
      </c>
      <c r="I84" s="15" t="s">
        <v>280</v>
      </c>
      <c r="J84" s="125" t="s">
        <v>26</v>
      </c>
      <c r="K84" s="70">
        <v>150</v>
      </c>
      <c r="L84" s="139">
        <v>121</v>
      </c>
      <c r="M84" s="119"/>
      <c r="N84" s="71">
        <f t="shared" si="2"/>
        <v>0</v>
      </c>
      <c r="O84" s="76"/>
    </row>
    <row r="85" spans="1:15" ht="14.4" x14ac:dyDescent="0.3">
      <c r="A85" s="149">
        <v>627</v>
      </c>
      <c r="B85" s="17" t="s">
        <v>766</v>
      </c>
      <c r="C85" s="15" t="s">
        <v>1371</v>
      </c>
      <c r="D85" s="15" t="s">
        <v>1516</v>
      </c>
      <c r="E85" s="16" t="s">
        <v>1517</v>
      </c>
      <c r="F85" s="16" t="s">
        <v>1518</v>
      </c>
      <c r="G85" s="15" t="s">
        <v>133</v>
      </c>
      <c r="H85" s="16" t="s">
        <v>134</v>
      </c>
      <c r="I85" s="15" t="s">
        <v>280</v>
      </c>
      <c r="J85" s="125" t="s">
        <v>26</v>
      </c>
      <c r="K85" s="70">
        <v>160</v>
      </c>
      <c r="L85" s="139">
        <v>129.1</v>
      </c>
      <c r="M85" s="119"/>
      <c r="N85" s="71">
        <f t="shared" si="2"/>
        <v>0</v>
      </c>
      <c r="O85" s="76"/>
    </row>
    <row r="86" spans="1:15" ht="14.4" x14ac:dyDescent="0.3">
      <c r="A86" s="149">
        <v>628</v>
      </c>
      <c r="B86" s="17" t="s">
        <v>766</v>
      </c>
      <c r="C86" s="15" t="s">
        <v>1371</v>
      </c>
      <c r="D86" s="15" t="s">
        <v>1519</v>
      </c>
      <c r="E86" s="16" t="s">
        <v>1520</v>
      </c>
      <c r="F86" s="16" t="s">
        <v>1521</v>
      </c>
      <c r="G86" s="15" t="s">
        <v>133</v>
      </c>
      <c r="H86" s="16" t="s">
        <v>134</v>
      </c>
      <c r="I86" s="15" t="s">
        <v>280</v>
      </c>
      <c r="J86" s="125" t="s">
        <v>26</v>
      </c>
      <c r="K86" s="70">
        <v>33</v>
      </c>
      <c r="L86" s="139">
        <v>26.700000000000003</v>
      </c>
      <c r="M86" s="119"/>
      <c r="N86" s="71">
        <f t="shared" si="2"/>
        <v>0</v>
      </c>
      <c r="O86" s="76"/>
    </row>
    <row r="87" spans="1:15" ht="14.4" x14ac:dyDescent="0.3">
      <c r="A87" s="149">
        <v>629</v>
      </c>
      <c r="B87" s="17" t="s">
        <v>766</v>
      </c>
      <c r="C87" s="15" t="s">
        <v>1371</v>
      </c>
      <c r="D87" s="15" t="s">
        <v>1522</v>
      </c>
      <c r="E87" s="16" t="s">
        <v>1523</v>
      </c>
      <c r="F87" s="16" t="s">
        <v>1524</v>
      </c>
      <c r="G87" s="15" t="s">
        <v>133</v>
      </c>
      <c r="H87" s="16" t="s">
        <v>134</v>
      </c>
      <c r="I87" s="15" t="s">
        <v>280</v>
      </c>
      <c r="J87" s="125" t="s">
        <v>26</v>
      </c>
      <c r="K87" s="70">
        <v>55</v>
      </c>
      <c r="L87" s="139">
        <v>44.4</v>
      </c>
      <c r="M87" s="119"/>
      <c r="N87" s="71">
        <f t="shared" si="2"/>
        <v>0</v>
      </c>
      <c r="O87" s="76"/>
    </row>
    <row r="88" spans="1:15" ht="14.4" x14ac:dyDescent="0.3">
      <c r="A88" s="149">
        <v>630</v>
      </c>
      <c r="B88" s="17" t="s">
        <v>766</v>
      </c>
      <c r="C88" s="15" t="s">
        <v>1371</v>
      </c>
      <c r="D88" s="15" t="s">
        <v>1525</v>
      </c>
      <c r="E88" s="16" t="s">
        <v>1526</v>
      </c>
      <c r="F88" s="16" t="s">
        <v>1527</v>
      </c>
      <c r="G88" s="15" t="s">
        <v>133</v>
      </c>
      <c r="H88" s="16" t="s">
        <v>134</v>
      </c>
      <c r="I88" s="15" t="s">
        <v>280</v>
      </c>
      <c r="J88" s="125" t="s">
        <v>26</v>
      </c>
      <c r="K88" s="70">
        <v>33</v>
      </c>
      <c r="L88" s="139">
        <v>26.700000000000003</v>
      </c>
      <c r="M88" s="119"/>
      <c r="N88" s="71">
        <f t="shared" si="2"/>
        <v>0</v>
      </c>
      <c r="O88" s="76"/>
    </row>
    <row r="89" spans="1:15" ht="14.4" x14ac:dyDescent="0.3">
      <c r="A89" s="149">
        <v>631</v>
      </c>
      <c r="B89" s="17" t="s">
        <v>766</v>
      </c>
      <c r="C89" s="15" t="s">
        <v>1371</v>
      </c>
      <c r="D89" s="15" t="s">
        <v>1528</v>
      </c>
      <c r="E89" s="16" t="s">
        <v>1529</v>
      </c>
      <c r="F89" s="16" t="s">
        <v>1530</v>
      </c>
      <c r="G89" s="15" t="s">
        <v>133</v>
      </c>
      <c r="H89" s="16" t="s">
        <v>134</v>
      </c>
      <c r="I89" s="15" t="s">
        <v>280</v>
      </c>
      <c r="J89" s="125" t="s">
        <v>26</v>
      </c>
      <c r="K89" s="70">
        <v>55</v>
      </c>
      <c r="L89" s="139">
        <v>44.4</v>
      </c>
      <c r="M89" s="119"/>
      <c r="N89" s="71">
        <f t="shared" si="2"/>
        <v>0</v>
      </c>
      <c r="O89" s="76"/>
    </row>
    <row r="90" spans="1:15" ht="14.4" x14ac:dyDescent="0.3">
      <c r="A90" s="149">
        <v>632</v>
      </c>
      <c r="B90" s="17" t="s">
        <v>766</v>
      </c>
      <c r="C90" s="15" t="s">
        <v>1371</v>
      </c>
      <c r="D90" s="15" t="s">
        <v>1531</v>
      </c>
      <c r="E90" s="16" t="s">
        <v>1532</v>
      </c>
      <c r="F90" s="16" t="s">
        <v>1533</v>
      </c>
      <c r="G90" s="15" t="s">
        <v>133</v>
      </c>
      <c r="H90" s="16" t="s">
        <v>134</v>
      </c>
      <c r="I90" s="15" t="s">
        <v>280</v>
      </c>
      <c r="J90" s="125" t="s">
        <v>26</v>
      </c>
      <c r="K90" s="70">
        <v>30</v>
      </c>
      <c r="L90" s="139">
        <v>24.2</v>
      </c>
      <c r="M90" s="119"/>
      <c r="N90" s="71">
        <f t="shared" si="2"/>
        <v>0</v>
      </c>
      <c r="O90" s="76"/>
    </row>
    <row r="91" spans="1:15" ht="14.4" x14ac:dyDescent="0.3">
      <c r="A91" s="149">
        <v>633</v>
      </c>
      <c r="B91" s="17" t="s">
        <v>766</v>
      </c>
      <c r="C91" s="15" t="s">
        <v>1371</v>
      </c>
      <c r="D91" s="15" t="s">
        <v>1534</v>
      </c>
      <c r="E91" s="16" t="s">
        <v>1535</v>
      </c>
      <c r="F91" s="16" t="s">
        <v>1536</v>
      </c>
      <c r="G91" s="15" t="s">
        <v>133</v>
      </c>
      <c r="H91" s="16" t="s">
        <v>134</v>
      </c>
      <c r="I91" s="15" t="s">
        <v>280</v>
      </c>
      <c r="J91" s="125" t="s">
        <v>26</v>
      </c>
      <c r="K91" s="70">
        <v>32</v>
      </c>
      <c r="L91" s="139">
        <v>25.900000000000002</v>
      </c>
      <c r="M91" s="119"/>
      <c r="N91" s="71">
        <f t="shared" si="2"/>
        <v>0</v>
      </c>
      <c r="O91" s="76"/>
    </row>
    <row r="92" spans="1:15" ht="14.4" x14ac:dyDescent="0.3">
      <c r="A92" s="149">
        <v>634</v>
      </c>
      <c r="B92" s="17" t="s">
        <v>766</v>
      </c>
      <c r="C92" s="15" t="s">
        <v>1371</v>
      </c>
      <c r="D92" s="15" t="s">
        <v>1537</v>
      </c>
      <c r="E92" s="16" t="s">
        <v>1538</v>
      </c>
      <c r="F92" s="16" t="s">
        <v>1539</v>
      </c>
      <c r="G92" s="15" t="s">
        <v>133</v>
      </c>
      <c r="H92" s="16" t="s">
        <v>134</v>
      </c>
      <c r="I92" s="15" t="s">
        <v>280</v>
      </c>
      <c r="J92" s="125" t="s">
        <v>26</v>
      </c>
      <c r="K92" s="70">
        <v>22</v>
      </c>
      <c r="L92" s="139">
        <v>17.8</v>
      </c>
      <c r="M92" s="119"/>
      <c r="N92" s="71">
        <f t="shared" si="2"/>
        <v>0</v>
      </c>
      <c r="O92" s="76"/>
    </row>
    <row r="93" spans="1:15" ht="14.4" x14ac:dyDescent="0.3">
      <c r="A93" s="149">
        <v>635</v>
      </c>
      <c r="B93" s="17" t="s">
        <v>766</v>
      </c>
      <c r="C93" s="15" t="s">
        <v>1371</v>
      </c>
      <c r="D93" s="15" t="s">
        <v>1540</v>
      </c>
      <c r="E93" s="16" t="s">
        <v>1541</v>
      </c>
      <c r="F93" s="16" t="s">
        <v>1542</v>
      </c>
      <c r="G93" s="15" t="s">
        <v>1543</v>
      </c>
      <c r="H93" s="16" t="s">
        <v>1544</v>
      </c>
      <c r="I93" s="15" t="s">
        <v>280</v>
      </c>
      <c r="J93" s="125" t="s">
        <v>26</v>
      </c>
      <c r="K93" s="70">
        <v>130</v>
      </c>
      <c r="L93" s="139">
        <v>104.89999999999999</v>
      </c>
      <c r="M93" s="119"/>
      <c r="N93" s="71">
        <f t="shared" si="2"/>
        <v>0</v>
      </c>
      <c r="O93" s="76"/>
    </row>
    <row r="94" spans="1:15" ht="14.4" x14ac:dyDescent="0.3">
      <c r="A94" s="149">
        <v>636</v>
      </c>
      <c r="B94" s="17" t="s">
        <v>766</v>
      </c>
      <c r="C94" s="15" t="s">
        <v>1371</v>
      </c>
      <c r="D94" s="15" t="s">
        <v>1545</v>
      </c>
      <c r="E94" s="16" t="s">
        <v>1546</v>
      </c>
      <c r="F94" s="16" t="s">
        <v>1547</v>
      </c>
      <c r="G94" s="15" t="s">
        <v>133</v>
      </c>
      <c r="H94" s="16" t="s">
        <v>134</v>
      </c>
      <c r="I94" s="15" t="s">
        <v>280</v>
      </c>
      <c r="J94" s="125" t="s">
        <v>26</v>
      </c>
      <c r="K94" s="70">
        <v>8.25</v>
      </c>
      <c r="L94" s="139">
        <v>6.6999999999999993</v>
      </c>
      <c r="M94" s="119"/>
      <c r="N94" s="71">
        <f t="shared" si="2"/>
        <v>0</v>
      </c>
      <c r="O94" s="76"/>
    </row>
    <row r="95" spans="1:15" ht="14.4" x14ac:dyDescent="0.3">
      <c r="A95" s="149">
        <v>637</v>
      </c>
      <c r="B95" s="17" t="s">
        <v>766</v>
      </c>
      <c r="C95" s="15" t="s">
        <v>1371</v>
      </c>
      <c r="D95" s="15" t="s">
        <v>1548</v>
      </c>
      <c r="E95" s="16" t="s">
        <v>1549</v>
      </c>
      <c r="F95" s="16" t="s">
        <v>1550</v>
      </c>
      <c r="G95" s="15" t="s">
        <v>133</v>
      </c>
      <c r="H95" s="16" t="s">
        <v>134</v>
      </c>
      <c r="I95" s="15" t="s">
        <v>280</v>
      </c>
      <c r="J95" s="125" t="s">
        <v>26</v>
      </c>
      <c r="K95" s="70">
        <v>3.75</v>
      </c>
      <c r="L95" s="139">
        <v>3.1</v>
      </c>
      <c r="M95" s="119"/>
      <c r="N95" s="71">
        <f t="shared" si="2"/>
        <v>0</v>
      </c>
      <c r="O95" s="76"/>
    </row>
    <row r="96" spans="1:15" ht="14.4" x14ac:dyDescent="0.3">
      <c r="A96" s="149">
        <v>638</v>
      </c>
      <c r="B96" s="17" t="s">
        <v>766</v>
      </c>
      <c r="C96" s="15" t="s">
        <v>1371</v>
      </c>
      <c r="D96" s="15" t="s">
        <v>1551</v>
      </c>
      <c r="E96" s="16" t="s">
        <v>1552</v>
      </c>
      <c r="F96" s="16" t="s">
        <v>1553</v>
      </c>
      <c r="G96" s="15" t="s">
        <v>133</v>
      </c>
      <c r="H96" s="16" t="s">
        <v>134</v>
      </c>
      <c r="I96" s="15" t="s">
        <v>280</v>
      </c>
      <c r="J96" s="125" t="s">
        <v>26</v>
      </c>
      <c r="K96" s="70">
        <v>4.5</v>
      </c>
      <c r="L96" s="139">
        <v>3.7</v>
      </c>
      <c r="M96" s="119"/>
      <c r="N96" s="71">
        <f t="shared" si="2"/>
        <v>0</v>
      </c>
      <c r="O96" s="76"/>
    </row>
    <row r="97" spans="1:15" ht="14.4" x14ac:dyDescent="0.3">
      <c r="A97" s="149">
        <v>639</v>
      </c>
      <c r="B97" s="17" t="s">
        <v>766</v>
      </c>
      <c r="C97" s="15" t="s">
        <v>1371</v>
      </c>
      <c r="D97" s="15" t="s">
        <v>1554</v>
      </c>
      <c r="E97" s="16" t="s">
        <v>1555</v>
      </c>
      <c r="F97" s="16" t="s">
        <v>1556</v>
      </c>
      <c r="G97" s="15" t="s">
        <v>133</v>
      </c>
      <c r="H97" s="16" t="s">
        <v>134</v>
      </c>
      <c r="I97" s="15" t="s">
        <v>280</v>
      </c>
      <c r="J97" s="125" t="s">
        <v>26</v>
      </c>
      <c r="K97" s="70">
        <v>2</v>
      </c>
      <c r="L97" s="139">
        <v>1.7000000000000002</v>
      </c>
      <c r="M97" s="119"/>
      <c r="N97" s="71">
        <f t="shared" si="2"/>
        <v>0</v>
      </c>
      <c r="O97" s="76"/>
    </row>
    <row r="98" spans="1:15" ht="14.4" x14ac:dyDescent="0.3">
      <c r="A98" s="149">
        <v>640</v>
      </c>
      <c r="B98" s="17" t="s">
        <v>766</v>
      </c>
      <c r="C98" s="15" t="s">
        <v>1371</v>
      </c>
      <c r="D98" s="15" t="s">
        <v>1557</v>
      </c>
      <c r="E98" s="16" t="s">
        <v>1558</v>
      </c>
      <c r="F98" s="16" t="s">
        <v>1559</v>
      </c>
      <c r="G98" s="15" t="s">
        <v>1560</v>
      </c>
      <c r="H98" s="16" t="s">
        <v>1561</v>
      </c>
      <c r="I98" s="15" t="s">
        <v>280</v>
      </c>
      <c r="J98" s="125" t="s">
        <v>26</v>
      </c>
      <c r="K98" s="70">
        <v>13</v>
      </c>
      <c r="L98" s="139">
        <v>10.5</v>
      </c>
      <c r="M98" s="119"/>
      <c r="N98" s="71">
        <f t="shared" si="2"/>
        <v>0</v>
      </c>
      <c r="O98" s="76"/>
    </row>
    <row r="99" spans="1:15" ht="14.4" x14ac:dyDescent="0.3">
      <c r="A99" s="149">
        <v>641</v>
      </c>
      <c r="B99" s="17" t="s">
        <v>766</v>
      </c>
      <c r="C99" s="15" t="s">
        <v>1371</v>
      </c>
      <c r="D99" s="15" t="s">
        <v>1557</v>
      </c>
      <c r="E99" s="16" t="s">
        <v>1562</v>
      </c>
      <c r="F99" s="16" t="s">
        <v>1559</v>
      </c>
      <c r="G99" s="15" t="s">
        <v>133</v>
      </c>
      <c r="H99" s="16" t="s">
        <v>134</v>
      </c>
      <c r="I99" s="15" t="s">
        <v>280</v>
      </c>
      <c r="J99" s="125" t="s">
        <v>26</v>
      </c>
      <c r="K99" s="70">
        <v>13</v>
      </c>
      <c r="L99" s="139">
        <v>10.5</v>
      </c>
      <c r="M99" s="119"/>
      <c r="N99" s="71">
        <f t="shared" si="2"/>
        <v>0</v>
      </c>
      <c r="O99" s="76"/>
    </row>
    <row r="100" spans="1:15" ht="14.4" x14ac:dyDescent="0.3">
      <c r="A100" s="149">
        <v>642</v>
      </c>
      <c r="B100" s="17" t="s">
        <v>766</v>
      </c>
      <c r="C100" s="15" t="s">
        <v>1371</v>
      </c>
      <c r="D100" s="15" t="s">
        <v>1563</v>
      </c>
      <c r="E100" s="16" t="s">
        <v>1564</v>
      </c>
      <c r="F100" s="16" t="s">
        <v>1565</v>
      </c>
      <c r="G100" s="15" t="s">
        <v>1560</v>
      </c>
      <c r="H100" s="16" t="s">
        <v>1561</v>
      </c>
      <c r="I100" s="15" t="s">
        <v>280</v>
      </c>
      <c r="J100" s="125" t="s">
        <v>26</v>
      </c>
      <c r="K100" s="70">
        <v>10</v>
      </c>
      <c r="L100" s="139">
        <v>8.1</v>
      </c>
      <c r="M100" s="119"/>
      <c r="N100" s="71">
        <f t="shared" si="2"/>
        <v>0</v>
      </c>
      <c r="O100" s="76"/>
    </row>
    <row r="101" spans="1:15" ht="14.4" x14ac:dyDescent="0.3">
      <c r="A101" s="149">
        <v>643</v>
      </c>
      <c r="B101" s="17" t="s">
        <v>766</v>
      </c>
      <c r="C101" s="15" t="s">
        <v>1371</v>
      </c>
      <c r="D101" s="15" t="s">
        <v>1563</v>
      </c>
      <c r="E101" s="16" t="s">
        <v>1566</v>
      </c>
      <c r="F101" s="16" t="s">
        <v>1565</v>
      </c>
      <c r="G101" s="15" t="s">
        <v>133</v>
      </c>
      <c r="H101" s="16" t="s">
        <v>134</v>
      </c>
      <c r="I101" s="15" t="s">
        <v>280</v>
      </c>
      <c r="J101" s="125" t="s">
        <v>26</v>
      </c>
      <c r="K101" s="70">
        <v>10</v>
      </c>
      <c r="L101" s="139">
        <v>8.1</v>
      </c>
      <c r="M101" s="119"/>
      <c r="N101" s="71">
        <f t="shared" si="2"/>
        <v>0</v>
      </c>
      <c r="O101" s="76"/>
    </row>
    <row r="102" spans="1:15" ht="14.4" x14ac:dyDescent="0.3">
      <c r="A102" s="149">
        <v>644</v>
      </c>
      <c r="B102" s="17" t="s">
        <v>766</v>
      </c>
      <c r="C102" s="15" t="s">
        <v>1371</v>
      </c>
      <c r="D102" s="15" t="s">
        <v>1567</v>
      </c>
      <c r="E102" s="16" t="s">
        <v>1568</v>
      </c>
      <c r="F102" s="16" t="s">
        <v>1569</v>
      </c>
      <c r="G102" s="15" t="s">
        <v>1560</v>
      </c>
      <c r="H102" s="16" t="s">
        <v>1561</v>
      </c>
      <c r="I102" s="15" t="s">
        <v>280</v>
      </c>
      <c r="J102" s="125" t="s">
        <v>26</v>
      </c>
      <c r="K102" s="70">
        <v>30</v>
      </c>
      <c r="L102" s="139">
        <v>24.2</v>
      </c>
      <c r="M102" s="119"/>
      <c r="N102" s="71">
        <f t="shared" si="2"/>
        <v>0</v>
      </c>
      <c r="O102" s="76"/>
    </row>
    <row r="103" spans="1:15" ht="14.4" x14ac:dyDescent="0.3">
      <c r="A103" s="149">
        <v>645</v>
      </c>
      <c r="B103" s="17" t="s">
        <v>766</v>
      </c>
      <c r="C103" s="15" t="s">
        <v>1371</v>
      </c>
      <c r="D103" s="15" t="s">
        <v>1567</v>
      </c>
      <c r="E103" s="16" t="s">
        <v>1570</v>
      </c>
      <c r="F103" s="16" t="s">
        <v>1569</v>
      </c>
      <c r="G103" s="15" t="s">
        <v>133</v>
      </c>
      <c r="H103" s="16" t="s">
        <v>134</v>
      </c>
      <c r="I103" s="15" t="s">
        <v>280</v>
      </c>
      <c r="J103" s="125" t="s">
        <v>26</v>
      </c>
      <c r="K103" s="70">
        <v>30</v>
      </c>
      <c r="L103" s="139">
        <v>24.2</v>
      </c>
      <c r="M103" s="119"/>
      <c r="N103" s="71">
        <f t="shared" si="2"/>
        <v>0</v>
      </c>
      <c r="O103" s="76"/>
    </row>
    <row r="104" spans="1:15" ht="14.4" x14ac:dyDescent="0.3">
      <c r="A104" s="149">
        <v>646</v>
      </c>
      <c r="B104" s="17" t="s">
        <v>766</v>
      </c>
      <c r="C104" s="15" t="s">
        <v>1371</v>
      </c>
      <c r="D104" s="15" t="s">
        <v>1571</v>
      </c>
      <c r="E104" s="16" t="s">
        <v>1572</v>
      </c>
      <c r="F104" s="16" t="s">
        <v>1573</v>
      </c>
      <c r="G104" s="15" t="s">
        <v>1560</v>
      </c>
      <c r="H104" s="16" t="s">
        <v>1561</v>
      </c>
      <c r="I104" s="15" t="s">
        <v>280</v>
      </c>
      <c r="J104" s="125" t="s">
        <v>26</v>
      </c>
      <c r="K104" s="70">
        <v>30</v>
      </c>
      <c r="L104" s="139">
        <v>24.2</v>
      </c>
      <c r="M104" s="119"/>
      <c r="N104" s="71">
        <f t="shared" si="2"/>
        <v>0</v>
      </c>
      <c r="O104" s="76"/>
    </row>
    <row r="105" spans="1:15" ht="14.4" x14ac:dyDescent="0.3">
      <c r="A105" s="149">
        <v>647</v>
      </c>
      <c r="B105" s="17" t="s">
        <v>766</v>
      </c>
      <c r="C105" s="15" t="s">
        <v>1371</v>
      </c>
      <c r="D105" s="15" t="s">
        <v>1571</v>
      </c>
      <c r="E105" s="16" t="s">
        <v>1574</v>
      </c>
      <c r="F105" s="16" t="s">
        <v>1573</v>
      </c>
      <c r="G105" s="15" t="s">
        <v>133</v>
      </c>
      <c r="H105" s="16" t="s">
        <v>134</v>
      </c>
      <c r="I105" s="15" t="s">
        <v>280</v>
      </c>
      <c r="J105" s="125" t="s">
        <v>26</v>
      </c>
      <c r="K105" s="70">
        <v>30</v>
      </c>
      <c r="L105" s="139">
        <v>24.2</v>
      </c>
      <c r="M105" s="119"/>
      <c r="N105" s="71">
        <f t="shared" si="2"/>
        <v>0</v>
      </c>
      <c r="O105" s="76"/>
    </row>
    <row r="106" spans="1:15" ht="14.4" x14ac:dyDescent="0.3">
      <c r="A106" s="149">
        <v>648</v>
      </c>
      <c r="B106" s="17" t="s">
        <v>766</v>
      </c>
      <c r="C106" s="15" t="s">
        <v>1371</v>
      </c>
      <c r="D106" s="15" t="s">
        <v>1575</v>
      </c>
      <c r="E106" s="16" t="s">
        <v>1576</v>
      </c>
      <c r="F106" s="16" t="s">
        <v>1577</v>
      </c>
      <c r="G106" s="15" t="s">
        <v>133</v>
      </c>
      <c r="H106" s="16" t="s">
        <v>134</v>
      </c>
      <c r="I106" s="15" t="s">
        <v>280</v>
      </c>
      <c r="J106" s="125" t="s">
        <v>26</v>
      </c>
      <c r="K106" s="70">
        <v>195</v>
      </c>
      <c r="L106" s="139">
        <v>157.30000000000001</v>
      </c>
      <c r="M106" s="119"/>
      <c r="N106" s="71">
        <f t="shared" si="2"/>
        <v>0</v>
      </c>
      <c r="O106" s="76"/>
    </row>
    <row r="107" spans="1:15" ht="14.4" x14ac:dyDescent="0.3">
      <c r="A107" s="149">
        <v>649</v>
      </c>
      <c r="B107" s="17" t="s">
        <v>766</v>
      </c>
      <c r="C107" s="15" t="s">
        <v>1371</v>
      </c>
      <c r="D107" s="15" t="s">
        <v>1578</v>
      </c>
      <c r="E107" s="16" t="s">
        <v>1579</v>
      </c>
      <c r="F107" s="16" t="s">
        <v>1580</v>
      </c>
      <c r="G107" s="15" t="s">
        <v>161</v>
      </c>
      <c r="H107" s="16" t="s">
        <v>162</v>
      </c>
      <c r="I107" s="15" t="s">
        <v>280</v>
      </c>
      <c r="J107" s="125" t="s">
        <v>26</v>
      </c>
      <c r="K107" s="70">
        <v>188</v>
      </c>
      <c r="L107" s="139">
        <v>151.69999999999999</v>
      </c>
      <c r="M107" s="119"/>
      <c r="N107" s="71">
        <f t="shared" si="2"/>
        <v>0</v>
      </c>
      <c r="O107" s="76"/>
    </row>
    <row r="108" spans="1:15" ht="14.4" x14ac:dyDescent="0.3">
      <c r="A108" s="149">
        <v>650</v>
      </c>
      <c r="B108" s="17" t="s">
        <v>766</v>
      </c>
      <c r="C108" s="15" t="s">
        <v>1371</v>
      </c>
      <c r="D108" s="15" t="s">
        <v>1581</v>
      </c>
      <c r="E108" s="16" t="s">
        <v>1582</v>
      </c>
      <c r="F108" s="16" t="s">
        <v>1583</v>
      </c>
      <c r="G108" s="15" t="s">
        <v>161</v>
      </c>
      <c r="H108" s="16" t="s">
        <v>162</v>
      </c>
      <c r="I108" s="15" t="s">
        <v>280</v>
      </c>
      <c r="J108" s="125" t="s">
        <v>26</v>
      </c>
      <c r="K108" s="70">
        <v>115</v>
      </c>
      <c r="L108" s="139">
        <v>92.8</v>
      </c>
      <c r="M108" s="119"/>
      <c r="N108" s="71">
        <f t="shared" si="2"/>
        <v>0</v>
      </c>
      <c r="O108" s="76"/>
    </row>
    <row r="109" spans="1:15" ht="14.4" x14ac:dyDescent="0.3">
      <c r="A109" s="149">
        <v>651</v>
      </c>
      <c r="B109" s="17" t="s">
        <v>766</v>
      </c>
      <c r="C109" s="15" t="s">
        <v>1371</v>
      </c>
      <c r="D109" s="15" t="s">
        <v>1584</v>
      </c>
      <c r="E109" s="16" t="s">
        <v>1585</v>
      </c>
      <c r="F109" s="16" t="s">
        <v>1586</v>
      </c>
      <c r="G109" s="15" t="s">
        <v>133</v>
      </c>
      <c r="H109" s="16" t="s">
        <v>134</v>
      </c>
      <c r="I109" s="15" t="s">
        <v>280</v>
      </c>
      <c r="J109" s="125" t="s">
        <v>26</v>
      </c>
      <c r="K109" s="70">
        <v>115</v>
      </c>
      <c r="L109" s="139">
        <v>92.8</v>
      </c>
      <c r="M109" s="119"/>
      <c r="N109" s="71">
        <f t="shared" si="2"/>
        <v>0</v>
      </c>
      <c r="O109" s="76"/>
    </row>
    <row r="110" spans="1:15" ht="14.4" x14ac:dyDescent="0.3">
      <c r="A110" s="149">
        <v>652</v>
      </c>
      <c r="B110" s="17" t="s">
        <v>766</v>
      </c>
      <c r="C110" s="15" t="s">
        <v>1371</v>
      </c>
      <c r="D110" s="15" t="s">
        <v>1587</v>
      </c>
      <c r="E110" s="16" t="s">
        <v>1588</v>
      </c>
      <c r="F110" s="16" t="s">
        <v>1589</v>
      </c>
      <c r="G110" s="15" t="s">
        <v>161</v>
      </c>
      <c r="H110" s="16" t="s">
        <v>162</v>
      </c>
      <c r="I110" s="15" t="s">
        <v>280</v>
      </c>
      <c r="J110" s="125" t="s">
        <v>26</v>
      </c>
      <c r="K110" s="70">
        <v>65</v>
      </c>
      <c r="L110" s="139">
        <v>52.5</v>
      </c>
      <c r="M110" s="119"/>
      <c r="N110" s="71">
        <f t="shared" si="2"/>
        <v>0</v>
      </c>
      <c r="O110" s="76"/>
    </row>
    <row r="111" spans="1:15" ht="14.4" x14ac:dyDescent="0.3">
      <c r="A111" s="149">
        <v>653</v>
      </c>
      <c r="B111" s="17" t="s">
        <v>766</v>
      </c>
      <c r="C111" s="15" t="s">
        <v>1371</v>
      </c>
      <c r="D111" s="15" t="s">
        <v>1590</v>
      </c>
      <c r="E111" s="16" t="s">
        <v>1591</v>
      </c>
      <c r="F111" s="16" t="s">
        <v>1592</v>
      </c>
      <c r="G111" s="15" t="s">
        <v>133</v>
      </c>
      <c r="H111" s="16" t="s">
        <v>134</v>
      </c>
      <c r="I111" s="15" t="s">
        <v>280</v>
      </c>
      <c r="J111" s="125" t="s">
        <v>26</v>
      </c>
      <c r="K111" s="70">
        <v>265</v>
      </c>
      <c r="L111" s="139">
        <v>213.79999999999998</v>
      </c>
      <c r="M111" s="119"/>
      <c r="N111" s="71">
        <f t="shared" si="2"/>
        <v>0</v>
      </c>
      <c r="O111" s="76"/>
    </row>
    <row r="112" spans="1:15" ht="14.4" x14ac:dyDescent="0.3">
      <c r="A112" s="149">
        <v>654</v>
      </c>
      <c r="B112" s="17" t="s">
        <v>766</v>
      </c>
      <c r="C112" s="15" t="s">
        <v>1371</v>
      </c>
      <c r="D112" s="15" t="s">
        <v>1593</v>
      </c>
      <c r="E112" s="16" t="s">
        <v>1594</v>
      </c>
      <c r="F112" s="16" t="s">
        <v>1595</v>
      </c>
      <c r="G112" s="15" t="s">
        <v>161</v>
      </c>
      <c r="H112" s="16" t="s">
        <v>162</v>
      </c>
      <c r="I112" s="15" t="s">
        <v>280</v>
      </c>
      <c r="J112" s="125" t="s">
        <v>26</v>
      </c>
      <c r="K112" s="70">
        <v>19</v>
      </c>
      <c r="L112" s="139">
        <v>15.4</v>
      </c>
      <c r="M112" s="119"/>
      <c r="N112" s="71">
        <f t="shared" ref="N112:N143" si="3">L112*M112</f>
        <v>0</v>
      </c>
      <c r="O112" s="76"/>
    </row>
    <row r="113" spans="1:15" ht="14.4" x14ac:dyDescent="0.3">
      <c r="A113" s="149">
        <v>655</v>
      </c>
      <c r="B113" s="17" t="s">
        <v>766</v>
      </c>
      <c r="C113" s="15" t="s">
        <v>1371</v>
      </c>
      <c r="D113" s="15" t="s">
        <v>1596</v>
      </c>
      <c r="E113" s="16" t="s">
        <v>1597</v>
      </c>
      <c r="F113" s="16" t="s">
        <v>1598</v>
      </c>
      <c r="G113" s="15" t="s">
        <v>1599</v>
      </c>
      <c r="H113" s="16" t="s">
        <v>1600</v>
      </c>
      <c r="I113" s="15" t="s">
        <v>280</v>
      </c>
      <c r="J113" s="125" t="s">
        <v>26</v>
      </c>
      <c r="K113" s="70">
        <v>7.5</v>
      </c>
      <c r="L113" s="139">
        <v>4.3</v>
      </c>
      <c r="M113" s="119"/>
      <c r="N113" s="71">
        <f t="shared" si="3"/>
        <v>0</v>
      </c>
      <c r="O113" s="76"/>
    </row>
    <row r="114" spans="1:15" ht="14.4" x14ac:dyDescent="0.3">
      <c r="A114" s="149">
        <v>656</v>
      </c>
      <c r="B114" s="17" t="s">
        <v>766</v>
      </c>
      <c r="C114" s="15" t="s">
        <v>1371</v>
      </c>
      <c r="D114" s="15" t="s">
        <v>1601</v>
      </c>
      <c r="E114" s="16" t="s">
        <v>1602</v>
      </c>
      <c r="F114" s="16" t="s">
        <v>1603</v>
      </c>
      <c r="G114" s="15" t="s">
        <v>133</v>
      </c>
      <c r="H114" s="16" t="s">
        <v>134</v>
      </c>
      <c r="I114" s="15" t="s">
        <v>280</v>
      </c>
      <c r="J114" s="125" t="s">
        <v>26</v>
      </c>
      <c r="K114" s="70">
        <v>70</v>
      </c>
      <c r="L114" s="139">
        <v>39.6</v>
      </c>
      <c r="M114" s="119"/>
      <c r="N114" s="71">
        <f t="shared" si="3"/>
        <v>0</v>
      </c>
      <c r="O114" s="76"/>
    </row>
    <row r="115" spans="1:15" ht="14.4" x14ac:dyDescent="0.3">
      <c r="A115" s="149">
        <v>657</v>
      </c>
      <c r="B115" s="17" t="s">
        <v>766</v>
      </c>
      <c r="C115" s="15" t="s">
        <v>1371</v>
      </c>
      <c r="D115" s="15" t="s">
        <v>1604</v>
      </c>
      <c r="E115" s="16" t="s">
        <v>1605</v>
      </c>
      <c r="F115" s="16" t="s">
        <v>1606</v>
      </c>
      <c r="G115" s="15" t="s">
        <v>133</v>
      </c>
      <c r="H115" s="16" t="s">
        <v>134</v>
      </c>
      <c r="I115" s="15" t="s">
        <v>280</v>
      </c>
      <c r="J115" s="125" t="s">
        <v>26</v>
      </c>
      <c r="K115" s="70">
        <v>19</v>
      </c>
      <c r="L115" s="139">
        <v>10.799999999999999</v>
      </c>
      <c r="M115" s="119"/>
      <c r="N115" s="71">
        <f t="shared" si="3"/>
        <v>0</v>
      </c>
      <c r="O115" s="76"/>
    </row>
    <row r="116" spans="1:15" ht="14.4" x14ac:dyDescent="0.3">
      <c r="A116" s="149">
        <v>658</v>
      </c>
      <c r="B116" s="17" t="s">
        <v>766</v>
      </c>
      <c r="C116" s="15" t="s">
        <v>1371</v>
      </c>
      <c r="D116" s="15" t="s">
        <v>1607</v>
      </c>
      <c r="E116" s="16" t="s">
        <v>1608</v>
      </c>
      <c r="F116" s="16" t="s">
        <v>1609</v>
      </c>
      <c r="G116" s="15" t="s">
        <v>133</v>
      </c>
      <c r="H116" s="16" t="s">
        <v>134</v>
      </c>
      <c r="I116" s="15" t="s">
        <v>280</v>
      </c>
      <c r="J116" s="125" t="s">
        <v>26</v>
      </c>
      <c r="K116" s="70">
        <v>265</v>
      </c>
      <c r="L116" s="139">
        <v>213.79999999999998</v>
      </c>
      <c r="M116" s="119"/>
      <c r="N116" s="71">
        <f t="shared" si="3"/>
        <v>0</v>
      </c>
      <c r="O116" s="76"/>
    </row>
    <row r="117" spans="1:15" ht="14.4" x14ac:dyDescent="0.3">
      <c r="A117" s="149">
        <v>659</v>
      </c>
      <c r="B117" s="17" t="s">
        <v>766</v>
      </c>
      <c r="C117" s="15" t="s">
        <v>1371</v>
      </c>
      <c r="D117" s="15" t="s">
        <v>1610</v>
      </c>
      <c r="E117" s="16" t="s">
        <v>1611</v>
      </c>
      <c r="F117" s="16" t="s">
        <v>1612</v>
      </c>
      <c r="G117" s="15" t="s">
        <v>133</v>
      </c>
      <c r="H117" s="16" t="s">
        <v>134</v>
      </c>
      <c r="I117" s="15" t="s">
        <v>280</v>
      </c>
      <c r="J117" s="125" t="s">
        <v>26</v>
      </c>
      <c r="K117" s="70">
        <v>225</v>
      </c>
      <c r="L117" s="139">
        <v>181.5</v>
      </c>
      <c r="M117" s="119"/>
      <c r="N117" s="71">
        <f t="shared" si="3"/>
        <v>0</v>
      </c>
      <c r="O117" s="76"/>
    </row>
  </sheetData>
  <autoFilter ref="A15:N117" xr:uid="{00000000-0009-0000-0000-000001000000}">
    <sortState xmlns:xlrd2="http://schemas.microsoft.com/office/spreadsheetml/2017/richdata2" ref="A16:N117">
      <sortCondition ref="A15:A117"/>
    </sortState>
  </autoFilter>
  <customSheetViews>
    <customSheetView guid="{E0BAB3EC-1201-4193-B59E-5B286709951D}" scale="90" showGridLines="0" showAutoFilter="1" topLeftCell="A4">
      <selection activeCell="V33" sqref="V33"/>
      <pageMargins left="0" right="0" top="0" bottom="0" header="0" footer="0"/>
      <autoFilter ref="A13:Q190" xr:uid="{1B22BC32-A520-4D6B-92CA-10AF34CD244E}">
        <sortState xmlns:xlrd2="http://schemas.microsoft.com/office/spreadsheetml/2017/richdata2" ref="A14:Q190">
          <sortCondition ref="A13:A187"/>
        </sortState>
      </autoFilter>
    </customSheetView>
  </customSheetView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DADA6-9E61-4312-9FA6-142069C55AE3}">
  <sheetPr>
    <tabColor theme="4" tint="0.59999389629810485"/>
  </sheetPr>
  <dimension ref="A1:V89"/>
  <sheetViews>
    <sheetView showGridLines="0" zoomScale="80" zoomScaleNormal="80" workbookViewId="0">
      <selection activeCell="A12" sqref="A12:Q89"/>
    </sheetView>
  </sheetViews>
  <sheetFormatPr defaultColWidth="9.109375" defaultRowHeight="14.4" x14ac:dyDescent="0.3"/>
  <cols>
    <col min="1" max="2" width="8.6640625" style="1" customWidth="1"/>
    <col min="3" max="3" width="29.6640625" style="2" bestFit="1" customWidth="1"/>
    <col min="4" max="4" width="13.44140625" style="2" bestFit="1" customWidth="1"/>
    <col min="5" max="5" width="45.33203125" style="2" bestFit="1" customWidth="1"/>
    <col min="6" max="6" width="5.109375" style="2" bestFit="1" customWidth="1"/>
    <col min="7" max="7" width="17" style="2" bestFit="1" customWidth="1"/>
    <col min="8" max="8" width="9.109375" style="2" bestFit="1" customWidth="1"/>
    <col min="9" max="11" width="17.109375" style="2" customWidth="1"/>
    <col min="12" max="12" width="18" style="4" bestFit="1" customWidth="1"/>
    <col min="13" max="13" width="14.44140625" style="46" customWidth="1"/>
    <col min="14" max="14" width="23.44140625" style="4" bestFit="1" customWidth="1"/>
    <col min="15" max="15" width="16.6640625" style="4" customWidth="1"/>
    <col min="16" max="16" width="13.6640625" style="52" customWidth="1"/>
    <col min="17" max="17" width="30.44140625" style="4" customWidth="1"/>
    <col min="18" max="18" width="27.33203125" style="2" hidden="1" customWidth="1"/>
    <col min="19" max="19" width="21.33203125" hidden="1" customWidth="1"/>
    <col min="20" max="20" width="20.6640625" style="1" hidden="1" customWidth="1"/>
    <col min="21" max="21" width="9.109375" style="1" customWidth="1"/>
    <col min="22" max="16384" width="9.109375" style="1"/>
  </cols>
  <sheetData>
    <row r="1" spans="1:22" x14ac:dyDescent="0.3">
      <c r="P1" s="4"/>
    </row>
    <row r="2" spans="1:22" ht="15.6" x14ac:dyDescent="0.3">
      <c r="E2" s="3"/>
      <c r="P2" s="4"/>
    </row>
    <row r="3" spans="1:22" x14ac:dyDescent="0.3">
      <c r="P3" s="4"/>
    </row>
    <row r="4" spans="1:22" x14ac:dyDescent="0.3">
      <c r="P4" s="4"/>
    </row>
    <row r="5" spans="1:22" x14ac:dyDescent="0.3">
      <c r="I5" s="5" t="s">
        <v>1613</v>
      </c>
      <c r="J5" s="5"/>
      <c r="K5" s="5"/>
      <c r="O5" s="6" t="s">
        <v>0</v>
      </c>
      <c r="P5" s="7">
        <f>SUM(Q12:Q89)</f>
        <v>0</v>
      </c>
      <c r="T5" s="41"/>
    </row>
    <row r="6" spans="1:22" x14ac:dyDescent="0.3">
      <c r="I6" s="5" t="s">
        <v>1614</v>
      </c>
      <c r="J6" s="5"/>
      <c r="K6" s="5"/>
      <c r="O6" s="6" t="s">
        <v>2</v>
      </c>
      <c r="P6" s="8">
        <f>SUM(P12:P89)</f>
        <v>0</v>
      </c>
    </row>
    <row r="7" spans="1:22" x14ac:dyDescent="0.3">
      <c r="P7" s="4"/>
    </row>
    <row r="8" spans="1:22" x14ac:dyDescent="0.3">
      <c r="P8" s="4"/>
    </row>
    <row r="9" spans="1:22" x14ac:dyDescent="0.3">
      <c r="C9" s="9"/>
      <c r="P9" s="4"/>
    </row>
    <row r="10" spans="1:22" x14ac:dyDescent="0.3">
      <c r="P10" s="4"/>
    </row>
    <row r="11" spans="1:22" s="10" customFormat="1" ht="15" customHeight="1" x14ac:dyDescent="0.3">
      <c r="A11" s="11" t="s">
        <v>5</v>
      </c>
      <c r="B11" s="11"/>
      <c r="C11" s="12" t="s">
        <v>6</v>
      </c>
      <c r="D11" s="13" t="s">
        <v>8</v>
      </c>
      <c r="E11" s="12" t="s">
        <v>10</v>
      </c>
      <c r="F11" s="12" t="s">
        <v>11</v>
      </c>
      <c r="G11" s="12" t="s">
        <v>12</v>
      </c>
      <c r="H11" s="12" t="s">
        <v>13</v>
      </c>
      <c r="I11" s="12" t="s">
        <v>9</v>
      </c>
      <c r="J11" s="12"/>
      <c r="K11" s="12"/>
      <c r="L11" s="42" t="s">
        <v>1615</v>
      </c>
      <c r="M11" s="42" t="s">
        <v>1616</v>
      </c>
      <c r="N11" s="14" t="s">
        <v>15</v>
      </c>
      <c r="O11" s="14" t="s">
        <v>16</v>
      </c>
      <c r="P11" s="14" t="s">
        <v>17</v>
      </c>
      <c r="Q11" s="14" t="s">
        <v>18</v>
      </c>
      <c r="R11" s="12" t="s">
        <v>1617</v>
      </c>
      <c r="S11" s="12" t="s">
        <v>1618</v>
      </c>
      <c r="T11" s="12" t="s">
        <v>1619</v>
      </c>
    </row>
    <row r="12" spans="1:22" ht="15" customHeight="1" x14ac:dyDescent="0.3">
      <c r="A12" s="17">
        <v>500</v>
      </c>
      <c r="B12" s="17"/>
      <c r="C12" s="15" t="s">
        <v>492</v>
      </c>
      <c r="D12" s="16" t="s">
        <v>1620</v>
      </c>
      <c r="E12" s="15" t="s">
        <v>1621</v>
      </c>
      <c r="F12" s="16" t="s">
        <v>161</v>
      </c>
      <c r="G12" s="15" t="s">
        <v>162</v>
      </c>
      <c r="H12" s="16" t="s">
        <v>1622</v>
      </c>
      <c r="I12" s="16" t="s">
        <v>1623</v>
      </c>
      <c r="J12" s="16"/>
      <c r="K12" s="16"/>
      <c r="L12" s="43" t="s">
        <v>1615</v>
      </c>
      <c r="M12" s="47"/>
      <c r="N12" s="48">
        <v>72.5</v>
      </c>
      <c r="O12" s="50">
        <v>48.4</v>
      </c>
      <c r="P12" s="51"/>
      <c r="Q12" s="48">
        <f t="shared" ref="Q12:Q42" si="0">O12*P12</f>
        <v>0</v>
      </c>
      <c r="R12" s="16" t="s">
        <v>1624</v>
      </c>
      <c r="S12" s="45" t="s">
        <v>1624</v>
      </c>
      <c r="T12" s="44" t="s">
        <v>1625</v>
      </c>
      <c r="U12" s="40"/>
      <c r="V12"/>
    </row>
    <row r="13" spans="1:22" ht="15" customHeight="1" x14ac:dyDescent="0.3">
      <c r="A13" s="17">
        <v>501</v>
      </c>
      <c r="B13" s="17"/>
      <c r="C13" s="15" t="s">
        <v>492</v>
      </c>
      <c r="D13" s="16" t="s">
        <v>1620</v>
      </c>
      <c r="E13" s="15" t="s">
        <v>1621</v>
      </c>
      <c r="F13" s="16" t="s">
        <v>161</v>
      </c>
      <c r="G13" s="15" t="s">
        <v>162</v>
      </c>
      <c r="H13" s="16" t="s">
        <v>1626</v>
      </c>
      <c r="I13" s="16" t="s">
        <v>1627</v>
      </c>
      <c r="J13" s="16"/>
      <c r="K13" s="16"/>
      <c r="L13" s="43" t="s">
        <v>1615</v>
      </c>
      <c r="M13" s="47"/>
      <c r="N13" s="48">
        <v>75</v>
      </c>
      <c r="O13" s="50">
        <v>50</v>
      </c>
      <c r="P13" s="51"/>
      <c r="Q13" s="48">
        <f t="shared" si="0"/>
        <v>0</v>
      </c>
      <c r="R13" s="16" t="s">
        <v>1624</v>
      </c>
      <c r="S13" s="45" t="s">
        <v>1624</v>
      </c>
      <c r="T13" s="44" t="s">
        <v>1625</v>
      </c>
      <c r="U13" s="40"/>
      <c r="V13"/>
    </row>
    <row r="14" spans="1:22" ht="15" customHeight="1" x14ac:dyDescent="0.3">
      <c r="A14" s="17">
        <v>502</v>
      </c>
      <c r="B14" s="17"/>
      <c r="C14" s="15" t="s">
        <v>492</v>
      </c>
      <c r="D14" s="16" t="s">
        <v>1620</v>
      </c>
      <c r="E14" s="15" t="s">
        <v>1621</v>
      </c>
      <c r="F14" s="16" t="s">
        <v>161</v>
      </c>
      <c r="G14" s="15" t="s">
        <v>162</v>
      </c>
      <c r="H14" s="16" t="s">
        <v>1628</v>
      </c>
      <c r="I14" s="16" t="s">
        <v>1629</v>
      </c>
      <c r="J14" s="16"/>
      <c r="K14" s="16"/>
      <c r="L14" s="43" t="s">
        <v>1615</v>
      </c>
      <c r="M14" s="47"/>
      <c r="N14" s="48">
        <v>77.5</v>
      </c>
      <c r="O14" s="50">
        <v>51.7</v>
      </c>
      <c r="P14" s="51"/>
      <c r="Q14" s="48">
        <f t="shared" si="0"/>
        <v>0</v>
      </c>
      <c r="R14" s="16" t="s">
        <v>1624</v>
      </c>
      <c r="S14" s="45" t="s">
        <v>1624</v>
      </c>
      <c r="T14" s="44" t="s">
        <v>1625</v>
      </c>
      <c r="U14" s="40"/>
      <c r="V14"/>
    </row>
    <row r="15" spans="1:22" ht="15" customHeight="1" x14ac:dyDescent="0.3">
      <c r="A15" s="17">
        <v>503</v>
      </c>
      <c r="B15" s="17"/>
      <c r="C15" s="15" t="s">
        <v>492</v>
      </c>
      <c r="D15" s="16" t="s">
        <v>1620</v>
      </c>
      <c r="E15" s="15" t="s">
        <v>1621</v>
      </c>
      <c r="F15" s="16" t="s">
        <v>161</v>
      </c>
      <c r="G15" s="15" t="s">
        <v>162</v>
      </c>
      <c r="H15" s="16" t="s">
        <v>1630</v>
      </c>
      <c r="I15" s="16" t="s">
        <v>1631</v>
      </c>
      <c r="J15" s="16"/>
      <c r="K15" s="16"/>
      <c r="L15" s="43" t="s">
        <v>1615</v>
      </c>
      <c r="M15" s="47"/>
      <c r="N15" s="48">
        <v>80</v>
      </c>
      <c r="O15" s="50">
        <v>53.4</v>
      </c>
      <c r="P15" s="51"/>
      <c r="Q15" s="48">
        <f t="shared" si="0"/>
        <v>0</v>
      </c>
      <c r="R15" s="16" t="s">
        <v>1624</v>
      </c>
      <c r="S15" s="45" t="s">
        <v>1624</v>
      </c>
      <c r="T15" s="44" t="s">
        <v>1625</v>
      </c>
      <c r="U15" s="40"/>
      <c r="V15"/>
    </row>
    <row r="16" spans="1:22" ht="15" customHeight="1" x14ac:dyDescent="0.3">
      <c r="A16" s="17">
        <v>504</v>
      </c>
      <c r="B16" s="17"/>
      <c r="C16" s="15" t="s">
        <v>492</v>
      </c>
      <c r="D16" s="16" t="s">
        <v>1620</v>
      </c>
      <c r="E16" s="15" t="s">
        <v>1621</v>
      </c>
      <c r="F16" s="16" t="s">
        <v>161</v>
      </c>
      <c r="G16" s="15" t="s">
        <v>162</v>
      </c>
      <c r="H16" s="16" t="s">
        <v>1632</v>
      </c>
      <c r="I16" s="16" t="s">
        <v>1633</v>
      </c>
      <c r="J16" s="16"/>
      <c r="K16" s="16"/>
      <c r="L16" s="43" t="s">
        <v>1615</v>
      </c>
      <c r="M16" s="47"/>
      <c r="N16" s="48">
        <v>82.5</v>
      </c>
      <c r="O16" s="50">
        <v>55</v>
      </c>
      <c r="P16" s="51"/>
      <c r="Q16" s="48">
        <f t="shared" si="0"/>
        <v>0</v>
      </c>
      <c r="R16" s="16" t="s">
        <v>1624</v>
      </c>
      <c r="S16" s="45" t="s">
        <v>1624</v>
      </c>
      <c r="T16" s="44" t="s">
        <v>1625</v>
      </c>
      <c r="U16" s="40"/>
      <c r="V16"/>
    </row>
    <row r="17" spans="1:22" ht="15" customHeight="1" x14ac:dyDescent="0.3">
      <c r="A17" s="17">
        <v>505</v>
      </c>
      <c r="B17" s="17"/>
      <c r="C17" s="15" t="s">
        <v>492</v>
      </c>
      <c r="D17" s="16" t="s">
        <v>1620</v>
      </c>
      <c r="E17" s="15" t="s">
        <v>1621</v>
      </c>
      <c r="F17" s="16" t="s">
        <v>161</v>
      </c>
      <c r="G17" s="15" t="s">
        <v>162</v>
      </c>
      <c r="H17" s="16" t="s">
        <v>1634</v>
      </c>
      <c r="I17" s="16" t="s">
        <v>1635</v>
      </c>
      <c r="J17" s="16"/>
      <c r="K17" s="16"/>
      <c r="L17" s="43" t="s">
        <v>1615</v>
      </c>
      <c r="M17" s="47"/>
      <c r="N17" s="49">
        <v>85</v>
      </c>
      <c r="O17" s="50">
        <v>56.7</v>
      </c>
      <c r="P17" s="51"/>
      <c r="Q17" s="48">
        <f t="shared" si="0"/>
        <v>0</v>
      </c>
      <c r="R17" s="16" t="s">
        <v>1624</v>
      </c>
      <c r="S17" s="45" t="s">
        <v>1624</v>
      </c>
      <c r="T17" s="44" t="s">
        <v>1625</v>
      </c>
      <c r="U17" s="40"/>
      <c r="V17"/>
    </row>
    <row r="18" spans="1:22" ht="15" customHeight="1" x14ac:dyDescent="0.3">
      <c r="A18" s="17">
        <v>506</v>
      </c>
      <c r="B18" s="17"/>
      <c r="C18" s="15" t="s">
        <v>492</v>
      </c>
      <c r="D18" s="16" t="s">
        <v>1620</v>
      </c>
      <c r="E18" s="15" t="s">
        <v>1621</v>
      </c>
      <c r="F18" s="16" t="s">
        <v>161</v>
      </c>
      <c r="G18" s="15" t="s">
        <v>162</v>
      </c>
      <c r="H18" s="16" t="s">
        <v>1636</v>
      </c>
      <c r="I18" s="16" t="s">
        <v>1637</v>
      </c>
      <c r="J18" s="16"/>
      <c r="K18" s="16"/>
      <c r="L18" s="43" t="s">
        <v>1615</v>
      </c>
      <c r="M18" s="47"/>
      <c r="N18" s="49">
        <v>87</v>
      </c>
      <c r="O18" s="50">
        <v>58</v>
      </c>
      <c r="P18" s="51"/>
      <c r="Q18" s="48">
        <f t="shared" si="0"/>
        <v>0</v>
      </c>
      <c r="R18" s="16" t="s">
        <v>1624</v>
      </c>
      <c r="S18" s="45" t="s">
        <v>1624</v>
      </c>
      <c r="T18" s="44" t="s">
        <v>1625</v>
      </c>
      <c r="U18" s="40"/>
      <c r="V18"/>
    </row>
    <row r="19" spans="1:22" s="39" customFormat="1" ht="15" customHeight="1" x14ac:dyDescent="0.3">
      <c r="A19" s="17">
        <v>507</v>
      </c>
      <c r="B19" s="17"/>
      <c r="C19" s="15" t="s">
        <v>492</v>
      </c>
      <c r="D19" s="16" t="s">
        <v>1638</v>
      </c>
      <c r="E19" s="15" t="s">
        <v>1639</v>
      </c>
      <c r="F19" s="16" t="s">
        <v>161</v>
      </c>
      <c r="G19" s="15" t="s">
        <v>162</v>
      </c>
      <c r="H19" s="16" t="s">
        <v>1622</v>
      </c>
      <c r="I19" s="16" t="s">
        <v>1640</v>
      </c>
      <c r="J19" s="16"/>
      <c r="K19" s="16"/>
      <c r="L19" s="17"/>
      <c r="M19" s="47"/>
      <c r="N19" s="48">
        <v>70</v>
      </c>
      <c r="O19" s="48">
        <v>46.7</v>
      </c>
      <c r="P19" s="51"/>
      <c r="Q19" s="48">
        <f t="shared" si="0"/>
        <v>0</v>
      </c>
      <c r="R19" s="16" t="s">
        <v>1624</v>
      </c>
      <c r="S19" s="16" t="s">
        <v>1624</v>
      </c>
      <c r="T19" s="15" t="s">
        <v>1625</v>
      </c>
      <c r="U19" s="40"/>
      <c r="V19"/>
    </row>
    <row r="20" spans="1:22" ht="15" customHeight="1" x14ac:dyDescent="0.3">
      <c r="A20" s="17">
        <v>508</v>
      </c>
      <c r="B20" s="17"/>
      <c r="C20" s="15" t="s">
        <v>492</v>
      </c>
      <c r="D20" s="16" t="s">
        <v>1638</v>
      </c>
      <c r="E20" s="15" t="s">
        <v>1639</v>
      </c>
      <c r="F20" s="16" t="s">
        <v>161</v>
      </c>
      <c r="G20" s="15" t="s">
        <v>162</v>
      </c>
      <c r="H20" s="16" t="s">
        <v>1626</v>
      </c>
      <c r="I20" s="16" t="s">
        <v>1641</v>
      </c>
      <c r="J20" s="16"/>
      <c r="K20" s="16"/>
      <c r="L20" s="17"/>
      <c r="M20" s="47"/>
      <c r="N20" s="48">
        <v>73</v>
      </c>
      <c r="O20" s="48">
        <v>48.7</v>
      </c>
      <c r="P20" s="51"/>
      <c r="Q20" s="48">
        <f t="shared" si="0"/>
        <v>0</v>
      </c>
      <c r="R20" s="16" t="s">
        <v>1624</v>
      </c>
      <c r="S20" s="16" t="s">
        <v>1624</v>
      </c>
      <c r="T20" s="15" t="s">
        <v>1625</v>
      </c>
      <c r="U20" s="40"/>
      <c r="V20"/>
    </row>
    <row r="21" spans="1:22" ht="15" customHeight="1" x14ac:dyDescent="0.3">
      <c r="A21" s="17">
        <v>509</v>
      </c>
      <c r="B21" s="17"/>
      <c r="C21" s="15" t="s">
        <v>492</v>
      </c>
      <c r="D21" s="16" t="s">
        <v>1638</v>
      </c>
      <c r="E21" s="15" t="s">
        <v>1639</v>
      </c>
      <c r="F21" s="16" t="s">
        <v>161</v>
      </c>
      <c r="G21" s="15" t="s">
        <v>162</v>
      </c>
      <c r="H21" s="16" t="s">
        <v>1628</v>
      </c>
      <c r="I21" s="16" t="s">
        <v>1642</v>
      </c>
      <c r="J21" s="16"/>
      <c r="K21" s="16"/>
      <c r="L21" s="17"/>
      <c r="M21" s="47"/>
      <c r="N21" s="48">
        <v>75</v>
      </c>
      <c r="O21" s="48">
        <v>50</v>
      </c>
      <c r="P21" s="51"/>
      <c r="Q21" s="48">
        <f t="shared" si="0"/>
        <v>0</v>
      </c>
      <c r="R21" s="16" t="s">
        <v>1624</v>
      </c>
      <c r="S21" s="16" t="s">
        <v>1624</v>
      </c>
      <c r="T21" s="15" t="s">
        <v>1625</v>
      </c>
      <c r="U21" s="40"/>
      <c r="V21"/>
    </row>
    <row r="22" spans="1:22" ht="15" customHeight="1" x14ac:dyDescent="0.3">
      <c r="A22" s="17">
        <v>510</v>
      </c>
      <c r="B22" s="17"/>
      <c r="C22" s="15" t="s">
        <v>492</v>
      </c>
      <c r="D22" s="16" t="s">
        <v>1638</v>
      </c>
      <c r="E22" s="15" t="s">
        <v>1639</v>
      </c>
      <c r="F22" s="16" t="s">
        <v>161</v>
      </c>
      <c r="G22" s="15" t="s">
        <v>162</v>
      </c>
      <c r="H22" s="16" t="s">
        <v>1630</v>
      </c>
      <c r="I22" s="16" t="s">
        <v>1643</v>
      </c>
      <c r="J22" s="16"/>
      <c r="K22" s="16"/>
      <c r="L22" s="17"/>
      <c r="M22" s="47"/>
      <c r="N22" s="48">
        <v>78</v>
      </c>
      <c r="O22" s="48">
        <v>52</v>
      </c>
      <c r="P22" s="51"/>
      <c r="Q22" s="48">
        <f t="shared" si="0"/>
        <v>0</v>
      </c>
      <c r="R22" s="16" t="s">
        <v>1624</v>
      </c>
      <c r="S22" s="16" t="s">
        <v>1624</v>
      </c>
      <c r="T22" s="15" t="s">
        <v>1625</v>
      </c>
      <c r="U22" s="40"/>
      <c r="V22"/>
    </row>
    <row r="23" spans="1:22" ht="15" customHeight="1" x14ac:dyDescent="0.3">
      <c r="A23" s="17">
        <v>511</v>
      </c>
      <c r="B23" s="17"/>
      <c r="C23" s="15" t="s">
        <v>492</v>
      </c>
      <c r="D23" s="16" t="s">
        <v>1638</v>
      </c>
      <c r="E23" s="15" t="s">
        <v>1639</v>
      </c>
      <c r="F23" s="16" t="s">
        <v>161</v>
      </c>
      <c r="G23" s="15" t="s">
        <v>162</v>
      </c>
      <c r="H23" s="16" t="s">
        <v>1632</v>
      </c>
      <c r="I23" s="16" t="s">
        <v>1644</v>
      </c>
      <c r="J23" s="16"/>
      <c r="K23" s="16"/>
      <c r="L23" s="17"/>
      <c r="M23" s="47"/>
      <c r="N23" s="48">
        <v>81</v>
      </c>
      <c r="O23" s="48">
        <v>54</v>
      </c>
      <c r="P23" s="51"/>
      <c r="Q23" s="48">
        <f t="shared" si="0"/>
        <v>0</v>
      </c>
      <c r="R23" s="16" t="s">
        <v>1624</v>
      </c>
      <c r="S23" s="16" t="s">
        <v>1624</v>
      </c>
      <c r="T23" s="15" t="s">
        <v>1625</v>
      </c>
      <c r="U23" s="40"/>
      <c r="V23"/>
    </row>
    <row r="24" spans="1:22" ht="15" customHeight="1" x14ac:dyDescent="0.3">
      <c r="A24" s="17">
        <v>512</v>
      </c>
      <c r="B24" s="17"/>
      <c r="C24" s="15" t="s">
        <v>492</v>
      </c>
      <c r="D24" s="16" t="s">
        <v>1638</v>
      </c>
      <c r="E24" s="15" t="s">
        <v>1639</v>
      </c>
      <c r="F24" s="16" t="s">
        <v>161</v>
      </c>
      <c r="G24" s="15" t="s">
        <v>162</v>
      </c>
      <c r="H24" s="16" t="s">
        <v>1634</v>
      </c>
      <c r="I24" s="16" t="s">
        <v>1645</v>
      </c>
      <c r="J24" s="16"/>
      <c r="K24" s="16"/>
      <c r="L24" s="17"/>
      <c r="M24" s="47"/>
      <c r="N24" s="48">
        <v>84</v>
      </c>
      <c r="O24" s="48">
        <v>56</v>
      </c>
      <c r="P24" s="51"/>
      <c r="Q24" s="48">
        <f t="shared" si="0"/>
        <v>0</v>
      </c>
      <c r="R24" s="16" t="s">
        <v>1624</v>
      </c>
      <c r="S24" s="16" t="s">
        <v>1624</v>
      </c>
      <c r="T24" s="15" t="s">
        <v>1625</v>
      </c>
      <c r="U24" s="40"/>
      <c r="V24"/>
    </row>
    <row r="25" spans="1:22" ht="15" customHeight="1" x14ac:dyDescent="0.3">
      <c r="A25" s="17">
        <v>513</v>
      </c>
      <c r="B25" s="17"/>
      <c r="C25" s="15" t="s">
        <v>492</v>
      </c>
      <c r="D25" s="16" t="s">
        <v>1638</v>
      </c>
      <c r="E25" s="15" t="s">
        <v>1639</v>
      </c>
      <c r="F25" s="16" t="s">
        <v>161</v>
      </c>
      <c r="G25" s="15" t="s">
        <v>162</v>
      </c>
      <c r="H25" s="16" t="s">
        <v>1636</v>
      </c>
      <c r="I25" s="16" t="s">
        <v>1646</v>
      </c>
      <c r="J25" s="16"/>
      <c r="K25" s="16"/>
      <c r="L25" s="17"/>
      <c r="M25" s="47"/>
      <c r="N25" s="48">
        <v>87</v>
      </c>
      <c r="O25" s="48">
        <v>58</v>
      </c>
      <c r="P25" s="51"/>
      <c r="Q25" s="48">
        <f t="shared" si="0"/>
        <v>0</v>
      </c>
      <c r="R25" s="16" t="s">
        <v>1624</v>
      </c>
      <c r="S25" s="16" t="s">
        <v>1624</v>
      </c>
      <c r="T25" s="15" t="s">
        <v>1625</v>
      </c>
      <c r="U25" s="40"/>
      <c r="V25"/>
    </row>
    <row r="26" spans="1:22" ht="15" customHeight="1" x14ac:dyDescent="0.3">
      <c r="A26" s="17">
        <v>514</v>
      </c>
      <c r="B26" s="17"/>
      <c r="C26" s="15" t="s">
        <v>492</v>
      </c>
      <c r="D26" s="16" t="s">
        <v>1638</v>
      </c>
      <c r="E26" s="15" t="s">
        <v>1639</v>
      </c>
      <c r="F26" s="16" t="s">
        <v>161</v>
      </c>
      <c r="G26" s="15" t="s">
        <v>162</v>
      </c>
      <c r="H26" s="16" t="s">
        <v>1647</v>
      </c>
      <c r="I26" s="16" t="s">
        <v>1648</v>
      </c>
      <c r="J26" s="16"/>
      <c r="K26" s="16"/>
      <c r="L26" s="17"/>
      <c r="M26" s="47"/>
      <c r="N26" s="48">
        <v>90</v>
      </c>
      <c r="O26" s="48">
        <v>60</v>
      </c>
      <c r="P26" s="51"/>
      <c r="Q26" s="48">
        <f t="shared" si="0"/>
        <v>0</v>
      </c>
      <c r="R26" s="16" t="s">
        <v>1624</v>
      </c>
      <c r="S26" s="16" t="s">
        <v>1624</v>
      </c>
      <c r="T26" s="15" t="s">
        <v>1625</v>
      </c>
      <c r="U26" s="40"/>
      <c r="V26"/>
    </row>
    <row r="27" spans="1:22" ht="15" customHeight="1" x14ac:dyDescent="0.3">
      <c r="A27" s="17">
        <v>515</v>
      </c>
      <c r="B27" s="17"/>
      <c r="C27" s="15" t="s">
        <v>492</v>
      </c>
      <c r="D27" s="16" t="s">
        <v>1638</v>
      </c>
      <c r="E27" s="15" t="s">
        <v>1639</v>
      </c>
      <c r="F27" s="16" t="s">
        <v>161</v>
      </c>
      <c r="G27" s="15" t="s">
        <v>162</v>
      </c>
      <c r="H27" s="16" t="s">
        <v>1649</v>
      </c>
      <c r="I27" s="16" t="s">
        <v>1650</v>
      </c>
      <c r="J27" s="16"/>
      <c r="K27" s="16"/>
      <c r="L27" s="17"/>
      <c r="M27" s="47"/>
      <c r="N27" s="48">
        <v>93</v>
      </c>
      <c r="O27" s="48">
        <v>62</v>
      </c>
      <c r="P27" s="51"/>
      <c r="Q27" s="48">
        <f t="shared" si="0"/>
        <v>0</v>
      </c>
      <c r="R27" s="16" t="s">
        <v>1624</v>
      </c>
      <c r="S27" s="16" t="s">
        <v>1624</v>
      </c>
      <c r="T27" s="15" t="s">
        <v>1625</v>
      </c>
      <c r="U27" s="40"/>
      <c r="V27"/>
    </row>
    <row r="28" spans="1:22" ht="15" customHeight="1" x14ac:dyDescent="0.3">
      <c r="A28" s="17">
        <v>516</v>
      </c>
      <c r="B28" s="17"/>
      <c r="C28" s="15" t="s">
        <v>492</v>
      </c>
      <c r="D28" s="16" t="s">
        <v>1651</v>
      </c>
      <c r="E28" s="15" t="s">
        <v>1652</v>
      </c>
      <c r="F28" s="16" t="s">
        <v>161</v>
      </c>
      <c r="G28" s="15" t="s">
        <v>162</v>
      </c>
      <c r="H28" s="16" t="s">
        <v>1653</v>
      </c>
      <c r="I28" s="16" t="s">
        <v>1654</v>
      </c>
      <c r="J28" s="16"/>
      <c r="K28" s="16"/>
      <c r="L28" s="17"/>
      <c r="M28" s="47"/>
      <c r="N28" s="48">
        <v>64</v>
      </c>
      <c r="O28" s="48">
        <v>42.7</v>
      </c>
      <c r="P28" s="51"/>
      <c r="Q28" s="48">
        <f t="shared" si="0"/>
        <v>0</v>
      </c>
      <c r="R28" s="16" t="s">
        <v>1624</v>
      </c>
      <c r="S28" s="16" t="s">
        <v>1624</v>
      </c>
      <c r="T28" s="15" t="s">
        <v>1625</v>
      </c>
      <c r="U28" s="40"/>
      <c r="V28"/>
    </row>
    <row r="29" spans="1:22" ht="15" customHeight="1" x14ac:dyDescent="0.3">
      <c r="A29" s="17">
        <v>517</v>
      </c>
      <c r="B29" s="17"/>
      <c r="C29" s="15" t="s">
        <v>492</v>
      </c>
      <c r="D29" s="16" t="s">
        <v>1651</v>
      </c>
      <c r="E29" s="15" t="s">
        <v>1652</v>
      </c>
      <c r="F29" s="16" t="s">
        <v>161</v>
      </c>
      <c r="G29" s="15" t="s">
        <v>162</v>
      </c>
      <c r="H29" s="16" t="s">
        <v>1622</v>
      </c>
      <c r="I29" s="16" t="s">
        <v>1655</v>
      </c>
      <c r="J29" s="16"/>
      <c r="K29" s="16"/>
      <c r="L29" s="17"/>
      <c r="M29" s="47"/>
      <c r="N29" s="48">
        <v>67</v>
      </c>
      <c r="O29" s="48">
        <v>44.7</v>
      </c>
      <c r="P29" s="51"/>
      <c r="Q29" s="48">
        <f t="shared" si="0"/>
        <v>0</v>
      </c>
      <c r="R29" s="16" t="s">
        <v>1624</v>
      </c>
      <c r="S29" s="16" t="s">
        <v>1624</v>
      </c>
      <c r="T29" s="15" t="s">
        <v>1625</v>
      </c>
      <c r="U29" s="40"/>
      <c r="V29"/>
    </row>
    <row r="30" spans="1:22" ht="15" customHeight="1" x14ac:dyDescent="0.3">
      <c r="A30" s="17">
        <v>518</v>
      </c>
      <c r="B30" s="17"/>
      <c r="C30" s="15" t="s">
        <v>492</v>
      </c>
      <c r="D30" s="16" t="s">
        <v>1651</v>
      </c>
      <c r="E30" s="15" t="s">
        <v>1652</v>
      </c>
      <c r="F30" s="16" t="s">
        <v>161</v>
      </c>
      <c r="G30" s="15" t="s">
        <v>162</v>
      </c>
      <c r="H30" s="16" t="s">
        <v>1626</v>
      </c>
      <c r="I30" s="16" t="s">
        <v>1656</v>
      </c>
      <c r="J30" s="16"/>
      <c r="K30" s="16"/>
      <c r="L30" s="17"/>
      <c r="M30" s="47"/>
      <c r="N30" s="48">
        <v>70</v>
      </c>
      <c r="O30" s="48">
        <v>46.7</v>
      </c>
      <c r="P30" s="51"/>
      <c r="Q30" s="48">
        <f t="shared" si="0"/>
        <v>0</v>
      </c>
      <c r="R30" s="16" t="s">
        <v>1624</v>
      </c>
      <c r="S30" s="16" t="s">
        <v>1624</v>
      </c>
      <c r="T30" s="15" t="s">
        <v>1625</v>
      </c>
      <c r="U30" s="40"/>
      <c r="V30"/>
    </row>
    <row r="31" spans="1:22" ht="15" customHeight="1" x14ac:dyDescent="0.3">
      <c r="A31" s="17">
        <v>519</v>
      </c>
      <c r="B31" s="17"/>
      <c r="C31" s="15" t="s">
        <v>492</v>
      </c>
      <c r="D31" s="16" t="s">
        <v>1651</v>
      </c>
      <c r="E31" s="15" t="s">
        <v>1652</v>
      </c>
      <c r="F31" s="16" t="s">
        <v>161</v>
      </c>
      <c r="G31" s="15" t="s">
        <v>162</v>
      </c>
      <c r="H31" s="16" t="s">
        <v>1628</v>
      </c>
      <c r="I31" s="16" t="s">
        <v>1657</v>
      </c>
      <c r="J31" s="16"/>
      <c r="K31" s="16"/>
      <c r="L31" s="17"/>
      <c r="M31" s="47"/>
      <c r="N31" s="48">
        <v>73</v>
      </c>
      <c r="O31" s="48">
        <v>48.7</v>
      </c>
      <c r="P31" s="51"/>
      <c r="Q31" s="48">
        <f t="shared" si="0"/>
        <v>0</v>
      </c>
      <c r="R31" s="16" t="s">
        <v>1624</v>
      </c>
      <c r="S31" s="16" t="s">
        <v>1624</v>
      </c>
      <c r="T31" s="15" t="s">
        <v>1625</v>
      </c>
      <c r="U31" s="40"/>
      <c r="V31"/>
    </row>
    <row r="32" spans="1:22" ht="15" customHeight="1" x14ac:dyDescent="0.3">
      <c r="A32" s="17">
        <v>520</v>
      </c>
      <c r="B32" s="17"/>
      <c r="C32" s="15" t="s">
        <v>492</v>
      </c>
      <c r="D32" s="16" t="s">
        <v>1651</v>
      </c>
      <c r="E32" s="15" t="s">
        <v>1652</v>
      </c>
      <c r="F32" s="16" t="s">
        <v>161</v>
      </c>
      <c r="G32" s="15" t="s">
        <v>162</v>
      </c>
      <c r="H32" s="16" t="s">
        <v>1630</v>
      </c>
      <c r="I32" s="16" t="s">
        <v>1658</v>
      </c>
      <c r="J32" s="16"/>
      <c r="K32" s="16"/>
      <c r="L32" s="17"/>
      <c r="M32" s="47"/>
      <c r="N32" s="48">
        <v>75</v>
      </c>
      <c r="O32" s="48">
        <v>50</v>
      </c>
      <c r="P32" s="51"/>
      <c r="Q32" s="48">
        <f t="shared" si="0"/>
        <v>0</v>
      </c>
      <c r="R32" s="16" t="s">
        <v>1624</v>
      </c>
      <c r="S32" s="16" t="s">
        <v>1624</v>
      </c>
      <c r="T32" s="15" t="s">
        <v>1625</v>
      </c>
      <c r="U32" s="40"/>
      <c r="V32"/>
    </row>
    <row r="33" spans="1:22" ht="15" customHeight="1" x14ac:dyDescent="0.3">
      <c r="A33" s="17">
        <v>521</v>
      </c>
      <c r="B33" s="17"/>
      <c r="C33" s="15" t="s">
        <v>492</v>
      </c>
      <c r="D33" s="16" t="s">
        <v>1651</v>
      </c>
      <c r="E33" s="15" t="s">
        <v>1652</v>
      </c>
      <c r="F33" s="16" t="s">
        <v>161</v>
      </c>
      <c r="G33" s="15" t="s">
        <v>162</v>
      </c>
      <c r="H33" s="16" t="s">
        <v>1632</v>
      </c>
      <c r="I33" s="16" t="s">
        <v>1659</v>
      </c>
      <c r="J33" s="16"/>
      <c r="K33" s="16"/>
      <c r="L33" s="17"/>
      <c r="M33" s="47"/>
      <c r="N33" s="48">
        <v>78</v>
      </c>
      <c r="O33" s="48">
        <v>52</v>
      </c>
      <c r="P33" s="51"/>
      <c r="Q33" s="48">
        <f t="shared" si="0"/>
        <v>0</v>
      </c>
      <c r="R33" s="16" t="s">
        <v>1624</v>
      </c>
      <c r="S33" s="16" t="s">
        <v>1624</v>
      </c>
      <c r="T33" s="15" t="s">
        <v>1625</v>
      </c>
      <c r="U33" s="40"/>
      <c r="V33"/>
    </row>
    <row r="34" spans="1:22" ht="15" customHeight="1" x14ac:dyDescent="0.3">
      <c r="A34" s="17">
        <v>522</v>
      </c>
      <c r="B34" s="17"/>
      <c r="C34" s="15" t="s">
        <v>492</v>
      </c>
      <c r="D34" s="16" t="s">
        <v>1651</v>
      </c>
      <c r="E34" s="15" t="s">
        <v>1652</v>
      </c>
      <c r="F34" s="16" t="s">
        <v>161</v>
      </c>
      <c r="G34" s="15" t="s">
        <v>162</v>
      </c>
      <c r="H34" s="16" t="s">
        <v>1634</v>
      </c>
      <c r="I34" s="16" t="s">
        <v>1660</v>
      </c>
      <c r="J34" s="16"/>
      <c r="K34" s="16"/>
      <c r="L34" s="17"/>
      <c r="M34" s="47"/>
      <c r="N34" s="48">
        <v>81</v>
      </c>
      <c r="O34" s="48">
        <v>54</v>
      </c>
      <c r="P34" s="51"/>
      <c r="Q34" s="48">
        <f t="shared" si="0"/>
        <v>0</v>
      </c>
      <c r="R34" s="16" t="s">
        <v>1624</v>
      </c>
      <c r="S34" s="16" t="s">
        <v>1624</v>
      </c>
      <c r="T34" s="15" t="s">
        <v>1625</v>
      </c>
      <c r="U34" s="40"/>
      <c r="V34"/>
    </row>
    <row r="35" spans="1:22" ht="15" customHeight="1" x14ac:dyDescent="0.3">
      <c r="A35" s="17">
        <v>523</v>
      </c>
      <c r="B35" s="17"/>
      <c r="C35" s="15" t="s">
        <v>492</v>
      </c>
      <c r="D35" s="16" t="s">
        <v>1651</v>
      </c>
      <c r="E35" s="15" t="s">
        <v>1652</v>
      </c>
      <c r="F35" s="16" t="s">
        <v>161</v>
      </c>
      <c r="G35" s="15" t="s">
        <v>162</v>
      </c>
      <c r="H35" s="16" t="s">
        <v>1636</v>
      </c>
      <c r="I35" s="16" t="s">
        <v>1661</v>
      </c>
      <c r="J35" s="16"/>
      <c r="K35" s="16"/>
      <c r="L35" s="17"/>
      <c r="M35" s="47"/>
      <c r="N35" s="48">
        <v>84</v>
      </c>
      <c r="O35" s="48">
        <v>56</v>
      </c>
      <c r="P35" s="51"/>
      <c r="Q35" s="48">
        <f t="shared" si="0"/>
        <v>0</v>
      </c>
      <c r="R35" s="16" t="s">
        <v>1624</v>
      </c>
      <c r="S35" s="16" t="s">
        <v>1624</v>
      </c>
      <c r="T35" s="15" t="s">
        <v>1625</v>
      </c>
      <c r="U35" s="40"/>
      <c r="V35"/>
    </row>
    <row r="36" spans="1:22" ht="15" customHeight="1" x14ac:dyDescent="0.3">
      <c r="A36" s="17">
        <v>524</v>
      </c>
      <c r="B36" s="17"/>
      <c r="C36" s="15" t="s">
        <v>492</v>
      </c>
      <c r="D36" s="16" t="s">
        <v>1651</v>
      </c>
      <c r="E36" s="15" t="s">
        <v>1652</v>
      </c>
      <c r="F36" s="16" t="s">
        <v>161</v>
      </c>
      <c r="G36" s="15" t="s">
        <v>162</v>
      </c>
      <c r="H36" s="16" t="s">
        <v>1647</v>
      </c>
      <c r="I36" s="16" t="s">
        <v>1662</v>
      </c>
      <c r="J36" s="16"/>
      <c r="K36" s="16"/>
      <c r="L36" s="17"/>
      <c r="M36" s="47"/>
      <c r="N36" s="48">
        <v>87</v>
      </c>
      <c r="O36" s="48">
        <v>58</v>
      </c>
      <c r="P36" s="51"/>
      <c r="Q36" s="48">
        <f t="shared" si="0"/>
        <v>0</v>
      </c>
      <c r="R36" s="16" t="s">
        <v>1624</v>
      </c>
      <c r="S36" s="16" t="s">
        <v>1624</v>
      </c>
      <c r="T36" s="15" t="s">
        <v>1625</v>
      </c>
      <c r="U36" s="40"/>
      <c r="V36"/>
    </row>
    <row r="37" spans="1:22" ht="15" customHeight="1" x14ac:dyDescent="0.3">
      <c r="A37" s="17">
        <v>525</v>
      </c>
      <c r="B37" s="17"/>
      <c r="C37" s="15" t="s">
        <v>492</v>
      </c>
      <c r="D37" s="16" t="s">
        <v>1651</v>
      </c>
      <c r="E37" s="15" t="s">
        <v>1652</v>
      </c>
      <c r="F37" s="16" t="s">
        <v>161</v>
      </c>
      <c r="G37" s="15" t="s">
        <v>162</v>
      </c>
      <c r="H37" s="16" t="s">
        <v>1663</v>
      </c>
      <c r="I37" s="16" t="s">
        <v>1664</v>
      </c>
      <c r="J37" s="16"/>
      <c r="K37" s="16"/>
      <c r="L37" s="17"/>
      <c r="M37" s="47"/>
      <c r="N37" s="48">
        <v>90</v>
      </c>
      <c r="O37" s="48">
        <v>60</v>
      </c>
      <c r="P37" s="51"/>
      <c r="Q37" s="48">
        <f t="shared" si="0"/>
        <v>0</v>
      </c>
      <c r="R37" s="16" t="s">
        <v>1624</v>
      </c>
      <c r="S37" s="16" t="s">
        <v>1624</v>
      </c>
      <c r="T37" s="15" t="s">
        <v>1625</v>
      </c>
      <c r="U37" s="40"/>
      <c r="V37"/>
    </row>
    <row r="38" spans="1:22" ht="15" customHeight="1" x14ac:dyDescent="0.3">
      <c r="A38" s="17">
        <v>526</v>
      </c>
      <c r="B38" s="17"/>
      <c r="C38" s="15" t="s">
        <v>492</v>
      </c>
      <c r="D38" s="16" t="s">
        <v>1665</v>
      </c>
      <c r="E38" s="15" t="s">
        <v>1666</v>
      </c>
      <c r="F38" s="16" t="s">
        <v>161</v>
      </c>
      <c r="G38" s="15" t="s">
        <v>162</v>
      </c>
      <c r="H38" s="16" t="s">
        <v>1626</v>
      </c>
      <c r="I38" s="16" t="s">
        <v>1667</v>
      </c>
      <c r="J38" s="16"/>
      <c r="K38" s="16"/>
      <c r="L38" s="17"/>
      <c r="M38" s="47"/>
      <c r="N38" s="48">
        <v>63</v>
      </c>
      <c r="O38" s="48">
        <v>42</v>
      </c>
      <c r="P38" s="51"/>
      <c r="Q38" s="48">
        <f t="shared" si="0"/>
        <v>0</v>
      </c>
      <c r="R38" s="16" t="s">
        <v>1624</v>
      </c>
      <c r="S38" s="16" t="s">
        <v>1624</v>
      </c>
      <c r="T38" s="15" t="s">
        <v>1625</v>
      </c>
      <c r="U38" s="40"/>
      <c r="V38"/>
    </row>
    <row r="39" spans="1:22" ht="15" customHeight="1" x14ac:dyDescent="0.3">
      <c r="A39" s="17">
        <v>527</v>
      </c>
      <c r="B39" s="17"/>
      <c r="C39" s="15" t="s">
        <v>492</v>
      </c>
      <c r="D39" s="16" t="s">
        <v>1665</v>
      </c>
      <c r="E39" s="15" t="s">
        <v>1666</v>
      </c>
      <c r="F39" s="16" t="s">
        <v>161</v>
      </c>
      <c r="G39" s="15" t="s">
        <v>162</v>
      </c>
      <c r="H39" s="16" t="s">
        <v>1628</v>
      </c>
      <c r="I39" s="16" t="s">
        <v>1668</v>
      </c>
      <c r="J39" s="16"/>
      <c r="K39" s="16"/>
      <c r="L39" s="17"/>
      <c r="M39" s="47"/>
      <c r="N39" s="48">
        <v>65</v>
      </c>
      <c r="O39" s="48">
        <v>43.4</v>
      </c>
      <c r="P39" s="51"/>
      <c r="Q39" s="48">
        <f t="shared" si="0"/>
        <v>0</v>
      </c>
      <c r="R39" s="16" t="s">
        <v>1624</v>
      </c>
      <c r="S39" s="16" t="s">
        <v>1624</v>
      </c>
      <c r="T39" s="15" t="s">
        <v>1625</v>
      </c>
      <c r="U39" s="40"/>
      <c r="V39"/>
    </row>
    <row r="40" spans="1:22" ht="15" customHeight="1" x14ac:dyDescent="0.3">
      <c r="A40" s="17">
        <v>528</v>
      </c>
      <c r="B40" s="17"/>
      <c r="C40" s="15" t="s">
        <v>492</v>
      </c>
      <c r="D40" s="16" t="s">
        <v>1665</v>
      </c>
      <c r="E40" s="15" t="s">
        <v>1666</v>
      </c>
      <c r="F40" s="16" t="s">
        <v>161</v>
      </c>
      <c r="G40" s="15" t="s">
        <v>162</v>
      </c>
      <c r="H40" s="16" t="s">
        <v>1630</v>
      </c>
      <c r="I40" s="16" t="s">
        <v>1669</v>
      </c>
      <c r="J40" s="16"/>
      <c r="K40" s="16"/>
      <c r="L40" s="17"/>
      <c r="M40" s="47"/>
      <c r="N40" s="48">
        <v>68</v>
      </c>
      <c r="O40" s="48">
        <v>45.4</v>
      </c>
      <c r="P40" s="51"/>
      <c r="Q40" s="48">
        <f t="shared" si="0"/>
        <v>0</v>
      </c>
      <c r="R40" s="16" t="s">
        <v>1624</v>
      </c>
      <c r="S40" s="16" t="s">
        <v>1624</v>
      </c>
      <c r="T40" s="15" t="s">
        <v>1625</v>
      </c>
      <c r="U40" s="40"/>
      <c r="V40"/>
    </row>
    <row r="41" spans="1:22" ht="15" customHeight="1" x14ac:dyDescent="0.3">
      <c r="A41" s="17">
        <v>529</v>
      </c>
      <c r="B41" s="17"/>
      <c r="C41" s="15" t="s">
        <v>492</v>
      </c>
      <c r="D41" s="16" t="s">
        <v>1665</v>
      </c>
      <c r="E41" s="15" t="s">
        <v>1666</v>
      </c>
      <c r="F41" s="16" t="s">
        <v>161</v>
      </c>
      <c r="G41" s="15" t="s">
        <v>162</v>
      </c>
      <c r="H41" s="16" t="s">
        <v>1632</v>
      </c>
      <c r="I41" s="16" t="s">
        <v>1670</v>
      </c>
      <c r="J41" s="16"/>
      <c r="K41" s="16"/>
      <c r="L41" s="17"/>
      <c r="M41" s="47"/>
      <c r="N41" s="48">
        <v>70</v>
      </c>
      <c r="O41" s="48">
        <v>46.7</v>
      </c>
      <c r="P41" s="51"/>
      <c r="Q41" s="48">
        <f t="shared" si="0"/>
        <v>0</v>
      </c>
      <c r="R41" s="16" t="s">
        <v>1624</v>
      </c>
      <c r="S41" s="16" t="s">
        <v>1624</v>
      </c>
      <c r="T41" s="15" t="s">
        <v>1625</v>
      </c>
      <c r="U41" s="40"/>
      <c r="V41"/>
    </row>
    <row r="42" spans="1:22" ht="15" customHeight="1" x14ac:dyDescent="0.3">
      <c r="A42" s="17">
        <v>530</v>
      </c>
      <c r="B42" s="17"/>
      <c r="C42" s="15" t="s">
        <v>492</v>
      </c>
      <c r="D42" s="16" t="s">
        <v>1665</v>
      </c>
      <c r="E42" s="15" t="s">
        <v>1666</v>
      </c>
      <c r="F42" s="16" t="s">
        <v>161</v>
      </c>
      <c r="G42" s="15" t="s">
        <v>162</v>
      </c>
      <c r="H42" s="16" t="s">
        <v>1634</v>
      </c>
      <c r="I42" s="16" t="s">
        <v>1671</v>
      </c>
      <c r="J42" s="16"/>
      <c r="K42" s="16"/>
      <c r="L42" s="17"/>
      <c r="M42" s="47"/>
      <c r="N42" s="48">
        <v>73</v>
      </c>
      <c r="O42" s="48">
        <v>48.7</v>
      </c>
      <c r="P42" s="51"/>
      <c r="Q42" s="48">
        <f t="shared" si="0"/>
        <v>0</v>
      </c>
      <c r="R42" s="16" t="s">
        <v>1624</v>
      </c>
      <c r="S42" s="16" t="s">
        <v>1624</v>
      </c>
      <c r="T42" s="15" t="s">
        <v>1625</v>
      </c>
      <c r="U42" s="40"/>
      <c r="V42"/>
    </row>
    <row r="43" spans="1:22" ht="15" customHeight="1" x14ac:dyDescent="0.3">
      <c r="A43" s="17">
        <v>531</v>
      </c>
      <c r="B43" s="17"/>
      <c r="C43" s="15" t="s">
        <v>492</v>
      </c>
      <c r="D43" s="16" t="s">
        <v>1665</v>
      </c>
      <c r="E43" s="15" t="s">
        <v>1666</v>
      </c>
      <c r="F43" s="16" t="s">
        <v>161</v>
      </c>
      <c r="G43" s="15" t="s">
        <v>162</v>
      </c>
      <c r="H43" s="16" t="s">
        <v>1636</v>
      </c>
      <c r="I43" s="16" t="s">
        <v>1672</v>
      </c>
      <c r="J43" s="16"/>
      <c r="K43" s="16"/>
      <c r="L43" s="17"/>
      <c r="M43" s="47"/>
      <c r="N43" s="48">
        <v>76</v>
      </c>
      <c r="O43" s="48">
        <v>50.7</v>
      </c>
      <c r="P43" s="51"/>
      <c r="Q43" s="48">
        <f t="shared" ref="Q43:Q75" si="1">O43*P43</f>
        <v>0</v>
      </c>
      <c r="R43" s="16" t="s">
        <v>1624</v>
      </c>
      <c r="S43" s="16" t="s">
        <v>1624</v>
      </c>
      <c r="T43" s="15" t="s">
        <v>1625</v>
      </c>
      <c r="U43" s="40"/>
      <c r="V43"/>
    </row>
    <row r="44" spans="1:22" ht="15" customHeight="1" x14ac:dyDescent="0.3">
      <c r="A44" s="17">
        <v>532</v>
      </c>
      <c r="B44" s="17"/>
      <c r="C44" s="15" t="s">
        <v>492</v>
      </c>
      <c r="D44" s="16" t="s">
        <v>1665</v>
      </c>
      <c r="E44" s="15" t="s">
        <v>1666</v>
      </c>
      <c r="F44" s="16" t="s">
        <v>161</v>
      </c>
      <c r="G44" s="15" t="s">
        <v>162</v>
      </c>
      <c r="H44" s="16" t="s">
        <v>1647</v>
      </c>
      <c r="I44" s="16" t="s">
        <v>1673</v>
      </c>
      <c r="J44" s="16"/>
      <c r="K44" s="16"/>
      <c r="L44" s="17"/>
      <c r="M44" s="47"/>
      <c r="N44" s="48">
        <v>79</v>
      </c>
      <c r="O44" s="48">
        <v>52.7</v>
      </c>
      <c r="P44" s="51"/>
      <c r="Q44" s="48">
        <f t="shared" si="1"/>
        <v>0</v>
      </c>
      <c r="R44" s="16" t="s">
        <v>1624</v>
      </c>
      <c r="S44" s="16" t="s">
        <v>1624</v>
      </c>
      <c r="T44" s="15" t="s">
        <v>1625</v>
      </c>
      <c r="U44" s="40"/>
      <c r="V44"/>
    </row>
    <row r="45" spans="1:22" ht="15" customHeight="1" x14ac:dyDescent="0.3">
      <c r="A45" s="17">
        <v>533</v>
      </c>
      <c r="B45" s="17"/>
      <c r="C45" s="15" t="s">
        <v>492</v>
      </c>
      <c r="D45" s="16" t="s">
        <v>1665</v>
      </c>
      <c r="E45" s="15" t="s">
        <v>1666</v>
      </c>
      <c r="F45" s="16" t="s">
        <v>161</v>
      </c>
      <c r="G45" s="15" t="s">
        <v>162</v>
      </c>
      <c r="H45" s="16" t="s">
        <v>1649</v>
      </c>
      <c r="I45" s="16" t="s">
        <v>1674</v>
      </c>
      <c r="J45" s="16"/>
      <c r="K45" s="16"/>
      <c r="L45" s="17"/>
      <c r="M45" s="47"/>
      <c r="N45" s="48">
        <v>82</v>
      </c>
      <c r="O45" s="48">
        <v>54.7</v>
      </c>
      <c r="P45" s="51"/>
      <c r="Q45" s="48">
        <f t="shared" si="1"/>
        <v>0</v>
      </c>
      <c r="R45" s="16" t="s">
        <v>1624</v>
      </c>
      <c r="S45" s="16" t="s">
        <v>1624</v>
      </c>
      <c r="T45" s="15" t="s">
        <v>1625</v>
      </c>
      <c r="U45" s="40"/>
      <c r="V45"/>
    </row>
    <row r="46" spans="1:22" ht="15" customHeight="1" x14ac:dyDescent="0.3">
      <c r="A46" s="17">
        <v>534</v>
      </c>
      <c r="B46" s="17"/>
      <c r="C46" s="15" t="s">
        <v>492</v>
      </c>
      <c r="D46" s="16" t="s">
        <v>1675</v>
      </c>
      <c r="E46" s="15" t="s">
        <v>1676</v>
      </c>
      <c r="F46" s="16" t="s">
        <v>161</v>
      </c>
      <c r="G46" s="15" t="s">
        <v>162</v>
      </c>
      <c r="H46" s="16" t="s">
        <v>1653</v>
      </c>
      <c r="I46" s="16" t="s">
        <v>1677</v>
      </c>
      <c r="J46" s="16"/>
      <c r="K46" s="16"/>
      <c r="L46" s="17"/>
      <c r="M46" s="47"/>
      <c r="N46" s="48">
        <v>59</v>
      </c>
      <c r="O46" s="48">
        <v>39.4</v>
      </c>
      <c r="P46" s="51"/>
      <c r="Q46" s="48">
        <f t="shared" si="1"/>
        <v>0</v>
      </c>
      <c r="R46" s="16" t="s">
        <v>1624</v>
      </c>
      <c r="S46" s="16" t="s">
        <v>1624</v>
      </c>
      <c r="T46" s="15" t="s">
        <v>1625</v>
      </c>
      <c r="U46" s="40"/>
      <c r="V46"/>
    </row>
    <row r="47" spans="1:22" ht="15" customHeight="1" x14ac:dyDescent="0.3">
      <c r="A47" s="17">
        <v>535</v>
      </c>
      <c r="B47" s="17"/>
      <c r="C47" s="15" t="s">
        <v>492</v>
      </c>
      <c r="D47" s="16" t="s">
        <v>1675</v>
      </c>
      <c r="E47" s="15" t="s">
        <v>1676</v>
      </c>
      <c r="F47" s="16" t="s">
        <v>161</v>
      </c>
      <c r="G47" s="15" t="s">
        <v>162</v>
      </c>
      <c r="H47" s="16" t="s">
        <v>1622</v>
      </c>
      <c r="I47" s="16" t="s">
        <v>1678</v>
      </c>
      <c r="J47" s="16"/>
      <c r="K47" s="16"/>
      <c r="L47" s="17"/>
      <c r="M47" s="47"/>
      <c r="N47" s="48">
        <v>61</v>
      </c>
      <c r="O47" s="48">
        <v>40.700000000000003</v>
      </c>
      <c r="P47" s="51"/>
      <c r="Q47" s="48">
        <f t="shared" si="1"/>
        <v>0</v>
      </c>
      <c r="R47" s="16" t="s">
        <v>1624</v>
      </c>
      <c r="S47" s="16" t="s">
        <v>1624</v>
      </c>
      <c r="T47" s="15" t="s">
        <v>1625</v>
      </c>
      <c r="U47" s="40"/>
      <c r="V47"/>
    </row>
    <row r="48" spans="1:22" ht="15" customHeight="1" x14ac:dyDescent="0.3">
      <c r="A48" s="17">
        <v>536</v>
      </c>
      <c r="B48" s="17"/>
      <c r="C48" s="15" t="s">
        <v>492</v>
      </c>
      <c r="D48" s="16" t="s">
        <v>1675</v>
      </c>
      <c r="E48" s="15" t="s">
        <v>1676</v>
      </c>
      <c r="F48" s="16" t="s">
        <v>161</v>
      </c>
      <c r="G48" s="15" t="s">
        <v>162</v>
      </c>
      <c r="H48" s="16" t="s">
        <v>1626</v>
      </c>
      <c r="I48" s="16" t="s">
        <v>1679</v>
      </c>
      <c r="J48" s="16"/>
      <c r="K48" s="16"/>
      <c r="L48" s="17"/>
      <c r="M48" s="47"/>
      <c r="N48" s="48">
        <v>63</v>
      </c>
      <c r="O48" s="48">
        <v>42</v>
      </c>
      <c r="P48" s="51"/>
      <c r="Q48" s="48">
        <f t="shared" si="1"/>
        <v>0</v>
      </c>
      <c r="R48" s="16" t="s">
        <v>1624</v>
      </c>
      <c r="S48" s="16" t="s">
        <v>1624</v>
      </c>
      <c r="T48" s="15" t="s">
        <v>1625</v>
      </c>
      <c r="U48" s="40"/>
      <c r="V48"/>
    </row>
    <row r="49" spans="1:22" ht="15" customHeight="1" x14ac:dyDescent="0.3">
      <c r="A49" s="17">
        <v>537</v>
      </c>
      <c r="B49" s="17"/>
      <c r="C49" s="15" t="s">
        <v>492</v>
      </c>
      <c r="D49" s="16" t="s">
        <v>1675</v>
      </c>
      <c r="E49" s="15" t="s">
        <v>1676</v>
      </c>
      <c r="F49" s="16" t="s">
        <v>161</v>
      </c>
      <c r="G49" s="15" t="s">
        <v>162</v>
      </c>
      <c r="H49" s="16" t="s">
        <v>1628</v>
      </c>
      <c r="I49" s="16" t="s">
        <v>1680</v>
      </c>
      <c r="J49" s="16"/>
      <c r="K49" s="16"/>
      <c r="L49" s="17"/>
      <c r="M49" s="47"/>
      <c r="N49" s="48">
        <v>65</v>
      </c>
      <c r="O49" s="48">
        <v>43.4</v>
      </c>
      <c r="P49" s="51"/>
      <c r="Q49" s="48">
        <f t="shared" si="1"/>
        <v>0</v>
      </c>
      <c r="R49" s="16" t="s">
        <v>1624</v>
      </c>
      <c r="S49" s="16" t="s">
        <v>1624</v>
      </c>
      <c r="T49" s="15" t="s">
        <v>1625</v>
      </c>
      <c r="U49" s="40"/>
      <c r="V49"/>
    </row>
    <row r="50" spans="1:22" ht="15" customHeight="1" x14ac:dyDescent="0.3">
      <c r="A50" s="17">
        <v>538</v>
      </c>
      <c r="B50" s="17"/>
      <c r="C50" s="15" t="s">
        <v>492</v>
      </c>
      <c r="D50" s="16" t="s">
        <v>1675</v>
      </c>
      <c r="E50" s="15" t="s">
        <v>1676</v>
      </c>
      <c r="F50" s="16" t="s">
        <v>161</v>
      </c>
      <c r="G50" s="15" t="s">
        <v>162</v>
      </c>
      <c r="H50" s="16" t="s">
        <v>1630</v>
      </c>
      <c r="I50" s="16" t="s">
        <v>1681</v>
      </c>
      <c r="J50" s="16"/>
      <c r="K50" s="16"/>
      <c r="L50" s="17"/>
      <c r="M50" s="47"/>
      <c r="N50" s="48">
        <v>68</v>
      </c>
      <c r="O50" s="48">
        <v>45.4</v>
      </c>
      <c r="P50" s="51"/>
      <c r="Q50" s="48">
        <f t="shared" si="1"/>
        <v>0</v>
      </c>
      <c r="R50" s="16" t="s">
        <v>1624</v>
      </c>
      <c r="S50" s="16" t="s">
        <v>1624</v>
      </c>
      <c r="T50" s="15" t="s">
        <v>1625</v>
      </c>
      <c r="U50" s="40"/>
      <c r="V50"/>
    </row>
    <row r="51" spans="1:22" ht="15" customHeight="1" x14ac:dyDescent="0.3">
      <c r="A51" s="17">
        <v>539</v>
      </c>
      <c r="B51" s="17"/>
      <c r="C51" s="15" t="s">
        <v>492</v>
      </c>
      <c r="D51" s="16" t="s">
        <v>1675</v>
      </c>
      <c r="E51" s="15" t="s">
        <v>1676</v>
      </c>
      <c r="F51" s="16" t="s">
        <v>161</v>
      </c>
      <c r="G51" s="15" t="s">
        <v>162</v>
      </c>
      <c r="H51" s="16" t="s">
        <v>1632</v>
      </c>
      <c r="I51" s="16" t="s">
        <v>1682</v>
      </c>
      <c r="J51" s="16"/>
      <c r="K51" s="16"/>
      <c r="L51" s="17"/>
      <c r="M51" s="47"/>
      <c r="N51" s="48">
        <v>70</v>
      </c>
      <c r="O51" s="48">
        <v>46.7</v>
      </c>
      <c r="P51" s="51"/>
      <c r="Q51" s="48">
        <f t="shared" si="1"/>
        <v>0</v>
      </c>
      <c r="R51" s="16" t="s">
        <v>1624</v>
      </c>
      <c r="S51" s="16" t="s">
        <v>1624</v>
      </c>
      <c r="T51" s="15" t="s">
        <v>1625</v>
      </c>
      <c r="U51" s="40"/>
      <c r="V51"/>
    </row>
    <row r="52" spans="1:22" ht="15" customHeight="1" x14ac:dyDescent="0.3">
      <c r="A52" s="17">
        <v>540</v>
      </c>
      <c r="B52" s="17"/>
      <c r="C52" s="15" t="s">
        <v>492</v>
      </c>
      <c r="D52" s="16" t="s">
        <v>1675</v>
      </c>
      <c r="E52" s="15" t="s">
        <v>1676</v>
      </c>
      <c r="F52" s="16" t="s">
        <v>161</v>
      </c>
      <c r="G52" s="15" t="s">
        <v>162</v>
      </c>
      <c r="H52" s="16" t="s">
        <v>1634</v>
      </c>
      <c r="I52" s="16" t="s">
        <v>1683</v>
      </c>
      <c r="J52" s="16"/>
      <c r="K52" s="16"/>
      <c r="L52" s="17"/>
      <c r="M52" s="47"/>
      <c r="N52" s="48">
        <v>73</v>
      </c>
      <c r="O52" s="48">
        <v>48.7</v>
      </c>
      <c r="P52" s="51"/>
      <c r="Q52" s="48">
        <f t="shared" si="1"/>
        <v>0</v>
      </c>
      <c r="R52" s="16" t="s">
        <v>1624</v>
      </c>
      <c r="S52" s="16" t="s">
        <v>1624</v>
      </c>
      <c r="T52" s="15" t="s">
        <v>1625</v>
      </c>
      <c r="U52" s="40"/>
      <c r="V52"/>
    </row>
    <row r="53" spans="1:22" s="39" customFormat="1" ht="15" customHeight="1" x14ac:dyDescent="0.3">
      <c r="A53" s="17">
        <v>541</v>
      </c>
      <c r="B53" s="17"/>
      <c r="C53" s="15" t="s">
        <v>492</v>
      </c>
      <c r="D53" s="16" t="s">
        <v>1675</v>
      </c>
      <c r="E53" s="15" t="s">
        <v>1676</v>
      </c>
      <c r="F53" s="16" t="s">
        <v>161</v>
      </c>
      <c r="G53" s="15" t="s">
        <v>162</v>
      </c>
      <c r="H53" s="16" t="s">
        <v>1636</v>
      </c>
      <c r="I53" s="16" t="s">
        <v>1684</v>
      </c>
      <c r="J53" s="16"/>
      <c r="K53" s="16"/>
      <c r="L53" s="17"/>
      <c r="M53" s="47"/>
      <c r="N53" s="48">
        <v>76</v>
      </c>
      <c r="O53" s="48">
        <v>50.7</v>
      </c>
      <c r="P53" s="51"/>
      <c r="Q53" s="48">
        <f t="shared" si="1"/>
        <v>0</v>
      </c>
      <c r="R53" s="16" t="s">
        <v>1624</v>
      </c>
      <c r="S53" s="16" t="s">
        <v>1624</v>
      </c>
      <c r="T53" s="15" t="s">
        <v>1625</v>
      </c>
      <c r="U53" s="40"/>
      <c r="V53"/>
    </row>
    <row r="54" spans="1:22" ht="15" customHeight="1" x14ac:dyDescent="0.3">
      <c r="A54" s="17">
        <v>542</v>
      </c>
      <c r="B54" s="17"/>
      <c r="C54" s="15" t="s">
        <v>492</v>
      </c>
      <c r="D54" s="16" t="s">
        <v>1675</v>
      </c>
      <c r="E54" s="15" t="s">
        <v>1676</v>
      </c>
      <c r="F54" s="16" t="s">
        <v>161</v>
      </c>
      <c r="G54" s="15" t="s">
        <v>162</v>
      </c>
      <c r="H54" s="16" t="s">
        <v>1647</v>
      </c>
      <c r="I54" s="16" t="s">
        <v>1685</v>
      </c>
      <c r="J54" s="16"/>
      <c r="K54" s="16"/>
      <c r="L54" s="17"/>
      <c r="M54" s="47"/>
      <c r="N54" s="48">
        <v>79</v>
      </c>
      <c r="O54" s="48">
        <v>52.7</v>
      </c>
      <c r="P54" s="51"/>
      <c r="Q54" s="48">
        <f t="shared" si="1"/>
        <v>0</v>
      </c>
      <c r="R54" s="16" t="s">
        <v>1624</v>
      </c>
      <c r="S54" s="16" t="s">
        <v>1624</v>
      </c>
      <c r="T54" s="15" t="s">
        <v>1625</v>
      </c>
      <c r="U54" s="40"/>
      <c r="V54"/>
    </row>
    <row r="55" spans="1:22" ht="15" customHeight="1" x14ac:dyDescent="0.3">
      <c r="A55" s="17">
        <v>543</v>
      </c>
      <c r="B55" s="17"/>
      <c r="C55" s="15" t="s">
        <v>492</v>
      </c>
      <c r="D55" s="16" t="s">
        <v>1675</v>
      </c>
      <c r="E55" s="15" t="s">
        <v>1676</v>
      </c>
      <c r="F55" s="16" t="s">
        <v>161</v>
      </c>
      <c r="G55" s="15" t="s">
        <v>162</v>
      </c>
      <c r="H55" s="16" t="s">
        <v>1663</v>
      </c>
      <c r="I55" s="16" t="s">
        <v>1686</v>
      </c>
      <c r="J55" s="16"/>
      <c r="K55" s="16"/>
      <c r="L55" s="17"/>
      <c r="M55" s="47"/>
      <c r="N55" s="48">
        <v>82</v>
      </c>
      <c r="O55" s="48">
        <v>54.7</v>
      </c>
      <c r="P55" s="51"/>
      <c r="Q55" s="48">
        <f t="shared" si="1"/>
        <v>0</v>
      </c>
      <c r="R55" s="16" t="s">
        <v>1624</v>
      </c>
      <c r="S55" s="16" t="s">
        <v>1624</v>
      </c>
      <c r="T55" s="15" t="s">
        <v>1625</v>
      </c>
      <c r="U55" s="40"/>
      <c r="V55"/>
    </row>
    <row r="56" spans="1:22" ht="15" customHeight="1" x14ac:dyDescent="0.3">
      <c r="A56" s="17">
        <v>544</v>
      </c>
      <c r="B56" s="17"/>
      <c r="C56" s="15" t="s">
        <v>492</v>
      </c>
      <c r="D56" s="16" t="s">
        <v>1675</v>
      </c>
      <c r="E56" s="15" t="s">
        <v>1676</v>
      </c>
      <c r="F56" s="16" t="s">
        <v>161</v>
      </c>
      <c r="G56" s="15" t="s">
        <v>162</v>
      </c>
      <c r="H56" s="16" t="s">
        <v>1687</v>
      </c>
      <c r="I56" s="16" t="s">
        <v>1688</v>
      </c>
      <c r="J56" s="16"/>
      <c r="K56" s="16"/>
      <c r="L56" s="17"/>
      <c r="M56" s="47"/>
      <c r="N56" s="48">
        <v>85</v>
      </c>
      <c r="O56" s="48">
        <v>56.7</v>
      </c>
      <c r="P56" s="51"/>
      <c r="Q56" s="48">
        <f t="shared" si="1"/>
        <v>0</v>
      </c>
      <c r="R56" s="16" t="s">
        <v>1624</v>
      </c>
      <c r="S56" s="16" t="s">
        <v>1624</v>
      </c>
      <c r="T56" s="15" t="s">
        <v>1625</v>
      </c>
      <c r="U56" s="40"/>
      <c r="V56"/>
    </row>
    <row r="57" spans="1:22" ht="15" customHeight="1" x14ac:dyDescent="0.3">
      <c r="A57" s="17">
        <v>545</v>
      </c>
      <c r="B57" s="17"/>
      <c r="C57" s="15" t="s">
        <v>492</v>
      </c>
      <c r="D57" s="16" t="s">
        <v>1675</v>
      </c>
      <c r="E57" s="15" t="s">
        <v>1676</v>
      </c>
      <c r="F57" s="16" t="s">
        <v>161</v>
      </c>
      <c r="G57" s="15" t="s">
        <v>162</v>
      </c>
      <c r="H57" s="16" t="s">
        <v>1689</v>
      </c>
      <c r="I57" s="16" t="s">
        <v>1690</v>
      </c>
      <c r="J57" s="16"/>
      <c r="K57" s="16"/>
      <c r="L57" s="17"/>
      <c r="M57" s="47"/>
      <c r="N57" s="48">
        <v>88</v>
      </c>
      <c r="O57" s="48">
        <v>58.7</v>
      </c>
      <c r="P57" s="51"/>
      <c r="Q57" s="48">
        <f t="shared" si="1"/>
        <v>0</v>
      </c>
      <c r="R57" s="16" t="s">
        <v>1624</v>
      </c>
      <c r="S57" s="16" t="s">
        <v>1624</v>
      </c>
      <c r="T57" s="15" t="s">
        <v>1625</v>
      </c>
      <c r="U57" s="40"/>
      <c r="V57"/>
    </row>
    <row r="58" spans="1:22" ht="15" customHeight="1" x14ac:dyDescent="0.3">
      <c r="A58" s="17">
        <v>546</v>
      </c>
      <c r="B58" s="17"/>
      <c r="C58" s="15" t="s">
        <v>492</v>
      </c>
      <c r="D58" s="16" t="s">
        <v>1691</v>
      </c>
      <c r="E58" s="15" t="s">
        <v>1692</v>
      </c>
      <c r="F58" s="16" t="s">
        <v>161</v>
      </c>
      <c r="G58" s="15" t="s">
        <v>162</v>
      </c>
      <c r="H58" s="16" t="s">
        <v>1693</v>
      </c>
      <c r="I58" s="16" t="s">
        <v>1694</v>
      </c>
      <c r="J58" s="16"/>
      <c r="K58" s="16"/>
      <c r="L58" s="17"/>
      <c r="M58" s="47"/>
      <c r="N58" s="48">
        <v>65</v>
      </c>
      <c r="O58" s="48">
        <v>43.4</v>
      </c>
      <c r="P58" s="51"/>
      <c r="Q58" s="48">
        <f t="shared" si="1"/>
        <v>0</v>
      </c>
      <c r="R58" s="16" t="s">
        <v>1624</v>
      </c>
      <c r="S58" s="16" t="s">
        <v>1624</v>
      </c>
      <c r="T58" s="15" t="s">
        <v>1625</v>
      </c>
      <c r="U58" s="40"/>
      <c r="V58"/>
    </row>
    <row r="59" spans="1:22" ht="15" customHeight="1" x14ac:dyDescent="0.3">
      <c r="A59" s="17">
        <v>547</v>
      </c>
      <c r="B59" s="17"/>
      <c r="C59" s="15" t="s">
        <v>492</v>
      </c>
      <c r="D59" s="16" t="s">
        <v>1691</v>
      </c>
      <c r="E59" s="15" t="s">
        <v>1692</v>
      </c>
      <c r="F59" s="16" t="s">
        <v>161</v>
      </c>
      <c r="G59" s="15" t="s">
        <v>162</v>
      </c>
      <c r="H59" s="16" t="s">
        <v>1622</v>
      </c>
      <c r="I59" s="16" t="s">
        <v>1695</v>
      </c>
      <c r="J59" s="16"/>
      <c r="K59" s="16"/>
      <c r="L59" s="17"/>
      <c r="M59" s="47"/>
      <c r="N59" s="48">
        <v>67.5</v>
      </c>
      <c r="O59" s="48">
        <v>45</v>
      </c>
      <c r="P59" s="51"/>
      <c r="Q59" s="48">
        <f t="shared" si="1"/>
        <v>0</v>
      </c>
      <c r="R59" s="16" t="s">
        <v>1624</v>
      </c>
      <c r="S59" s="16" t="s">
        <v>1624</v>
      </c>
      <c r="T59" s="15" t="s">
        <v>1625</v>
      </c>
      <c r="U59" s="40"/>
      <c r="V59"/>
    </row>
    <row r="60" spans="1:22" ht="15" customHeight="1" x14ac:dyDescent="0.3">
      <c r="A60" s="17">
        <v>548</v>
      </c>
      <c r="B60" s="17"/>
      <c r="C60" s="15" t="s">
        <v>492</v>
      </c>
      <c r="D60" s="16" t="s">
        <v>1691</v>
      </c>
      <c r="E60" s="15" t="s">
        <v>1692</v>
      </c>
      <c r="F60" s="16" t="s">
        <v>161</v>
      </c>
      <c r="G60" s="15" t="s">
        <v>162</v>
      </c>
      <c r="H60" s="16" t="s">
        <v>1626</v>
      </c>
      <c r="I60" s="16" t="s">
        <v>1696</v>
      </c>
      <c r="J60" s="16"/>
      <c r="K60" s="16"/>
      <c r="L60" s="17"/>
      <c r="M60" s="47"/>
      <c r="N60" s="48">
        <v>70</v>
      </c>
      <c r="O60" s="48">
        <v>46.7</v>
      </c>
      <c r="P60" s="51"/>
      <c r="Q60" s="48">
        <f t="shared" si="1"/>
        <v>0</v>
      </c>
      <c r="R60" s="16" t="s">
        <v>1624</v>
      </c>
      <c r="S60" s="16" t="s">
        <v>1624</v>
      </c>
      <c r="T60" s="15" t="s">
        <v>1625</v>
      </c>
      <c r="U60" s="40"/>
      <c r="V60"/>
    </row>
    <row r="61" spans="1:22" ht="15" customHeight="1" x14ac:dyDescent="0.3">
      <c r="A61" s="17">
        <v>549</v>
      </c>
      <c r="B61" s="17"/>
      <c r="C61" s="15" t="s">
        <v>492</v>
      </c>
      <c r="D61" s="16" t="s">
        <v>1691</v>
      </c>
      <c r="E61" s="15" t="s">
        <v>1692</v>
      </c>
      <c r="F61" s="16" t="s">
        <v>161</v>
      </c>
      <c r="G61" s="15" t="s">
        <v>162</v>
      </c>
      <c r="H61" s="16" t="s">
        <v>1628</v>
      </c>
      <c r="I61" s="16" t="s">
        <v>1697</v>
      </c>
      <c r="J61" s="16"/>
      <c r="K61" s="16"/>
      <c r="L61" s="17"/>
      <c r="M61" s="47"/>
      <c r="N61" s="48">
        <v>72.5</v>
      </c>
      <c r="O61" s="48">
        <v>48.4</v>
      </c>
      <c r="P61" s="51"/>
      <c r="Q61" s="48">
        <f t="shared" si="1"/>
        <v>0</v>
      </c>
      <c r="R61" s="16" t="s">
        <v>1624</v>
      </c>
      <c r="S61" s="16" t="s">
        <v>1624</v>
      </c>
      <c r="T61" s="15" t="s">
        <v>1625</v>
      </c>
      <c r="U61" s="40"/>
      <c r="V61"/>
    </row>
    <row r="62" spans="1:22" ht="15" customHeight="1" x14ac:dyDescent="0.3">
      <c r="A62" s="17">
        <v>550</v>
      </c>
      <c r="B62" s="17"/>
      <c r="C62" s="15" t="s">
        <v>492</v>
      </c>
      <c r="D62" s="16" t="s">
        <v>1691</v>
      </c>
      <c r="E62" s="15" t="s">
        <v>1692</v>
      </c>
      <c r="F62" s="16" t="s">
        <v>161</v>
      </c>
      <c r="G62" s="15" t="s">
        <v>162</v>
      </c>
      <c r="H62" s="16" t="s">
        <v>1630</v>
      </c>
      <c r="I62" s="16" t="s">
        <v>1698</v>
      </c>
      <c r="J62" s="16"/>
      <c r="K62" s="16"/>
      <c r="L62" s="17"/>
      <c r="M62" s="47"/>
      <c r="N62" s="48">
        <v>75</v>
      </c>
      <c r="O62" s="48">
        <v>50</v>
      </c>
      <c r="P62" s="51"/>
      <c r="Q62" s="48">
        <f t="shared" si="1"/>
        <v>0</v>
      </c>
      <c r="R62" s="16" t="s">
        <v>1624</v>
      </c>
      <c r="S62" s="16" t="s">
        <v>1624</v>
      </c>
      <c r="T62" s="15" t="s">
        <v>1625</v>
      </c>
      <c r="U62" s="40"/>
      <c r="V62"/>
    </row>
    <row r="63" spans="1:22" ht="15" customHeight="1" x14ac:dyDescent="0.3">
      <c r="A63" s="17">
        <v>551</v>
      </c>
      <c r="B63" s="17"/>
      <c r="C63" s="15" t="s">
        <v>492</v>
      </c>
      <c r="D63" s="16" t="s">
        <v>1691</v>
      </c>
      <c r="E63" s="15" t="s">
        <v>1692</v>
      </c>
      <c r="F63" s="16" t="s">
        <v>161</v>
      </c>
      <c r="G63" s="15" t="s">
        <v>162</v>
      </c>
      <c r="H63" s="16" t="s">
        <v>1632</v>
      </c>
      <c r="I63" s="16" t="s">
        <v>1699</v>
      </c>
      <c r="J63" s="16"/>
      <c r="K63" s="16"/>
      <c r="L63" s="17"/>
      <c r="M63" s="47"/>
      <c r="N63" s="48">
        <v>77.5</v>
      </c>
      <c r="O63" s="48">
        <v>51.7</v>
      </c>
      <c r="P63" s="51"/>
      <c r="Q63" s="48">
        <f t="shared" si="1"/>
        <v>0</v>
      </c>
      <c r="R63" s="16" t="s">
        <v>1624</v>
      </c>
      <c r="S63" s="16" t="s">
        <v>1624</v>
      </c>
      <c r="T63" s="15" t="s">
        <v>1625</v>
      </c>
      <c r="U63" s="40"/>
      <c r="V63"/>
    </row>
    <row r="64" spans="1:22" ht="15" customHeight="1" x14ac:dyDescent="0.3">
      <c r="A64" s="17">
        <v>552</v>
      </c>
      <c r="B64" s="17"/>
      <c r="C64" s="15" t="s">
        <v>492</v>
      </c>
      <c r="D64" s="16" t="s">
        <v>1691</v>
      </c>
      <c r="E64" s="15" t="s">
        <v>1692</v>
      </c>
      <c r="F64" s="16" t="s">
        <v>161</v>
      </c>
      <c r="G64" s="15" t="s">
        <v>162</v>
      </c>
      <c r="H64" s="16" t="s">
        <v>1634</v>
      </c>
      <c r="I64" s="16" t="s">
        <v>1700</v>
      </c>
      <c r="J64" s="16"/>
      <c r="K64" s="16"/>
      <c r="L64" s="17"/>
      <c r="M64" s="47"/>
      <c r="N64" s="48">
        <v>80</v>
      </c>
      <c r="O64" s="48">
        <v>53.4</v>
      </c>
      <c r="P64" s="51"/>
      <c r="Q64" s="48">
        <f t="shared" si="1"/>
        <v>0</v>
      </c>
      <c r="R64" s="16" t="s">
        <v>1624</v>
      </c>
      <c r="S64" s="16" t="s">
        <v>1624</v>
      </c>
      <c r="T64" s="15" t="s">
        <v>1625</v>
      </c>
      <c r="U64" s="40"/>
      <c r="V64"/>
    </row>
    <row r="65" spans="1:22" ht="15" customHeight="1" x14ac:dyDescent="0.3">
      <c r="A65" s="17">
        <v>553</v>
      </c>
      <c r="B65" s="17"/>
      <c r="C65" s="15" t="s">
        <v>492</v>
      </c>
      <c r="D65" s="16" t="s">
        <v>1691</v>
      </c>
      <c r="E65" s="15" t="s">
        <v>1692</v>
      </c>
      <c r="F65" s="16" t="s">
        <v>161</v>
      </c>
      <c r="G65" s="15" t="s">
        <v>162</v>
      </c>
      <c r="H65" s="16" t="s">
        <v>1636</v>
      </c>
      <c r="I65" s="16" t="s">
        <v>1701</v>
      </c>
      <c r="J65" s="16"/>
      <c r="K65" s="16"/>
      <c r="L65" s="17"/>
      <c r="M65" s="47"/>
      <c r="N65" s="48">
        <v>82.5</v>
      </c>
      <c r="O65" s="48">
        <v>55</v>
      </c>
      <c r="P65" s="51"/>
      <c r="Q65" s="48">
        <f t="shared" si="1"/>
        <v>0</v>
      </c>
      <c r="R65" s="16" t="s">
        <v>1624</v>
      </c>
      <c r="S65" s="16" t="s">
        <v>1624</v>
      </c>
      <c r="T65" s="15" t="s">
        <v>1625</v>
      </c>
      <c r="U65" s="40"/>
      <c r="V65"/>
    </row>
    <row r="66" spans="1:22" ht="15" customHeight="1" x14ac:dyDescent="0.3">
      <c r="A66" s="17">
        <v>554</v>
      </c>
      <c r="B66" s="17"/>
      <c r="C66" s="15" t="s">
        <v>492</v>
      </c>
      <c r="D66" s="16" t="s">
        <v>1691</v>
      </c>
      <c r="E66" s="15" t="s">
        <v>1692</v>
      </c>
      <c r="F66" s="16" t="s">
        <v>161</v>
      </c>
      <c r="G66" s="15" t="s">
        <v>162</v>
      </c>
      <c r="H66" s="16" t="s">
        <v>1649</v>
      </c>
      <c r="I66" s="16" t="s">
        <v>1702</v>
      </c>
      <c r="J66" s="16"/>
      <c r="K66" s="16"/>
      <c r="L66" s="17"/>
      <c r="M66" s="47"/>
      <c r="N66" s="48">
        <v>85</v>
      </c>
      <c r="O66" s="48">
        <v>56.7</v>
      </c>
      <c r="P66" s="51"/>
      <c r="Q66" s="48">
        <f t="shared" si="1"/>
        <v>0</v>
      </c>
      <c r="R66" s="16" t="s">
        <v>1624</v>
      </c>
      <c r="S66" s="16" t="s">
        <v>1624</v>
      </c>
      <c r="T66" s="15" t="s">
        <v>1625</v>
      </c>
      <c r="U66" s="40"/>
      <c r="V66"/>
    </row>
    <row r="67" spans="1:22" ht="15" customHeight="1" x14ac:dyDescent="0.3">
      <c r="A67" s="17">
        <v>555</v>
      </c>
      <c r="B67" s="17"/>
      <c r="C67" s="15" t="s">
        <v>492</v>
      </c>
      <c r="D67" s="16" t="s">
        <v>1703</v>
      </c>
      <c r="E67" s="15" t="s">
        <v>1704</v>
      </c>
      <c r="F67" s="16" t="s">
        <v>1154</v>
      </c>
      <c r="G67" s="15" t="s">
        <v>1155</v>
      </c>
      <c r="H67" s="16" t="s">
        <v>1693</v>
      </c>
      <c r="I67" s="16" t="s">
        <v>1705</v>
      </c>
      <c r="J67" s="16"/>
      <c r="K67" s="16"/>
      <c r="L67" s="17"/>
      <c r="M67" s="47"/>
      <c r="N67" s="48">
        <v>110</v>
      </c>
      <c r="O67" s="48">
        <v>73.399999999999991</v>
      </c>
      <c r="P67" s="51"/>
      <c r="Q67" s="48">
        <f t="shared" si="1"/>
        <v>0</v>
      </c>
      <c r="R67" s="16" t="s">
        <v>1624</v>
      </c>
      <c r="S67" s="16" t="s">
        <v>1624</v>
      </c>
      <c r="T67" s="15" t="s">
        <v>1625</v>
      </c>
      <c r="U67" s="40"/>
      <c r="V67"/>
    </row>
    <row r="68" spans="1:22" ht="15" customHeight="1" x14ac:dyDescent="0.3">
      <c r="A68" s="17">
        <v>556</v>
      </c>
      <c r="B68" s="17"/>
      <c r="C68" s="15" t="s">
        <v>492</v>
      </c>
      <c r="D68" s="16" t="s">
        <v>1703</v>
      </c>
      <c r="E68" s="15" t="s">
        <v>1704</v>
      </c>
      <c r="F68" s="16" t="s">
        <v>1154</v>
      </c>
      <c r="G68" s="15" t="s">
        <v>1155</v>
      </c>
      <c r="H68" s="16" t="s">
        <v>1622</v>
      </c>
      <c r="I68" s="16" t="s">
        <v>1706</v>
      </c>
      <c r="J68" s="16"/>
      <c r="K68" s="16"/>
      <c r="L68" s="17"/>
      <c r="M68" s="47"/>
      <c r="N68" s="48">
        <v>115</v>
      </c>
      <c r="O68" s="48">
        <v>76.699999999999989</v>
      </c>
      <c r="P68" s="51"/>
      <c r="Q68" s="48">
        <f t="shared" si="1"/>
        <v>0</v>
      </c>
      <c r="R68" s="16" t="s">
        <v>1624</v>
      </c>
      <c r="S68" s="16" t="s">
        <v>1624</v>
      </c>
      <c r="T68" s="15" t="s">
        <v>1625</v>
      </c>
      <c r="U68" s="40"/>
      <c r="V68"/>
    </row>
    <row r="69" spans="1:22" ht="15" customHeight="1" x14ac:dyDescent="0.3">
      <c r="A69" s="17">
        <v>557</v>
      </c>
      <c r="B69" s="17"/>
      <c r="C69" s="15" t="s">
        <v>492</v>
      </c>
      <c r="D69" s="16" t="s">
        <v>1703</v>
      </c>
      <c r="E69" s="15" t="s">
        <v>1704</v>
      </c>
      <c r="F69" s="16" t="s">
        <v>1154</v>
      </c>
      <c r="G69" s="15" t="s">
        <v>1155</v>
      </c>
      <c r="H69" s="16" t="s">
        <v>1626</v>
      </c>
      <c r="I69" s="16" t="s">
        <v>1707</v>
      </c>
      <c r="J69" s="16"/>
      <c r="K69" s="16"/>
      <c r="L69" s="17"/>
      <c r="M69" s="47"/>
      <c r="N69" s="48">
        <v>117.5</v>
      </c>
      <c r="O69" s="48">
        <v>78.399999999999991</v>
      </c>
      <c r="P69" s="51"/>
      <c r="Q69" s="48">
        <f t="shared" si="1"/>
        <v>0</v>
      </c>
      <c r="R69" s="16" t="s">
        <v>1624</v>
      </c>
      <c r="S69" s="16" t="s">
        <v>1624</v>
      </c>
      <c r="T69" s="15" t="s">
        <v>1625</v>
      </c>
      <c r="U69" s="40"/>
      <c r="V69"/>
    </row>
    <row r="70" spans="1:22" ht="15" customHeight="1" x14ac:dyDescent="0.3">
      <c r="A70" s="17">
        <v>558</v>
      </c>
      <c r="B70" s="17"/>
      <c r="C70" s="15" t="s">
        <v>492</v>
      </c>
      <c r="D70" s="16" t="s">
        <v>1703</v>
      </c>
      <c r="E70" s="15" t="s">
        <v>1704</v>
      </c>
      <c r="F70" s="16" t="s">
        <v>1154</v>
      </c>
      <c r="G70" s="15" t="s">
        <v>1155</v>
      </c>
      <c r="H70" s="16" t="s">
        <v>1628</v>
      </c>
      <c r="I70" s="16" t="s">
        <v>1708</v>
      </c>
      <c r="J70" s="16"/>
      <c r="K70" s="16"/>
      <c r="L70" s="17"/>
      <c r="M70" s="47"/>
      <c r="N70" s="48">
        <v>120</v>
      </c>
      <c r="O70" s="48">
        <v>80</v>
      </c>
      <c r="P70" s="51"/>
      <c r="Q70" s="48">
        <f t="shared" si="1"/>
        <v>0</v>
      </c>
      <c r="R70" s="16" t="s">
        <v>1624</v>
      </c>
      <c r="S70" s="16" t="s">
        <v>1624</v>
      </c>
      <c r="T70" s="15" t="s">
        <v>1625</v>
      </c>
      <c r="U70" s="40"/>
      <c r="V70"/>
    </row>
    <row r="71" spans="1:22" ht="15" customHeight="1" x14ac:dyDescent="0.3">
      <c r="A71" s="17">
        <v>559</v>
      </c>
      <c r="B71" s="17"/>
      <c r="C71" s="15" t="s">
        <v>492</v>
      </c>
      <c r="D71" s="16" t="s">
        <v>1703</v>
      </c>
      <c r="E71" s="15" t="s">
        <v>1704</v>
      </c>
      <c r="F71" s="16" t="s">
        <v>1154</v>
      </c>
      <c r="G71" s="15" t="s">
        <v>1155</v>
      </c>
      <c r="H71" s="16" t="s">
        <v>1630</v>
      </c>
      <c r="I71" s="16" t="s">
        <v>1709</v>
      </c>
      <c r="J71" s="16"/>
      <c r="K71" s="16"/>
      <c r="L71" s="17"/>
      <c r="M71" s="47"/>
      <c r="N71" s="48">
        <v>130</v>
      </c>
      <c r="O71" s="48">
        <v>86.699999999999989</v>
      </c>
      <c r="P71" s="51"/>
      <c r="Q71" s="48">
        <f t="shared" si="1"/>
        <v>0</v>
      </c>
      <c r="R71" s="16" t="s">
        <v>1624</v>
      </c>
      <c r="S71" s="16" t="s">
        <v>1624</v>
      </c>
      <c r="T71" s="15" t="s">
        <v>1625</v>
      </c>
      <c r="U71" s="40"/>
      <c r="V71"/>
    </row>
    <row r="72" spans="1:22" ht="15" customHeight="1" x14ac:dyDescent="0.3">
      <c r="A72" s="17">
        <v>560</v>
      </c>
      <c r="B72" s="17"/>
      <c r="C72" s="15" t="s">
        <v>492</v>
      </c>
      <c r="D72" s="16" t="s">
        <v>1703</v>
      </c>
      <c r="E72" s="15" t="s">
        <v>1704</v>
      </c>
      <c r="F72" s="16" t="s">
        <v>1154</v>
      </c>
      <c r="G72" s="15" t="s">
        <v>1155</v>
      </c>
      <c r="H72" s="16" t="s">
        <v>1632</v>
      </c>
      <c r="I72" s="16" t="s">
        <v>1710</v>
      </c>
      <c r="J72" s="16"/>
      <c r="K72" s="16"/>
      <c r="L72" s="17"/>
      <c r="M72" s="47"/>
      <c r="N72" s="48">
        <v>140</v>
      </c>
      <c r="O72" s="48">
        <v>93.399999999999991</v>
      </c>
      <c r="P72" s="51"/>
      <c r="Q72" s="48">
        <f t="shared" si="1"/>
        <v>0</v>
      </c>
      <c r="R72" s="16" t="s">
        <v>1624</v>
      </c>
      <c r="S72" s="16" t="s">
        <v>1624</v>
      </c>
      <c r="T72" s="15" t="s">
        <v>1625</v>
      </c>
      <c r="U72" s="40"/>
      <c r="V72"/>
    </row>
    <row r="73" spans="1:22" ht="15" customHeight="1" x14ac:dyDescent="0.3">
      <c r="A73" s="17">
        <v>561</v>
      </c>
      <c r="B73" s="17"/>
      <c r="C73" s="15" t="s">
        <v>492</v>
      </c>
      <c r="D73" s="16" t="s">
        <v>1703</v>
      </c>
      <c r="E73" s="15" t="s">
        <v>1704</v>
      </c>
      <c r="F73" s="16" t="s">
        <v>1154</v>
      </c>
      <c r="G73" s="15" t="s">
        <v>1155</v>
      </c>
      <c r="H73" s="16" t="s">
        <v>1634</v>
      </c>
      <c r="I73" s="16" t="s">
        <v>1711</v>
      </c>
      <c r="J73" s="16"/>
      <c r="K73" s="16"/>
      <c r="L73" s="17"/>
      <c r="M73" s="47"/>
      <c r="N73" s="48">
        <v>150</v>
      </c>
      <c r="O73" s="48">
        <v>100</v>
      </c>
      <c r="P73" s="51"/>
      <c r="Q73" s="48">
        <f t="shared" si="1"/>
        <v>0</v>
      </c>
      <c r="R73" s="16" t="s">
        <v>1624</v>
      </c>
      <c r="S73" s="16" t="s">
        <v>1624</v>
      </c>
      <c r="T73" s="15" t="s">
        <v>1625</v>
      </c>
      <c r="U73" s="40"/>
      <c r="V73"/>
    </row>
    <row r="74" spans="1:22" ht="15" customHeight="1" x14ac:dyDescent="0.3">
      <c r="A74" s="17">
        <v>562</v>
      </c>
      <c r="B74" s="17"/>
      <c r="C74" s="15" t="s">
        <v>492</v>
      </c>
      <c r="D74" s="16" t="s">
        <v>1703</v>
      </c>
      <c r="E74" s="15" t="s">
        <v>1704</v>
      </c>
      <c r="F74" s="16" t="s">
        <v>1154</v>
      </c>
      <c r="G74" s="15" t="s">
        <v>1155</v>
      </c>
      <c r="H74" s="16" t="s">
        <v>1636</v>
      </c>
      <c r="I74" s="16" t="s">
        <v>1712</v>
      </c>
      <c r="J74" s="16"/>
      <c r="K74" s="16"/>
      <c r="L74" s="17"/>
      <c r="M74" s="47"/>
      <c r="N74" s="48">
        <v>160</v>
      </c>
      <c r="O74" s="48">
        <v>106.69999999999999</v>
      </c>
      <c r="P74" s="51"/>
      <c r="Q74" s="48">
        <f t="shared" si="1"/>
        <v>0</v>
      </c>
      <c r="R74" s="16" t="s">
        <v>1624</v>
      </c>
      <c r="S74" s="16" t="s">
        <v>1624</v>
      </c>
      <c r="T74" s="15" t="s">
        <v>1625</v>
      </c>
      <c r="U74" s="40"/>
      <c r="V74"/>
    </row>
    <row r="75" spans="1:22" ht="15" customHeight="1" x14ac:dyDescent="0.3">
      <c r="A75" s="17">
        <v>563</v>
      </c>
      <c r="B75" s="17"/>
      <c r="C75" s="15" t="s">
        <v>492</v>
      </c>
      <c r="D75" s="16" t="s">
        <v>1703</v>
      </c>
      <c r="E75" s="15" t="s">
        <v>1704</v>
      </c>
      <c r="F75" s="16" t="s">
        <v>1154</v>
      </c>
      <c r="G75" s="15" t="s">
        <v>1155</v>
      </c>
      <c r="H75" s="16" t="s">
        <v>1649</v>
      </c>
      <c r="I75" s="16" t="s">
        <v>1713</v>
      </c>
      <c r="J75" s="16"/>
      <c r="K75" s="16"/>
      <c r="L75" s="17"/>
      <c r="M75" s="47"/>
      <c r="N75" s="48">
        <v>170</v>
      </c>
      <c r="O75" s="48">
        <v>113.39999999999999</v>
      </c>
      <c r="P75" s="51"/>
      <c r="Q75" s="48">
        <f t="shared" si="1"/>
        <v>0</v>
      </c>
      <c r="R75" s="16" t="s">
        <v>1624</v>
      </c>
      <c r="S75" s="16" t="s">
        <v>1624</v>
      </c>
      <c r="T75" s="15" t="s">
        <v>1625</v>
      </c>
      <c r="U75" s="40"/>
      <c r="V75"/>
    </row>
    <row r="76" spans="1:22" x14ac:dyDescent="0.3">
      <c r="A76" s="17">
        <v>564</v>
      </c>
      <c r="B76" s="17"/>
      <c r="C76" s="15" t="s">
        <v>1033</v>
      </c>
      <c r="D76" s="16" t="s">
        <v>1714</v>
      </c>
      <c r="E76" s="15" t="s">
        <v>1715</v>
      </c>
      <c r="F76" s="16" t="s">
        <v>1154</v>
      </c>
      <c r="G76" s="15" t="s">
        <v>1155</v>
      </c>
      <c r="H76" s="15" t="s">
        <v>36</v>
      </c>
      <c r="I76" s="16" t="s">
        <v>1716</v>
      </c>
      <c r="J76" s="16"/>
      <c r="K76" s="16"/>
      <c r="L76" s="17"/>
      <c r="M76" s="47"/>
      <c r="N76" s="48">
        <v>100</v>
      </c>
      <c r="O76" s="48">
        <v>66.699999999999989</v>
      </c>
      <c r="P76" s="51"/>
      <c r="Q76" s="48">
        <f t="shared" ref="Q76:Q89" si="2">O76*P76</f>
        <v>0</v>
      </c>
      <c r="R76" s="15" t="s">
        <v>1717</v>
      </c>
      <c r="S76" s="15" t="s">
        <v>1717</v>
      </c>
      <c r="T76" s="15" t="s">
        <v>1625</v>
      </c>
      <c r="U76" s="40"/>
      <c r="V76"/>
    </row>
    <row r="77" spans="1:22" x14ac:dyDescent="0.3">
      <c r="A77" s="17">
        <v>565</v>
      </c>
      <c r="B77" s="17"/>
      <c r="C77" s="15" t="s">
        <v>1033</v>
      </c>
      <c r="D77" s="16" t="s">
        <v>1714</v>
      </c>
      <c r="E77" s="15" t="s">
        <v>1715</v>
      </c>
      <c r="F77" s="16" t="s">
        <v>1154</v>
      </c>
      <c r="G77" s="15" t="s">
        <v>1155</v>
      </c>
      <c r="H77" s="15" t="s">
        <v>38</v>
      </c>
      <c r="I77" s="16" t="s">
        <v>1718</v>
      </c>
      <c r="J77" s="16"/>
      <c r="K77" s="16"/>
      <c r="L77" s="17"/>
      <c r="M77" s="47"/>
      <c r="N77" s="48">
        <v>110</v>
      </c>
      <c r="O77" s="48">
        <v>73.399999999999991</v>
      </c>
      <c r="P77" s="51"/>
      <c r="Q77" s="48">
        <f t="shared" si="2"/>
        <v>0</v>
      </c>
      <c r="R77" s="15" t="s">
        <v>1717</v>
      </c>
      <c r="S77" s="15" t="s">
        <v>1717</v>
      </c>
      <c r="T77" s="15" t="s">
        <v>1625</v>
      </c>
      <c r="U77" s="40"/>
      <c r="V77"/>
    </row>
    <row r="78" spans="1:22" x14ac:dyDescent="0.3">
      <c r="A78" s="17">
        <v>566</v>
      </c>
      <c r="B78" s="17"/>
      <c r="C78" s="15" t="s">
        <v>1033</v>
      </c>
      <c r="D78" s="16" t="s">
        <v>1719</v>
      </c>
      <c r="E78" s="15" t="s">
        <v>1720</v>
      </c>
      <c r="F78" s="16" t="s">
        <v>1154</v>
      </c>
      <c r="G78" s="15" t="s">
        <v>1155</v>
      </c>
      <c r="H78" s="16" t="s">
        <v>1721</v>
      </c>
      <c r="I78" s="16" t="s">
        <v>1722</v>
      </c>
      <c r="J78" s="16"/>
      <c r="K78" s="16"/>
      <c r="L78" s="17"/>
      <c r="M78" s="47"/>
      <c r="N78" s="48">
        <v>90</v>
      </c>
      <c r="O78" s="48">
        <v>60</v>
      </c>
      <c r="P78" s="51"/>
      <c r="Q78" s="48">
        <f t="shared" si="2"/>
        <v>0</v>
      </c>
      <c r="R78" s="15" t="s">
        <v>1717</v>
      </c>
      <c r="S78" s="15" t="s">
        <v>1717</v>
      </c>
      <c r="T78" s="15" t="s">
        <v>1625</v>
      </c>
      <c r="U78" s="40"/>
      <c r="V78"/>
    </row>
    <row r="79" spans="1:22" x14ac:dyDescent="0.3">
      <c r="A79" s="17">
        <v>567</v>
      </c>
      <c r="B79" s="17"/>
      <c r="C79" s="15" t="s">
        <v>1033</v>
      </c>
      <c r="D79" s="16" t="s">
        <v>1719</v>
      </c>
      <c r="E79" s="15" t="s">
        <v>1720</v>
      </c>
      <c r="F79" s="16" t="s">
        <v>1154</v>
      </c>
      <c r="G79" s="15" t="s">
        <v>1155</v>
      </c>
      <c r="H79" s="16" t="s">
        <v>1723</v>
      </c>
      <c r="I79" s="16" t="s">
        <v>1724</v>
      </c>
      <c r="J79" s="16"/>
      <c r="K79" s="16"/>
      <c r="L79" s="17"/>
      <c r="M79" s="47"/>
      <c r="N79" s="48">
        <v>100</v>
      </c>
      <c r="O79" s="48">
        <v>66.699999999999989</v>
      </c>
      <c r="P79" s="51"/>
      <c r="Q79" s="48">
        <f t="shared" si="2"/>
        <v>0</v>
      </c>
      <c r="R79" s="15" t="s">
        <v>1717</v>
      </c>
      <c r="S79" s="15" t="s">
        <v>1717</v>
      </c>
      <c r="T79" s="15" t="s">
        <v>1625</v>
      </c>
      <c r="U79" s="40"/>
      <c r="V79"/>
    </row>
    <row r="80" spans="1:22" x14ac:dyDescent="0.3">
      <c r="A80" s="17">
        <v>568</v>
      </c>
      <c r="B80" s="17"/>
      <c r="C80" s="15" t="s">
        <v>1033</v>
      </c>
      <c r="D80" s="16" t="s">
        <v>1719</v>
      </c>
      <c r="E80" s="15" t="s">
        <v>1720</v>
      </c>
      <c r="F80" s="16" t="s">
        <v>1154</v>
      </c>
      <c r="G80" s="15" t="s">
        <v>1155</v>
      </c>
      <c r="H80" s="16" t="s">
        <v>1725</v>
      </c>
      <c r="I80" s="16" t="s">
        <v>1726</v>
      </c>
      <c r="J80" s="16"/>
      <c r="K80" s="16"/>
      <c r="L80" s="17"/>
      <c r="M80" s="47"/>
      <c r="N80" s="48">
        <v>110</v>
      </c>
      <c r="O80" s="48">
        <v>73.399999999999991</v>
      </c>
      <c r="P80" s="51"/>
      <c r="Q80" s="48">
        <f t="shared" si="2"/>
        <v>0</v>
      </c>
      <c r="R80" s="15" t="s">
        <v>1717</v>
      </c>
      <c r="S80" s="15" t="s">
        <v>1717</v>
      </c>
      <c r="T80" s="15" t="s">
        <v>1625</v>
      </c>
      <c r="U80" s="40"/>
      <c r="V80"/>
    </row>
    <row r="81" spans="1:22" x14ac:dyDescent="0.3">
      <c r="A81" s="17">
        <v>569</v>
      </c>
      <c r="B81" s="17"/>
      <c r="C81" s="15" t="s">
        <v>1033</v>
      </c>
      <c r="D81" s="16" t="s">
        <v>1719</v>
      </c>
      <c r="E81" s="15" t="s">
        <v>1720</v>
      </c>
      <c r="F81" s="16" t="s">
        <v>1154</v>
      </c>
      <c r="G81" s="15" t="s">
        <v>1155</v>
      </c>
      <c r="H81" s="16" t="s">
        <v>1727</v>
      </c>
      <c r="I81" s="16" t="s">
        <v>1728</v>
      </c>
      <c r="J81" s="16"/>
      <c r="K81" s="16"/>
      <c r="L81" s="17"/>
      <c r="M81" s="47"/>
      <c r="N81" s="48">
        <v>120</v>
      </c>
      <c r="O81" s="48">
        <v>80</v>
      </c>
      <c r="P81" s="51"/>
      <c r="Q81" s="48">
        <f t="shared" si="2"/>
        <v>0</v>
      </c>
      <c r="R81" s="15" t="s">
        <v>1717</v>
      </c>
      <c r="S81" s="15" t="s">
        <v>1717</v>
      </c>
      <c r="T81" s="15" t="s">
        <v>1625</v>
      </c>
      <c r="U81" s="40"/>
      <c r="V81"/>
    </row>
    <row r="82" spans="1:22" x14ac:dyDescent="0.3">
      <c r="A82" s="17">
        <v>570</v>
      </c>
      <c r="B82" s="17"/>
      <c r="C82" s="15" t="s">
        <v>1033</v>
      </c>
      <c r="D82" s="16" t="s">
        <v>1719</v>
      </c>
      <c r="E82" s="15" t="s">
        <v>1720</v>
      </c>
      <c r="F82" s="16" t="s">
        <v>1154</v>
      </c>
      <c r="G82" s="15" t="s">
        <v>1155</v>
      </c>
      <c r="H82" s="16" t="s">
        <v>1729</v>
      </c>
      <c r="I82" s="16" t="s">
        <v>1730</v>
      </c>
      <c r="J82" s="16"/>
      <c r="K82" s="16"/>
      <c r="L82" s="17"/>
      <c r="M82" s="47"/>
      <c r="N82" s="48">
        <v>130</v>
      </c>
      <c r="O82" s="48">
        <v>86.699999999999989</v>
      </c>
      <c r="P82" s="51"/>
      <c r="Q82" s="48">
        <f t="shared" si="2"/>
        <v>0</v>
      </c>
      <c r="R82" s="15" t="s">
        <v>1717</v>
      </c>
      <c r="S82" s="15" t="s">
        <v>1717</v>
      </c>
      <c r="T82" s="15" t="s">
        <v>1625</v>
      </c>
      <c r="U82" s="40"/>
      <c r="V82"/>
    </row>
    <row r="83" spans="1:22" x14ac:dyDescent="0.3">
      <c r="A83" s="17">
        <v>571</v>
      </c>
      <c r="B83" s="17"/>
      <c r="C83" s="15" t="s">
        <v>1033</v>
      </c>
      <c r="D83" s="16" t="s">
        <v>1731</v>
      </c>
      <c r="E83" s="15" t="s">
        <v>1732</v>
      </c>
      <c r="F83" s="16" t="s">
        <v>1154</v>
      </c>
      <c r="G83" s="15" t="s">
        <v>1155</v>
      </c>
      <c r="H83" s="15" t="s">
        <v>36</v>
      </c>
      <c r="I83" s="16" t="s">
        <v>1733</v>
      </c>
      <c r="J83" s="16"/>
      <c r="K83" s="16"/>
      <c r="L83" s="17"/>
      <c r="M83" s="47"/>
      <c r="N83" s="48">
        <v>140</v>
      </c>
      <c r="O83" s="48">
        <v>93.399999999999991</v>
      </c>
      <c r="P83" s="51"/>
      <c r="Q83" s="48">
        <f t="shared" si="2"/>
        <v>0</v>
      </c>
      <c r="R83" s="15" t="s">
        <v>1717</v>
      </c>
      <c r="S83" s="15" t="s">
        <v>1717</v>
      </c>
      <c r="T83" s="15" t="s">
        <v>1625</v>
      </c>
      <c r="U83" s="40"/>
      <c r="V83"/>
    </row>
    <row r="84" spans="1:22" x14ac:dyDescent="0.3">
      <c r="A84" s="17">
        <v>572</v>
      </c>
      <c r="B84" s="17"/>
      <c r="C84" s="15" t="s">
        <v>1033</v>
      </c>
      <c r="D84" s="16" t="s">
        <v>1731</v>
      </c>
      <c r="E84" s="15" t="s">
        <v>1732</v>
      </c>
      <c r="F84" s="16" t="s">
        <v>1154</v>
      </c>
      <c r="G84" s="15" t="s">
        <v>1155</v>
      </c>
      <c r="H84" s="15" t="s">
        <v>38</v>
      </c>
      <c r="I84" s="16" t="s">
        <v>1734</v>
      </c>
      <c r="J84" s="16"/>
      <c r="K84" s="16"/>
      <c r="L84" s="17"/>
      <c r="M84" s="47"/>
      <c r="N84" s="48">
        <v>150</v>
      </c>
      <c r="O84" s="48">
        <v>100</v>
      </c>
      <c r="P84" s="51"/>
      <c r="Q84" s="48">
        <f t="shared" si="2"/>
        <v>0</v>
      </c>
      <c r="R84" s="15" t="s">
        <v>1717</v>
      </c>
      <c r="S84" s="15" t="s">
        <v>1717</v>
      </c>
      <c r="T84" s="15" t="s">
        <v>1625</v>
      </c>
      <c r="U84" s="40"/>
      <c r="V84"/>
    </row>
    <row r="85" spans="1:22" x14ac:dyDescent="0.3">
      <c r="A85" s="17">
        <v>573</v>
      </c>
      <c r="B85" s="17"/>
      <c r="C85" s="15" t="s">
        <v>1033</v>
      </c>
      <c r="D85" s="16" t="s">
        <v>1735</v>
      </c>
      <c r="E85" s="15" t="s">
        <v>1736</v>
      </c>
      <c r="F85" s="16" t="s">
        <v>1154</v>
      </c>
      <c r="G85" s="15" t="s">
        <v>1155</v>
      </c>
      <c r="H85" s="16" t="s">
        <v>1721</v>
      </c>
      <c r="I85" s="16" t="s">
        <v>1737</v>
      </c>
      <c r="J85" s="16"/>
      <c r="K85" s="16"/>
      <c r="L85" s="17"/>
      <c r="M85" s="47"/>
      <c r="N85" s="48">
        <v>90</v>
      </c>
      <c r="O85" s="48">
        <v>60</v>
      </c>
      <c r="P85" s="51"/>
      <c r="Q85" s="48">
        <f t="shared" si="2"/>
        <v>0</v>
      </c>
      <c r="R85" s="15" t="s">
        <v>1717</v>
      </c>
      <c r="S85" s="15" t="s">
        <v>1717</v>
      </c>
      <c r="T85" s="15" t="s">
        <v>1625</v>
      </c>
      <c r="U85" s="40"/>
      <c r="V85"/>
    </row>
    <row r="86" spans="1:22" x14ac:dyDescent="0.3">
      <c r="A86" s="17">
        <v>574</v>
      </c>
      <c r="B86" s="17"/>
      <c r="C86" s="15" t="s">
        <v>1033</v>
      </c>
      <c r="D86" s="16" t="s">
        <v>1735</v>
      </c>
      <c r="E86" s="15" t="s">
        <v>1736</v>
      </c>
      <c r="F86" s="16" t="s">
        <v>1154</v>
      </c>
      <c r="G86" s="15" t="s">
        <v>1155</v>
      </c>
      <c r="H86" s="16" t="s">
        <v>1723</v>
      </c>
      <c r="I86" s="16" t="s">
        <v>1738</v>
      </c>
      <c r="J86" s="16"/>
      <c r="K86" s="16"/>
      <c r="L86" s="17"/>
      <c r="M86" s="47"/>
      <c r="N86" s="48">
        <v>100</v>
      </c>
      <c r="O86" s="48">
        <v>66.699999999999989</v>
      </c>
      <c r="P86" s="51"/>
      <c r="Q86" s="48">
        <f t="shared" si="2"/>
        <v>0</v>
      </c>
      <c r="R86" s="15" t="s">
        <v>1717</v>
      </c>
      <c r="S86" s="15" t="s">
        <v>1717</v>
      </c>
      <c r="T86" s="15" t="s">
        <v>1625</v>
      </c>
      <c r="U86" s="40"/>
      <c r="V86"/>
    </row>
    <row r="87" spans="1:22" x14ac:dyDescent="0.3">
      <c r="A87" s="17">
        <v>575</v>
      </c>
      <c r="B87" s="17"/>
      <c r="C87" s="15" t="s">
        <v>1033</v>
      </c>
      <c r="D87" s="16" t="s">
        <v>1735</v>
      </c>
      <c r="E87" s="15" t="s">
        <v>1736</v>
      </c>
      <c r="F87" s="16" t="s">
        <v>1154</v>
      </c>
      <c r="G87" s="15" t="s">
        <v>1155</v>
      </c>
      <c r="H87" s="16" t="s">
        <v>1725</v>
      </c>
      <c r="I87" s="16" t="s">
        <v>1739</v>
      </c>
      <c r="J87" s="16"/>
      <c r="K87" s="16"/>
      <c r="L87" s="17"/>
      <c r="M87" s="47"/>
      <c r="N87" s="48">
        <v>110</v>
      </c>
      <c r="O87" s="48">
        <v>73.399999999999991</v>
      </c>
      <c r="P87" s="51"/>
      <c r="Q87" s="48">
        <f t="shared" si="2"/>
        <v>0</v>
      </c>
      <c r="R87" s="15" t="s">
        <v>1717</v>
      </c>
      <c r="S87" s="15" t="s">
        <v>1717</v>
      </c>
      <c r="T87" s="15" t="s">
        <v>1625</v>
      </c>
      <c r="U87" s="40"/>
      <c r="V87"/>
    </row>
    <row r="88" spans="1:22" x14ac:dyDescent="0.3">
      <c r="A88" s="17">
        <v>576</v>
      </c>
      <c r="B88" s="17"/>
      <c r="C88" s="15" t="s">
        <v>1033</v>
      </c>
      <c r="D88" s="16" t="s">
        <v>1735</v>
      </c>
      <c r="E88" s="15" t="s">
        <v>1736</v>
      </c>
      <c r="F88" s="16" t="s">
        <v>1154</v>
      </c>
      <c r="G88" s="15" t="s">
        <v>1155</v>
      </c>
      <c r="H88" s="16" t="s">
        <v>1727</v>
      </c>
      <c r="I88" s="16" t="s">
        <v>1740</v>
      </c>
      <c r="J88" s="16"/>
      <c r="K88" s="16"/>
      <c r="L88" s="17"/>
      <c r="M88" s="47"/>
      <c r="N88" s="48">
        <v>120</v>
      </c>
      <c r="O88" s="48">
        <v>80</v>
      </c>
      <c r="P88" s="51"/>
      <c r="Q88" s="48">
        <f t="shared" si="2"/>
        <v>0</v>
      </c>
      <c r="R88" s="15" t="s">
        <v>1717</v>
      </c>
      <c r="S88" s="15" t="s">
        <v>1717</v>
      </c>
      <c r="T88" s="15" t="s">
        <v>1625</v>
      </c>
      <c r="U88" s="40"/>
      <c r="V88"/>
    </row>
    <row r="89" spans="1:22" x14ac:dyDescent="0.3">
      <c r="A89" s="17">
        <v>577</v>
      </c>
      <c r="B89" s="17"/>
      <c r="C89" s="15" t="s">
        <v>1033</v>
      </c>
      <c r="D89" s="16" t="s">
        <v>1735</v>
      </c>
      <c r="E89" s="15" t="s">
        <v>1736</v>
      </c>
      <c r="F89" s="16" t="s">
        <v>1154</v>
      </c>
      <c r="G89" s="15" t="s">
        <v>1155</v>
      </c>
      <c r="H89" s="16" t="s">
        <v>1729</v>
      </c>
      <c r="I89" s="16" t="s">
        <v>1741</v>
      </c>
      <c r="J89" s="16"/>
      <c r="K89" s="16"/>
      <c r="L89" s="17"/>
      <c r="M89" s="47"/>
      <c r="N89" s="48">
        <v>130</v>
      </c>
      <c r="O89" s="48">
        <v>86.699999999999989</v>
      </c>
      <c r="P89" s="51"/>
      <c r="Q89" s="48">
        <f t="shared" si="2"/>
        <v>0</v>
      </c>
      <c r="R89" s="15" t="s">
        <v>1717</v>
      </c>
      <c r="S89" s="15" t="s">
        <v>1717</v>
      </c>
      <c r="T89" s="15" t="s">
        <v>1625</v>
      </c>
      <c r="U89" s="40"/>
      <c r="V89"/>
    </row>
  </sheetData>
  <autoFilter ref="A11:V89" xr:uid="{00000000-0001-0000-0000-000000000000}"/>
  <customSheetViews>
    <customSheetView guid="{E0BAB3EC-1201-4193-B59E-5B286709951D}" scale="80" showGridLines="0" showAutoFilter="1" hiddenColumns="1" state="hidden">
      <selection activeCell="A12" sqref="A12:Q89"/>
      <colBreaks count="1" manualBreakCount="1">
        <brk id="16" max="1048575" man="1"/>
      </colBreaks>
      <pageMargins left="0" right="0" top="0" bottom="0" header="0" footer="0"/>
      <pageSetup paperSize="9" scale="60" orientation="landscape" r:id="rId1"/>
      <autoFilter ref="A11:V89" xr:uid="{8D5245A7-55FB-41E9-BC41-91EB2B9CF8BB}"/>
    </customSheetView>
  </customSheetViews>
  <pageMargins left="0.70866141732283472" right="0.70866141732283472" top="0.74803149606299213" bottom="0.74803149606299213" header="0.31496062992125984" footer="0.31496062992125984"/>
  <pageSetup paperSize="9" scale="60" orientation="landscape" r:id="rId2"/>
  <colBreaks count="1" manualBreakCount="1">
    <brk id="16" max="1048575" man="1"/>
  </colBrea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D52"/>
  <sheetViews>
    <sheetView showGridLines="0" zoomScale="70" zoomScaleNormal="70" workbookViewId="0">
      <selection activeCell="Q37" sqref="Q37:Q38"/>
    </sheetView>
  </sheetViews>
  <sheetFormatPr defaultColWidth="8.88671875" defaultRowHeight="14.4" x14ac:dyDescent="0.3"/>
  <cols>
    <col min="1" max="1" width="1.33203125" customWidth="1"/>
    <col min="2" max="2" width="2.109375" customWidth="1"/>
    <col min="3" max="3" width="33.6640625" customWidth="1"/>
    <col min="4" max="4" width="13.44140625" customWidth="1"/>
    <col min="5" max="5" width="22.33203125" customWidth="1"/>
    <col min="6" max="6" width="2.33203125" customWidth="1"/>
    <col min="7" max="7" width="5.44140625" customWidth="1"/>
    <col min="8" max="8" width="3.44140625" customWidth="1"/>
    <col min="9" max="9" width="33.6640625" customWidth="1"/>
    <col min="10" max="10" width="13.44140625" customWidth="1"/>
    <col min="11" max="11" width="14" customWidth="1"/>
    <col min="12" max="12" width="2.33203125" customWidth="1"/>
    <col min="13" max="13" width="0.88671875" customWidth="1"/>
    <col min="14" max="14" width="2.33203125" customWidth="1"/>
    <col min="15" max="15" width="33.6640625" customWidth="1"/>
    <col min="16" max="16" width="13.44140625" customWidth="1"/>
    <col min="17" max="17" width="14" customWidth="1"/>
    <col min="18" max="18" width="2.44140625" customWidth="1"/>
    <col min="19" max="19" width="0.88671875" customWidth="1"/>
    <col min="20" max="20" width="2.33203125" customWidth="1"/>
    <col min="21" max="21" width="33.6640625" customWidth="1"/>
    <col min="22" max="22" width="13.44140625" customWidth="1"/>
    <col min="23" max="23" width="14" customWidth="1"/>
    <col min="24" max="24" width="2.44140625" customWidth="1"/>
    <col min="25" max="25" width="0.88671875" customWidth="1"/>
    <col min="26" max="26" width="2.44140625" customWidth="1"/>
    <col min="27" max="27" width="33.6640625" customWidth="1"/>
    <col min="28" max="28" width="13.44140625" customWidth="1"/>
    <col min="29" max="29" width="14" customWidth="1"/>
    <col min="30" max="30" width="2.33203125" customWidth="1"/>
    <col min="36" max="36" width="24" bestFit="1" customWidth="1"/>
  </cols>
  <sheetData>
    <row r="1" spans="2:30" ht="8.25" customHeight="1" x14ac:dyDescent="0.3"/>
    <row r="2" spans="2:30" x14ac:dyDescent="0.3">
      <c r="B2" s="18"/>
      <c r="C2" s="19"/>
      <c r="D2" s="19"/>
      <c r="E2" s="19"/>
      <c r="F2" s="20"/>
      <c r="H2" s="18"/>
      <c r="I2" s="19"/>
      <c r="J2" s="19"/>
      <c r="K2" s="19"/>
      <c r="L2" s="20"/>
      <c r="N2" s="18"/>
      <c r="O2" s="19"/>
      <c r="P2" s="19"/>
      <c r="Q2" s="19"/>
      <c r="R2" s="20"/>
      <c r="T2" s="18"/>
      <c r="U2" s="19"/>
      <c r="V2" s="19"/>
      <c r="W2" s="19"/>
      <c r="X2" s="20"/>
      <c r="Z2" s="18"/>
      <c r="AA2" s="19"/>
      <c r="AB2" s="19"/>
      <c r="AC2" s="19"/>
      <c r="AD2" s="20"/>
    </row>
    <row r="3" spans="2:30" x14ac:dyDescent="0.3">
      <c r="B3" s="21"/>
      <c r="D3" s="22"/>
      <c r="E3" s="22"/>
      <c r="F3" s="23"/>
      <c r="H3" s="21"/>
      <c r="I3" s="22"/>
      <c r="J3" s="22"/>
      <c r="K3" s="22"/>
      <c r="L3" s="23"/>
      <c r="N3" s="21"/>
      <c r="O3" s="22"/>
      <c r="P3" s="22"/>
      <c r="Q3" s="22"/>
      <c r="R3" s="23"/>
      <c r="T3" s="21"/>
      <c r="U3" s="22"/>
      <c r="V3" s="22"/>
      <c r="W3" s="22"/>
      <c r="X3" s="23"/>
      <c r="Z3" s="21"/>
      <c r="AA3" s="22"/>
      <c r="AB3" s="22"/>
      <c r="AC3" s="22"/>
      <c r="AD3" s="23"/>
    </row>
    <row r="4" spans="2:30" x14ac:dyDescent="0.3">
      <c r="B4" s="21"/>
      <c r="C4" s="22"/>
      <c r="D4" s="22"/>
      <c r="E4" s="22"/>
      <c r="F4" s="23"/>
      <c r="H4" s="21"/>
      <c r="I4" s="22"/>
      <c r="J4" s="22"/>
      <c r="K4" s="22"/>
      <c r="L4" s="23"/>
      <c r="N4" s="21"/>
      <c r="O4" s="22"/>
      <c r="P4" s="22"/>
      <c r="Q4" s="22"/>
      <c r="R4" s="23"/>
      <c r="T4" s="21"/>
      <c r="U4" s="22"/>
      <c r="V4" s="22"/>
      <c r="W4" s="22"/>
      <c r="X4" s="23"/>
      <c r="Z4" s="21"/>
      <c r="AA4" s="22"/>
      <c r="AB4" s="22"/>
      <c r="AC4" s="22"/>
      <c r="AD4" s="23"/>
    </row>
    <row r="5" spans="2:30" x14ac:dyDescent="0.3">
      <c r="B5" s="21"/>
      <c r="C5" s="22"/>
      <c r="D5" s="22"/>
      <c r="E5" s="22"/>
      <c r="F5" s="23"/>
      <c r="H5" s="21"/>
      <c r="I5" s="22"/>
      <c r="J5" s="22"/>
      <c r="K5" s="22"/>
      <c r="L5" s="23"/>
      <c r="N5" s="21"/>
      <c r="O5" s="22"/>
      <c r="P5" s="22"/>
      <c r="Q5" s="22"/>
      <c r="R5" s="23"/>
      <c r="T5" s="21"/>
      <c r="U5" s="22"/>
      <c r="V5" s="22"/>
      <c r="W5" s="22"/>
      <c r="X5" s="23"/>
      <c r="Z5" s="21"/>
      <c r="AA5" s="22"/>
      <c r="AB5" s="22"/>
      <c r="AC5" s="22"/>
      <c r="AD5" s="23"/>
    </row>
    <row r="6" spans="2:30" x14ac:dyDescent="0.3">
      <c r="B6" s="21"/>
      <c r="C6" s="22"/>
      <c r="D6" s="22"/>
      <c r="E6" s="22"/>
      <c r="F6" s="23"/>
      <c r="H6" s="21"/>
      <c r="I6" s="22"/>
      <c r="J6" s="22"/>
      <c r="K6" s="22"/>
      <c r="L6" s="23"/>
      <c r="N6" s="21"/>
      <c r="O6" s="22"/>
      <c r="P6" s="22"/>
      <c r="Q6" s="22"/>
      <c r="R6" s="23"/>
      <c r="T6" s="21"/>
      <c r="U6" s="22"/>
      <c r="V6" s="22"/>
      <c r="W6" s="22"/>
      <c r="X6" s="23"/>
      <c r="Z6" s="21"/>
      <c r="AA6" s="22"/>
      <c r="AB6" s="22"/>
      <c r="AC6" s="22"/>
      <c r="AD6" s="23"/>
    </row>
    <row r="7" spans="2:30" x14ac:dyDescent="0.3">
      <c r="B7" s="21"/>
      <c r="C7" s="22"/>
      <c r="D7" s="22"/>
      <c r="E7" s="22"/>
      <c r="F7" s="23"/>
      <c r="H7" s="21"/>
      <c r="I7" s="22"/>
      <c r="J7" s="22"/>
      <c r="K7" s="22"/>
      <c r="L7" s="23"/>
      <c r="N7" s="21"/>
      <c r="O7" s="22"/>
      <c r="P7" s="22"/>
      <c r="Q7" s="22"/>
      <c r="R7" s="23"/>
      <c r="T7" s="21"/>
      <c r="U7" s="22"/>
      <c r="V7" s="22"/>
      <c r="W7" s="22"/>
      <c r="X7" s="23"/>
      <c r="Z7" s="21"/>
      <c r="AA7" s="22"/>
      <c r="AB7" s="22"/>
      <c r="AC7" s="22"/>
      <c r="AD7" s="23"/>
    </row>
    <row r="8" spans="2:30" ht="15" thickBot="1" x14ac:dyDescent="0.35">
      <c r="B8" s="21"/>
      <c r="C8" s="22"/>
      <c r="D8" s="22"/>
      <c r="E8" s="22"/>
      <c r="F8" s="23"/>
      <c r="H8" s="21"/>
      <c r="I8" s="22"/>
      <c r="J8" s="22"/>
      <c r="K8" s="22"/>
      <c r="L8" s="23"/>
      <c r="N8" s="21"/>
      <c r="O8" s="22"/>
      <c r="P8" s="22"/>
      <c r="Q8" s="22"/>
      <c r="R8" s="23"/>
      <c r="T8" s="21"/>
      <c r="U8" s="22"/>
      <c r="V8" s="22"/>
      <c r="W8" s="22"/>
      <c r="X8" s="23"/>
      <c r="Z8" s="21"/>
      <c r="AA8" s="22"/>
      <c r="AB8" s="22"/>
      <c r="AC8" s="22"/>
      <c r="AD8" s="23"/>
    </row>
    <row r="9" spans="2:30" ht="15" thickBot="1" x14ac:dyDescent="0.35">
      <c r="B9" s="21"/>
      <c r="C9" s="82" t="s">
        <v>1742</v>
      </c>
      <c r="D9" s="22"/>
      <c r="E9" s="22"/>
      <c r="F9" s="23"/>
      <c r="H9" s="21"/>
      <c r="I9" s="83" t="s">
        <v>776</v>
      </c>
      <c r="J9" s="22"/>
      <c r="K9" s="22"/>
      <c r="L9" s="23"/>
      <c r="N9" s="21"/>
      <c r="O9" s="84" t="s">
        <v>1079</v>
      </c>
      <c r="P9" s="22"/>
      <c r="Q9" s="22"/>
      <c r="R9" s="26"/>
      <c r="T9" s="21"/>
      <c r="U9" s="85" t="s">
        <v>1217</v>
      </c>
      <c r="V9" s="22"/>
      <c r="W9" s="22"/>
      <c r="X9" s="26"/>
      <c r="Z9" s="21"/>
      <c r="AA9" s="86" t="s">
        <v>1743</v>
      </c>
      <c r="AB9" s="22"/>
      <c r="AC9" s="22"/>
      <c r="AD9" s="26"/>
    </row>
    <row r="10" spans="2:30" x14ac:dyDescent="0.3">
      <c r="B10" s="21"/>
      <c r="C10" s="22"/>
      <c r="D10" s="22"/>
      <c r="E10" s="22"/>
      <c r="F10" s="23"/>
      <c r="H10" s="21"/>
      <c r="I10" s="22"/>
      <c r="J10" s="22"/>
      <c r="K10" s="22"/>
      <c r="L10" s="23"/>
      <c r="N10" s="21"/>
      <c r="O10" s="22"/>
      <c r="P10" s="22"/>
      <c r="Q10" s="22"/>
      <c r="R10" s="29"/>
      <c r="T10" s="21"/>
      <c r="U10" s="22"/>
      <c r="V10" s="22"/>
      <c r="W10" s="22"/>
      <c r="X10" s="29"/>
      <c r="Z10" s="21"/>
      <c r="AA10" s="22"/>
      <c r="AB10" s="22"/>
      <c r="AC10" s="22"/>
      <c r="AD10" s="29"/>
    </row>
    <row r="11" spans="2:30" x14ac:dyDescent="0.3">
      <c r="B11" s="21"/>
      <c r="C11" s="24" t="s">
        <v>6</v>
      </c>
      <c r="D11" s="25" t="s">
        <v>17</v>
      </c>
      <c r="E11" s="25" t="s">
        <v>18</v>
      </c>
      <c r="F11" s="26"/>
      <c r="H11" s="21"/>
      <c r="I11" s="24" t="s">
        <v>6</v>
      </c>
      <c r="J11" s="25" t="s">
        <v>17</v>
      </c>
      <c r="K11" s="25" t="s">
        <v>18</v>
      </c>
      <c r="L11" s="26"/>
      <c r="N11" s="21"/>
      <c r="O11" s="24" t="s">
        <v>6</v>
      </c>
      <c r="P11" s="25" t="s">
        <v>17</v>
      </c>
      <c r="Q11" s="25" t="s">
        <v>18</v>
      </c>
      <c r="R11" s="29"/>
      <c r="T11" s="21"/>
      <c r="U11" s="24" t="s">
        <v>6</v>
      </c>
      <c r="V11" s="25" t="s">
        <v>17</v>
      </c>
      <c r="W11" s="25" t="s">
        <v>18</v>
      </c>
      <c r="X11" s="29"/>
      <c r="Z11" s="21"/>
      <c r="AA11" s="24" t="s">
        <v>6</v>
      </c>
      <c r="AB11" s="25" t="s">
        <v>17</v>
      </c>
      <c r="AC11" s="25" t="s">
        <v>18</v>
      </c>
      <c r="AD11" s="29"/>
    </row>
    <row r="12" spans="2:30" x14ac:dyDescent="0.3">
      <c r="B12" s="21"/>
      <c r="C12" s="27" t="s">
        <v>19</v>
      </c>
      <c r="D12" s="28">
        <f ca="1">SUMIF('North Kite &amp; Foils '!B14:N3004,C12,'North Kite &amp; Foils '!M14:M309)</f>
        <v>0</v>
      </c>
      <c r="E12" s="140">
        <f ca="1">SUMIF('North Kite &amp; Foils '!B14:N309,C12,'North Kite &amp; Foils '!N14:N309)</f>
        <v>0</v>
      </c>
      <c r="F12" s="29"/>
      <c r="H12" s="21"/>
      <c r="I12" s="27" t="s">
        <v>833</v>
      </c>
      <c r="J12" s="28">
        <f ca="1">SUMIF('Essential accessories '!B15:N122,I12,'Essential accessories '!M15:M122)</f>
        <v>0</v>
      </c>
      <c r="K12" s="140">
        <f>SUMIF('Essential accessories '!B15:B182,I12,'Essential accessories '!N15:N182)</f>
        <v>0</v>
      </c>
      <c r="L12" s="29"/>
      <c r="N12" s="21"/>
      <c r="O12" s="27" t="s">
        <v>1033</v>
      </c>
      <c r="P12" s="28">
        <f ca="1">SUMIF('Bridles &amp; Bladders '!B14:Q92,O12,'Bridles &amp; Bladders '!M14:M92)</f>
        <v>0</v>
      </c>
      <c r="Q12" s="140">
        <f ca="1">SUMIF('Bridles &amp; Bladders '!B14:R92,O12,'Bridles &amp; Bladders '!N14:N92)</f>
        <v>0</v>
      </c>
      <c r="R12" s="29"/>
      <c r="T12" s="21"/>
      <c r="U12" s="27" t="s">
        <v>1014</v>
      </c>
      <c r="V12" s="28">
        <f ca="1">SUMIF('Spare Parts '!B14:P56,U12,'Spare Parts '!M14:M56)</f>
        <v>0</v>
      </c>
      <c r="W12" s="140">
        <f ca="1">SUMIF('Spare Parts '!B14:P56,U12,'Spare Parts '!N14:N56)</f>
        <v>0</v>
      </c>
      <c r="X12" s="29"/>
      <c r="Z12" s="21"/>
      <c r="AA12" s="27" t="s">
        <v>1744</v>
      </c>
      <c r="AB12" s="28">
        <f ca="1">SUMIF('Apparel &amp; POS'!B16:P117,AA12,'Apparel &amp; POS'!M16:M117)</f>
        <v>0</v>
      </c>
      <c r="AC12" s="140">
        <f ca="1">SUMIF('Apparel &amp; POS'!B16:P117,AA12,'Apparel &amp; POS'!N16:N117)</f>
        <v>0</v>
      </c>
      <c r="AD12" s="29"/>
    </row>
    <row r="13" spans="2:30" x14ac:dyDescent="0.3">
      <c r="B13" s="21"/>
      <c r="C13" s="27" t="s">
        <v>157</v>
      </c>
      <c r="D13" s="28">
        <f ca="1">SUMIF('North Kite &amp; Foils '!B15:N3005,C13,'North Kite &amp; Foils '!M15:M309)</f>
        <v>0</v>
      </c>
      <c r="E13" s="140">
        <f ca="1">SUMIF('North Kite &amp; Foils '!B15:N309,C13,'North Kite &amp; Foils '!N15:N309)</f>
        <v>0</v>
      </c>
      <c r="F13" s="29"/>
      <c r="H13" s="21"/>
      <c r="I13" s="27" t="s">
        <v>1014</v>
      </c>
      <c r="J13" s="28">
        <f ca="1">SUMIF('Essential accessories '!B16:N122,I13,'Essential accessories '!M16:M122)</f>
        <v>0</v>
      </c>
      <c r="K13" s="140">
        <f>SUMIF('Essential accessories '!B16:B183,I13,'Essential accessories '!N16:N183)</f>
        <v>0</v>
      </c>
      <c r="L13" s="29"/>
      <c r="N13" s="21"/>
      <c r="O13" s="27" t="s">
        <v>492</v>
      </c>
      <c r="P13" s="28">
        <f ca="1">SUMIF('Bridles &amp; Bladders '!B15:Q92,O13,'Bridles &amp; Bladders '!M15:M92)</f>
        <v>0</v>
      </c>
      <c r="Q13" s="140">
        <f ca="1">SUMIF('Bridles &amp; Bladders '!B15:R92,O13,'Bridles &amp; Bladders '!N15:N92)</f>
        <v>0</v>
      </c>
      <c r="R13" s="29"/>
      <c r="T13" s="21"/>
      <c r="U13" s="27" t="s">
        <v>1286</v>
      </c>
      <c r="V13" s="28">
        <f ca="1">SUMIF('Spare Parts '!B15:P57,U13,'Spare Parts '!M15:M57)</f>
        <v>0</v>
      </c>
      <c r="W13" s="140">
        <f ca="1">SUMIF('Spare Parts '!B15:P57,U13,'Spare Parts '!N15:N57)</f>
        <v>0</v>
      </c>
      <c r="X13" s="29"/>
      <c r="Z13" s="21"/>
      <c r="AA13" s="27" t="s">
        <v>1745</v>
      </c>
      <c r="AB13" s="28">
        <f ca="1">SUMIF('Apparel &amp; POS'!B16:P117,AA13,'Apparel &amp; POS'!M16:M117)</f>
        <v>0</v>
      </c>
      <c r="AC13" s="140">
        <f ca="1">SUMIF('Apparel &amp; POS'!B16:P117,AA13,'Apparel &amp; POS'!N16:N117)</f>
        <v>0</v>
      </c>
      <c r="AD13" s="29"/>
    </row>
    <row r="14" spans="2:30" x14ac:dyDescent="0.3">
      <c r="B14" s="21"/>
      <c r="C14" s="27" t="s">
        <v>179</v>
      </c>
      <c r="D14" s="28">
        <f ca="1">SUMIF('North Kite &amp; Foils '!B16:N3006,C14,'North Kite &amp; Foils '!M16:M309)</f>
        <v>0</v>
      </c>
      <c r="E14" s="140">
        <f ca="1">SUMIF('North Kite &amp; Foils '!B16:N309,C14,'North Kite &amp; Foils '!N16:N309)</f>
        <v>0</v>
      </c>
      <c r="F14" s="29"/>
      <c r="H14" s="21"/>
      <c r="I14" s="27" t="s">
        <v>1286</v>
      </c>
      <c r="J14" s="28">
        <f ca="1">SUMIF('Essential accessories '!B17:N122,I14,'Essential accessories '!M17:M122)</f>
        <v>0</v>
      </c>
      <c r="K14" s="140">
        <f>SUMIF('Essential accessories '!B17:B184,I14,'Essential accessories '!N17:N184)</f>
        <v>0</v>
      </c>
      <c r="L14" s="29"/>
      <c r="N14" s="21"/>
      <c r="O14" s="27"/>
      <c r="P14" s="28"/>
      <c r="Q14" s="140"/>
      <c r="R14" s="29"/>
      <c r="T14" s="21"/>
      <c r="U14" s="27" t="s">
        <v>1062</v>
      </c>
      <c r="V14" s="28">
        <f ca="1">SUMIF('Spare Parts '!B16:P58,U14,'Spare Parts '!M16:M58)</f>
        <v>0</v>
      </c>
      <c r="W14" s="140">
        <f ca="1">SUMIF('Spare Parts '!B16:P58,U14,'Spare Parts '!N16:N58)</f>
        <v>0</v>
      </c>
      <c r="X14" s="29"/>
      <c r="Z14" s="21"/>
      <c r="AA14" s="27" t="s">
        <v>1370</v>
      </c>
      <c r="AB14" s="28">
        <f ca="1">SUMIF('Apparel &amp; POS'!B16:P117,AA14,'Apparel &amp; POS'!M16:M117)</f>
        <v>0</v>
      </c>
      <c r="AC14" s="140">
        <f ca="1">SUMIF('Apparel &amp; POS'!B16:P117,AA14,'Apparel &amp; POS'!N16:N117)</f>
        <v>0</v>
      </c>
      <c r="AD14" s="29"/>
    </row>
    <row r="15" spans="2:30" x14ac:dyDescent="0.3">
      <c r="B15" s="21"/>
      <c r="C15" s="27" t="s">
        <v>260</v>
      </c>
      <c r="D15" s="28">
        <f ca="1">SUMIF('North Kite &amp; Foils '!B17:N3007,C15,'North Kite &amp; Foils '!M17:M309)</f>
        <v>0</v>
      </c>
      <c r="E15" s="140">
        <f ca="1">SUMIF('North Kite &amp; Foils '!B17:N309,C15,'North Kite &amp; Foils '!N17:N309)</f>
        <v>0</v>
      </c>
      <c r="F15" s="29"/>
      <c r="H15" s="21"/>
      <c r="I15" s="27" t="s">
        <v>1062</v>
      </c>
      <c r="J15" s="28">
        <f ca="1">SUMIF('Essential accessories '!B18:N122,I15,'Essential accessories '!M18:M122)</f>
        <v>0</v>
      </c>
      <c r="K15" s="140">
        <f>SUMIF('Essential accessories '!B18:B185,I15,'Essential accessories '!N18:N185)</f>
        <v>0</v>
      </c>
      <c r="L15" s="29"/>
      <c r="N15" s="21"/>
      <c r="O15" s="27"/>
      <c r="P15" s="28"/>
      <c r="Q15" s="140"/>
      <c r="R15" s="29"/>
      <c r="T15" s="21"/>
      <c r="U15" s="27" t="s">
        <v>492</v>
      </c>
      <c r="V15" s="28">
        <f ca="1">SUMIF('Spare Parts '!B18:P60,U15,'Spare Parts '!M18:M60)</f>
        <v>0</v>
      </c>
      <c r="W15" s="140">
        <f ca="1">SUMIF('Spare Parts '!B18:P60,U15,'Spare Parts '!N18:N60)</f>
        <v>0</v>
      </c>
      <c r="X15" s="29"/>
      <c r="Z15" s="21"/>
      <c r="AA15" s="27" t="s">
        <v>1411</v>
      </c>
      <c r="AB15" s="28">
        <f ca="1">SUMIF('Apparel &amp; POS'!B16:P118,AA15,'Apparel &amp; POS'!M16:M118)</f>
        <v>0</v>
      </c>
      <c r="AC15" s="140">
        <f ca="1">SUMIF('Apparel &amp; POS'!B16:P118,AA15,'Apparel &amp; POS'!N16:N118)</f>
        <v>0</v>
      </c>
      <c r="AD15" s="29"/>
    </row>
    <row r="16" spans="2:30" x14ac:dyDescent="0.3">
      <c r="B16" s="21"/>
      <c r="C16" s="27" t="s">
        <v>299</v>
      </c>
      <c r="D16" s="28">
        <f ca="1">SUMIF('North Kite &amp; Foils '!B18:N3008,C16,'North Kite &amp; Foils '!M18:M309)</f>
        <v>0</v>
      </c>
      <c r="E16" s="140">
        <f ca="1">SUMIF('North Kite &amp; Foils '!B18:N309,C16,'North Kite &amp; Foils '!N18:N309)</f>
        <v>0</v>
      </c>
      <c r="F16" s="29"/>
      <c r="H16" s="21"/>
      <c r="I16" s="27" t="s">
        <v>496</v>
      </c>
      <c r="J16" s="28">
        <f ca="1">SUMIF('Essential accessories '!B19:N122,I16,'Essential accessories '!M19:M122)</f>
        <v>0</v>
      </c>
      <c r="K16" s="140">
        <f>SUMIF('Essential accessories '!B19:B186,I16,'Essential accessories '!N19:N186)</f>
        <v>0</v>
      </c>
      <c r="L16" s="29"/>
      <c r="N16" s="21"/>
      <c r="O16" s="27"/>
      <c r="P16" s="28"/>
      <c r="Q16" s="140"/>
      <c r="R16" s="29"/>
      <c r="T16" s="21"/>
      <c r="U16" s="27"/>
      <c r="V16" s="28"/>
      <c r="W16" s="140"/>
      <c r="X16" s="29"/>
      <c r="Z16" s="21"/>
      <c r="AA16" s="27" t="s">
        <v>1746</v>
      </c>
      <c r="AB16" s="28">
        <f ca="1">SUMIF('Apparel &amp; POS'!B16:P119,AA16,'Apparel &amp; POS'!M16:M119)</f>
        <v>0</v>
      </c>
      <c r="AC16" s="140">
        <f ca="1">SUMIF('Apparel &amp; POS'!B16:P119,AA16,'Apparel &amp; POS'!N16:N119)</f>
        <v>0</v>
      </c>
      <c r="AD16" s="29"/>
    </row>
    <row r="17" spans="2:30" x14ac:dyDescent="0.3">
      <c r="B17" s="21"/>
      <c r="C17" s="27" t="s">
        <v>324</v>
      </c>
      <c r="D17" s="28">
        <f ca="1">SUMIF('North Kite &amp; Foils '!B19:N3009,C17,'North Kite &amp; Foils '!M19:M309)</f>
        <v>0</v>
      </c>
      <c r="E17" s="140">
        <f ca="1">SUMIF('North Kite &amp; Foils '!B19:N309,C17,'North Kite &amp; Foils '!N19:N309)</f>
        <v>0</v>
      </c>
      <c r="F17" s="29"/>
      <c r="H17" s="21"/>
      <c r="I17" s="27" t="s">
        <v>1033</v>
      </c>
      <c r="J17" s="28">
        <f ca="1">SUMIF('Essential accessories '!B20:N122,I17,'Essential accessories '!M20:M122)</f>
        <v>0</v>
      </c>
      <c r="K17" s="140">
        <f>SUMIF('Essential accessories '!B20:B187,I17,'Essential accessories '!N20:N187)</f>
        <v>0</v>
      </c>
      <c r="L17" s="29"/>
      <c r="N17" s="21"/>
      <c r="O17" s="27"/>
      <c r="P17" s="28"/>
      <c r="Q17" s="140"/>
      <c r="R17" s="29"/>
      <c r="T17" s="21"/>
      <c r="U17" s="27"/>
      <c r="V17" s="28"/>
      <c r="W17" s="140"/>
      <c r="X17" s="29"/>
      <c r="Z17" s="21"/>
      <c r="AA17" s="27" t="s">
        <v>1484</v>
      </c>
      <c r="AB17" s="28">
        <f ca="1">SUMIF('Apparel &amp; POS'!B16:P120,AA17,'Apparel &amp; POS'!M16:M120)</f>
        <v>0</v>
      </c>
      <c r="AC17" s="140">
        <f ca="1">SUMIF('Apparel &amp; POS'!B16:P120,AA17,'Apparel &amp; POS'!N16:N120)</f>
        <v>0</v>
      </c>
      <c r="AD17" s="29"/>
    </row>
    <row r="18" spans="2:30" x14ac:dyDescent="0.3">
      <c r="B18" s="21"/>
      <c r="C18" s="27" t="s">
        <v>400</v>
      </c>
      <c r="D18" s="28">
        <f ca="1">SUMIF('North Kite &amp; Foils '!B20:N3010,C18,'North Kite &amp; Foils '!M20:M310)</f>
        <v>0</v>
      </c>
      <c r="E18" s="140">
        <f ca="1">SUMIF('North Kite &amp; Foils '!B20:N310,C18,'North Kite &amp; Foils '!N20:N310)</f>
        <v>0</v>
      </c>
      <c r="F18" s="29"/>
      <c r="H18" s="21"/>
      <c r="I18" s="27" t="s">
        <v>492</v>
      </c>
      <c r="J18" s="28">
        <f ca="1">SUMIF('Essential accessories '!B15:N122,I18,'Essential accessories '!M15:M122)</f>
        <v>0</v>
      </c>
      <c r="K18" s="140">
        <f ca="1">SUMIF('Essential accessories '!B15:N122,I18,'Essential accessories '!N15:N122)</f>
        <v>0</v>
      </c>
      <c r="L18" s="29"/>
      <c r="N18" s="21"/>
      <c r="O18" s="27"/>
      <c r="P18" s="28"/>
      <c r="Q18" s="140"/>
      <c r="R18" s="29"/>
      <c r="T18" s="21"/>
      <c r="U18" s="27"/>
      <c r="V18" s="28"/>
      <c r="W18" s="140"/>
      <c r="X18" s="29"/>
      <c r="Z18" s="21"/>
      <c r="AA18" s="27" t="s">
        <v>766</v>
      </c>
      <c r="AB18" s="28">
        <f ca="1">SUMIF('Apparel &amp; POS'!B16:P121,AA18,'Apparel &amp; POS'!M16:M121)</f>
        <v>0</v>
      </c>
      <c r="AC18" s="140">
        <f ca="1">SUMIF('Apparel &amp; POS'!B16:P121,AA18,'Apparel &amp; POS'!N16:N121)</f>
        <v>0</v>
      </c>
      <c r="AD18" s="29"/>
    </row>
    <row r="19" spans="2:30" x14ac:dyDescent="0.3">
      <c r="B19" s="21"/>
      <c r="C19" s="27" t="s">
        <v>477</v>
      </c>
      <c r="D19" s="28">
        <f ca="1">SUMIF('North Kite &amp; Foils '!B21:N3011,C19,'North Kite &amp; Foils '!M21:M311)</f>
        <v>0</v>
      </c>
      <c r="E19" s="140">
        <f ca="1">SUMIF('North Kite &amp; Foils '!B21:N311,C19,'North Kite &amp; Foils '!N21:N311)</f>
        <v>0</v>
      </c>
      <c r="F19" s="29"/>
      <c r="H19" s="21"/>
      <c r="I19" s="27" t="s">
        <v>477</v>
      </c>
      <c r="J19" s="28">
        <f ca="1">SUMIF('Essential accessories '!B16:N122,I19,'Essential accessories '!M16:M122)</f>
        <v>0</v>
      </c>
      <c r="K19" s="140">
        <f ca="1">SUMIF('Essential accessories '!B16:N122,I19,'Essential accessories '!N16:N122)</f>
        <v>0</v>
      </c>
      <c r="L19" s="29"/>
      <c r="N19" s="21"/>
      <c r="O19" s="27"/>
      <c r="P19" s="28"/>
      <c r="Q19" s="140"/>
      <c r="R19" s="29"/>
      <c r="T19" s="21"/>
      <c r="U19" s="27"/>
      <c r="V19" s="28"/>
      <c r="W19" s="140"/>
      <c r="X19" s="29"/>
      <c r="Z19" s="21"/>
      <c r="AA19" s="27"/>
      <c r="AB19" s="28"/>
      <c r="AC19" s="140"/>
      <c r="AD19" s="29"/>
    </row>
    <row r="20" spans="2:30" x14ac:dyDescent="0.3">
      <c r="B20" s="21"/>
      <c r="C20" s="27" t="s">
        <v>496</v>
      </c>
      <c r="D20" s="28">
        <f ca="1">SUMIF('North Kite &amp; Foils '!B22:N3012,C20,'North Kite &amp; Foils '!M22:M312)</f>
        <v>0</v>
      </c>
      <c r="E20" s="140">
        <f ca="1">SUMIF('North Kite &amp; Foils '!B22:N312,C20,'North Kite &amp; Foils '!N22:N312)</f>
        <v>0</v>
      </c>
      <c r="F20" s="29"/>
      <c r="H20" s="21"/>
      <c r="I20" s="27"/>
      <c r="J20" s="28"/>
      <c r="K20" s="140"/>
      <c r="L20" s="29"/>
      <c r="N20" s="21"/>
      <c r="O20" s="27"/>
      <c r="P20" s="28"/>
      <c r="Q20" s="140"/>
      <c r="R20" s="29"/>
      <c r="T20" s="21"/>
      <c r="U20" s="27"/>
      <c r="V20" s="28"/>
      <c r="W20" s="140"/>
      <c r="X20" s="29"/>
      <c r="Z20" s="21"/>
      <c r="AA20" s="27"/>
      <c r="AB20" s="28"/>
      <c r="AC20" s="140"/>
      <c r="AD20" s="29"/>
    </row>
    <row r="21" spans="2:30" x14ac:dyDescent="0.3">
      <c r="B21" s="21"/>
      <c r="C21" s="27" t="s">
        <v>766</v>
      </c>
      <c r="D21" s="28">
        <f ca="1">SUMIF('North Kite &amp; Foils '!B23:N3013,C21,'North Kite &amp; Foils '!M23:M313)</f>
        <v>0</v>
      </c>
      <c r="E21" s="140">
        <f ca="1">SUMIF('North Kite &amp; Foils '!B23:N313,C21,'North Kite &amp; Foils '!N23:N313)</f>
        <v>0</v>
      </c>
      <c r="F21" s="29"/>
      <c r="H21" s="21"/>
      <c r="I21" s="27"/>
      <c r="J21" s="28"/>
      <c r="K21" s="140"/>
      <c r="L21" s="29"/>
      <c r="N21" s="21"/>
      <c r="O21" s="27"/>
      <c r="P21" s="28"/>
      <c r="Q21" s="140"/>
      <c r="R21" s="29"/>
      <c r="T21" s="21"/>
      <c r="U21" s="27"/>
      <c r="V21" s="28"/>
      <c r="W21" s="140"/>
      <c r="X21" s="29"/>
      <c r="Z21" s="21"/>
      <c r="AA21" s="27"/>
      <c r="AB21" s="28"/>
      <c r="AC21" s="140"/>
      <c r="AD21" s="29"/>
    </row>
    <row r="22" spans="2:30" x14ac:dyDescent="0.3">
      <c r="B22" s="21"/>
      <c r="C22" s="27"/>
      <c r="D22" s="28"/>
      <c r="E22" s="140"/>
      <c r="F22" s="29"/>
      <c r="H22" s="21"/>
      <c r="I22" s="27"/>
      <c r="J22" s="28"/>
      <c r="K22" s="140"/>
      <c r="L22" s="29"/>
      <c r="N22" s="21"/>
      <c r="O22" s="27"/>
      <c r="P22" s="28"/>
      <c r="Q22" s="140"/>
      <c r="R22" s="29"/>
      <c r="T22" s="21"/>
      <c r="U22" s="27"/>
      <c r="V22" s="28"/>
      <c r="W22" s="140"/>
      <c r="X22" s="29"/>
      <c r="Z22" s="21"/>
      <c r="AA22" s="27"/>
      <c r="AB22" s="28"/>
      <c r="AC22" s="140"/>
      <c r="AD22" s="29"/>
    </row>
    <row r="23" spans="2:30" x14ac:dyDescent="0.3">
      <c r="B23" s="21"/>
      <c r="C23" s="27"/>
      <c r="D23" s="28"/>
      <c r="E23" s="140"/>
      <c r="F23" s="29"/>
      <c r="H23" s="21"/>
      <c r="I23" s="27"/>
      <c r="J23" s="28"/>
      <c r="K23" s="140"/>
      <c r="L23" s="29"/>
      <c r="N23" s="21"/>
      <c r="O23" s="27"/>
      <c r="P23" s="28"/>
      <c r="Q23" s="140"/>
      <c r="R23" s="29"/>
      <c r="T23" s="21"/>
      <c r="U23" s="27"/>
      <c r="V23" s="28"/>
      <c r="W23" s="140"/>
      <c r="X23" s="29"/>
      <c r="Z23" s="21"/>
      <c r="AA23" s="27"/>
      <c r="AB23" s="28"/>
      <c r="AC23" s="140"/>
      <c r="AD23" s="29"/>
    </row>
    <row r="24" spans="2:30" x14ac:dyDescent="0.3">
      <c r="B24" s="21"/>
      <c r="C24" s="27"/>
      <c r="D24" s="28"/>
      <c r="E24" s="140"/>
      <c r="F24" s="29"/>
      <c r="H24" s="21"/>
      <c r="I24" s="27"/>
      <c r="J24" s="28"/>
      <c r="K24" s="140"/>
      <c r="L24" s="29"/>
      <c r="N24" s="21"/>
      <c r="O24" s="27"/>
      <c r="P24" s="28"/>
      <c r="Q24" s="140"/>
      <c r="R24" s="32"/>
      <c r="T24" s="21"/>
      <c r="U24" s="27"/>
      <c r="V24" s="28"/>
      <c r="W24" s="140"/>
      <c r="X24" s="32"/>
      <c r="Z24" s="21"/>
      <c r="AA24" s="27"/>
      <c r="AB24" s="28"/>
      <c r="AC24" s="140"/>
      <c r="AD24" s="32"/>
    </row>
    <row r="25" spans="2:30" ht="15" thickBot="1" x14ac:dyDescent="0.35">
      <c r="B25" s="21"/>
      <c r="C25" s="30"/>
      <c r="D25" s="31"/>
      <c r="E25" s="141"/>
      <c r="F25" s="29"/>
      <c r="H25" s="21"/>
      <c r="I25" s="30"/>
      <c r="J25" s="31"/>
      <c r="K25" s="141"/>
      <c r="L25" s="29"/>
      <c r="N25" s="21"/>
      <c r="O25" s="30"/>
      <c r="P25" s="31"/>
      <c r="Q25" s="141"/>
      <c r="R25" s="23"/>
      <c r="T25" s="21"/>
      <c r="U25" s="30"/>
      <c r="V25" s="31"/>
      <c r="W25" s="141"/>
      <c r="X25" s="23"/>
      <c r="Z25" s="21"/>
      <c r="AA25" s="30"/>
      <c r="AB25" s="31"/>
      <c r="AC25" s="141"/>
      <c r="AD25" s="23"/>
    </row>
    <row r="26" spans="2:30" ht="15" thickTop="1" x14ac:dyDescent="0.3">
      <c r="B26" s="21"/>
      <c r="C26" s="37" t="s">
        <v>1747</v>
      </c>
      <c r="D26" s="38">
        <f ca="1">SUM(D12:D25)</f>
        <v>0</v>
      </c>
      <c r="E26" s="142">
        <f ca="1">SUM(E12:E25)</f>
        <v>0</v>
      </c>
      <c r="F26" s="32"/>
      <c r="H26" s="21"/>
      <c r="I26" s="37" t="s">
        <v>1747</v>
      </c>
      <c r="J26" s="38">
        <f ca="1">SUM(J12:J25)</f>
        <v>0</v>
      </c>
      <c r="K26" s="142">
        <f ca="1">SUM(K12:K25)</f>
        <v>0</v>
      </c>
      <c r="L26" s="32"/>
      <c r="N26" s="21"/>
      <c r="O26" s="37" t="s">
        <v>1747</v>
      </c>
      <c r="P26" s="38">
        <f ca="1">SUM(P12:P25)</f>
        <v>0</v>
      </c>
      <c r="Q26" s="142">
        <f ca="1">SUM(Q12:Q25)</f>
        <v>0</v>
      </c>
      <c r="R26" s="33"/>
      <c r="T26" s="21"/>
      <c r="U26" s="37" t="s">
        <v>1747</v>
      </c>
      <c r="V26" s="38">
        <f ca="1">SUM(V12:V25)</f>
        <v>0</v>
      </c>
      <c r="W26" s="142">
        <f ca="1">SUM(W12:W25)</f>
        <v>0</v>
      </c>
      <c r="X26" s="33"/>
      <c r="Z26" s="21"/>
      <c r="AA26" s="37" t="s">
        <v>1747</v>
      </c>
      <c r="AB26" s="38">
        <f ca="1">SUM(AB12:AB25)</f>
        <v>0</v>
      </c>
      <c r="AC26" s="142">
        <f t="shared" ref="AC26" ca="1" si="0">SUM(AC12:AC25)</f>
        <v>0</v>
      </c>
      <c r="AD26" s="33"/>
    </row>
    <row r="27" spans="2:30" x14ac:dyDescent="0.3">
      <c r="B27" s="34"/>
      <c r="C27" s="35"/>
      <c r="D27" s="35"/>
      <c r="E27" s="35"/>
      <c r="F27" s="36"/>
      <c r="H27" s="34"/>
      <c r="I27" s="35"/>
      <c r="J27" s="35"/>
      <c r="K27" s="35"/>
      <c r="L27" s="36"/>
      <c r="N27" s="34"/>
      <c r="O27" s="35"/>
      <c r="P27" s="35"/>
      <c r="Q27" s="35"/>
      <c r="R27" s="36"/>
      <c r="T27" s="34"/>
      <c r="U27" s="35"/>
      <c r="V27" s="35"/>
      <c r="W27" s="35"/>
      <c r="X27" s="36"/>
      <c r="Z27" s="34"/>
      <c r="AA27" s="35"/>
      <c r="AB27" s="35"/>
      <c r="AC27" s="35"/>
      <c r="AD27" s="36"/>
    </row>
    <row r="29" spans="2:30" ht="15" thickBot="1" x14ac:dyDescent="0.35"/>
    <row r="30" spans="2:30" x14ac:dyDescent="0.3">
      <c r="B30" s="150" t="s">
        <v>1748</v>
      </c>
      <c r="C30" s="151"/>
      <c r="D30" s="151"/>
      <c r="E30" s="151"/>
      <c r="F30" s="152"/>
    </row>
    <row r="31" spans="2:30" ht="15" thickBot="1" x14ac:dyDescent="0.35">
      <c r="B31" s="153"/>
      <c r="C31" s="154"/>
      <c r="D31" s="154"/>
      <c r="E31" s="154"/>
      <c r="F31" s="155"/>
    </row>
    <row r="33" spans="2:6" ht="6.75" customHeight="1" x14ac:dyDescent="0.3">
      <c r="B33" s="102"/>
      <c r="C33" s="103"/>
      <c r="D33" s="103"/>
      <c r="E33" s="103"/>
      <c r="F33" s="104"/>
    </row>
    <row r="34" spans="2:6" x14ac:dyDescent="0.3">
      <c r="B34" s="105"/>
      <c r="C34" s="106"/>
      <c r="D34" s="106"/>
      <c r="E34" s="106"/>
      <c r="F34" s="107"/>
    </row>
    <row r="35" spans="2:6" ht="18" customHeight="1" x14ac:dyDescent="0.3">
      <c r="B35" s="105"/>
      <c r="C35" s="106"/>
      <c r="D35" s="106"/>
      <c r="E35" s="106"/>
      <c r="F35" s="107"/>
    </row>
    <row r="36" spans="2:6" ht="12.75" customHeight="1" x14ac:dyDescent="0.3">
      <c r="B36" s="105"/>
      <c r="C36" s="106"/>
      <c r="D36" s="106"/>
      <c r="E36" s="106"/>
      <c r="F36" s="107"/>
    </row>
    <row r="37" spans="2:6" ht="11.25" customHeight="1" x14ac:dyDescent="0.3">
      <c r="B37" s="105"/>
      <c r="C37" s="106"/>
      <c r="D37" s="106"/>
      <c r="E37" s="106"/>
      <c r="F37" s="107"/>
    </row>
    <row r="38" spans="2:6" ht="11.25" customHeight="1" x14ac:dyDescent="0.3">
      <c r="B38" s="105"/>
      <c r="C38" s="106"/>
      <c r="D38" s="106"/>
      <c r="E38" s="106"/>
      <c r="F38" s="107"/>
    </row>
    <row r="39" spans="2:6" x14ac:dyDescent="0.3">
      <c r="B39" s="105"/>
      <c r="C39" s="106"/>
      <c r="D39" s="106"/>
      <c r="E39" s="106"/>
      <c r="F39" s="107"/>
    </row>
    <row r="40" spans="2:6" ht="15" thickBot="1" x14ac:dyDescent="0.35">
      <c r="B40" s="105"/>
      <c r="C40" s="106"/>
      <c r="D40" s="106"/>
      <c r="E40" s="106"/>
      <c r="F40" s="107"/>
    </row>
    <row r="41" spans="2:6" ht="15" thickBot="1" x14ac:dyDescent="0.35">
      <c r="B41" s="105"/>
      <c r="C41" s="108" t="s">
        <v>1748</v>
      </c>
      <c r="D41" s="106"/>
      <c r="E41" s="106"/>
      <c r="F41" s="107"/>
    </row>
    <row r="42" spans="2:6" x14ac:dyDescent="0.3">
      <c r="B42" s="105"/>
      <c r="C42" s="106"/>
      <c r="D42" s="106"/>
      <c r="E42" s="106"/>
      <c r="F42" s="107"/>
    </row>
    <row r="43" spans="2:6" x14ac:dyDescent="0.3">
      <c r="B43" s="105"/>
      <c r="C43" s="24" t="s">
        <v>6</v>
      </c>
      <c r="D43" s="25" t="s">
        <v>17</v>
      </c>
      <c r="E43" s="25" t="s">
        <v>18</v>
      </c>
      <c r="F43" s="109"/>
    </row>
    <row r="44" spans="2:6" x14ac:dyDescent="0.3">
      <c r="B44" s="105"/>
      <c r="C44" s="77" t="s">
        <v>1742</v>
      </c>
      <c r="D44" s="28">
        <f ca="1">D26</f>
        <v>0</v>
      </c>
      <c r="E44" s="140">
        <f ca="1">E26</f>
        <v>0</v>
      </c>
      <c r="F44" s="110"/>
    </row>
    <row r="45" spans="2:6" x14ac:dyDescent="0.3">
      <c r="B45" s="105"/>
      <c r="C45" s="78" t="s">
        <v>776</v>
      </c>
      <c r="D45" s="28">
        <f ca="1">J26</f>
        <v>0</v>
      </c>
      <c r="E45" s="140">
        <f ca="1">K26</f>
        <v>0</v>
      </c>
      <c r="F45" s="110"/>
    </row>
    <row r="46" spans="2:6" x14ac:dyDescent="0.3">
      <c r="B46" s="105"/>
      <c r="C46" s="79" t="s">
        <v>1079</v>
      </c>
      <c r="D46" s="28">
        <f ca="1">P26</f>
        <v>0</v>
      </c>
      <c r="E46" s="140">
        <f ca="1">Q26</f>
        <v>0</v>
      </c>
      <c r="F46" s="110"/>
    </row>
    <row r="47" spans="2:6" x14ac:dyDescent="0.3">
      <c r="B47" s="105"/>
      <c r="C47" s="80" t="s">
        <v>1217</v>
      </c>
      <c r="D47" s="28">
        <f ca="1">V26</f>
        <v>0</v>
      </c>
      <c r="E47" s="140">
        <f ca="1">W26</f>
        <v>0</v>
      </c>
      <c r="F47" s="110"/>
    </row>
    <row r="48" spans="2:6" x14ac:dyDescent="0.3">
      <c r="B48" s="105"/>
      <c r="C48" s="81" t="s">
        <v>1743</v>
      </c>
      <c r="D48" s="28">
        <f ca="1">AB26</f>
        <v>0</v>
      </c>
      <c r="E48" s="140">
        <f ca="1">AC26</f>
        <v>0</v>
      </c>
      <c r="F48" s="110"/>
    </row>
    <row r="49" spans="2:6" ht="15" thickBot="1" x14ac:dyDescent="0.35">
      <c r="B49" s="105"/>
      <c r="C49" s="101"/>
      <c r="D49" s="31"/>
      <c r="E49" s="141"/>
      <c r="F49" s="110"/>
    </row>
    <row r="50" spans="2:6" ht="15" thickTop="1" x14ac:dyDescent="0.3">
      <c r="B50" s="105"/>
      <c r="C50" s="37" t="s">
        <v>1747</v>
      </c>
      <c r="D50" s="38">
        <f ca="1">SUM(D44:D49)</f>
        <v>0</v>
      </c>
      <c r="E50" s="142">
        <f ca="1">SUM(E44:E49)</f>
        <v>0</v>
      </c>
      <c r="F50" s="111"/>
    </row>
    <row r="51" spans="2:6" x14ac:dyDescent="0.3">
      <c r="B51" s="105"/>
      <c r="C51" s="106"/>
      <c r="D51" s="106"/>
      <c r="E51" s="106"/>
      <c r="F51" s="107"/>
    </row>
    <row r="52" spans="2:6" x14ac:dyDescent="0.3">
      <c r="B52" s="112"/>
      <c r="C52" s="113"/>
      <c r="D52" s="113"/>
      <c r="E52" s="113"/>
      <c r="F52" s="114"/>
    </row>
  </sheetData>
  <customSheetViews>
    <customSheetView guid="{E0BAB3EC-1201-4193-B59E-5B286709951D}" scale="90" showGridLines="0" topLeftCell="A10">
      <selection activeCell="N40" sqref="N40:N41"/>
      <pageMargins left="0" right="0" top="0" bottom="0" header="0" footer="0"/>
    </customSheetView>
  </customSheetViews>
  <mergeCells count="1">
    <mergeCell ref="B30:F3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C24B-62A0-4C2A-A2CB-1523831C7598}">
  <sheetPr>
    <tabColor theme="9"/>
    <pageSetUpPr fitToPage="1"/>
  </sheetPr>
  <dimension ref="A1:R672"/>
  <sheetViews>
    <sheetView showGridLines="0" zoomScale="90" zoomScaleNormal="90" workbookViewId="0">
      <selection activeCell="F8" sqref="F8"/>
    </sheetView>
  </sheetViews>
  <sheetFormatPr defaultColWidth="9.109375" defaultRowHeight="13.8" x14ac:dyDescent="0.3"/>
  <cols>
    <col min="1" max="1" width="5.6640625" style="53" customWidth="1"/>
    <col min="2" max="2" width="35" style="54" bestFit="1" customWidth="1"/>
    <col min="3" max="3" width="17.88671875" style="54" bestFit="1" customWidth="1"/>
    <col min="4" max="4" width="13.44140625" style="54" bestFit="1" customWidth="1"/>
    <col min="5" max="5" width="15.109375" style="54" bestFit="1" customWidth="1"/>
    <col min="6" max="6" width="44.6640625" style="54" bestFit="1" customWidth="1"/>
    <col min="7" max="7" width="7.6640625" style="54" bestFit="1" customWidth="1"/>
    <col min="8" max="8" width="17.44140625" style="54" bestFit="1" customWidth="1"/>
    <col min="9" max="9" width="17.109375" style="54" customWidth="1"/>
    <col min="10" max="10" width="19.5546875" style="55" bestFit="1" customWidth="1"/>
    <col min="11" max="11" width="21.6640625" style="56" bestFit="1" customWidth="1"/>
    <col min="12" max="12" width="24.6640625" style="56" bestFit="1" customWidth="1"/>
    <col min="13" max="13" width="13" style="74" customWidth="1"/>
    <col min="14" max="14" width="14.88671875" style="56" customWidth="1"/>
    <col min="15" max="15" width="11.33203125" style="54" customWidth="1"/>
    <col min="16" max="16" width="10.33203125" style="53" customWidth="1"/>
    <col min="17" max="17" width="13.33203125" style="53" customWidth="1"/>
    <col min="18" max="16384" width="9.109375" style="53"/>
  </cols>
  <sheetData>
    <row r="1" spans="1:18" ht="14.4" x14ac:dyDescent="0.3">
      <c r="A1"/>
      <c r="M1" s="56"/>
    </row>
    <row r="2" spans="1:18" x14ac:dyDescent="0.3">
      <c r="B2" s="53"/>
      <c r="C2" s="53"/>
      <c r="E2" s="57"/>
      <c r="M2" s="56"/>
    </row>
    <row r="3" spans="1:18" x14ac:dyDescent="0.3">
      <c r="M3" s="56"/>
    </row>
    <row r="4" spans="1:18" x14ac:dyDescent="0.3">
      <c r="M4" s="56"/>
    </row>
    <row r="5" spans="1:18" x14ac:dyDescent="0.3">
      <c r="G5" s="57" t="s">
        <v>1810</v>
      </c>
      <c r="H5" s="55"/>
      <c r="K5" s="94" t="s">
        <v>0</v>
      </c>
      <c r="L5" s="138">
        <f>SUM(N13:N672)</f>
        <v>0</v>
      </c>
      <c r="Q5" s="63"/>
    </row>
    <row r="6" spans="1:18" ht="14.4" x14ac:dyDescent="0.3">
      <c r="B6"/>
      <c r="G6" s="99" t="s">
        <v>1749</v>
      </c>
      <c r="H6" s="100"/>
      <c r="K6" s="94" t="s">
        <v>2</v>
      </c>
      <c r="L6" s="74">
        <f>SUM(M13:M672)</f>
        <v>0</v>
      </c>
    </row>
    <row r="7" spans="1:18" x14ac:dyDescent="0.3">
      <c r="M7" s="56"/>
    </row>
    <row r="8" spans="1:18" x14ac:dyDescent="0.3">
      <c r="I8" s="55" t="s">
        <v>1811</v>
      </c>
      <c r="J8" s="56" t="s">
        <v>1812</v>
      </c>
      <c r="K8" s="144">
        <v>0.1</v>
      </c>
      <c r="M8" s="56"/>
    </row>
    <row r="9" spans="1:18" x14ac:dyDescent="0.3">
      <c r="B9" s="58"/>
      <c r="C9" s="58"/>
      <c r="I9" s="55"/>
      <c r="J9" s="56" t="s">
        <v>1813</v>
      </c>
      <c r="K9" s="144">
        <v>0.05</v>
      </c>
      <c r="M9" s="56"/>
    </row>
    <row r="10" spans="1:18" x14ac:dyDescent="0.3">
      <c r="B10" s="58"/>
      <c r="C10" s="58"/>
      <c r="I10" s="55"/>
      <c r="J10" s="145" t="s">
        <v>1747</v>
      </c>
      <c r="K10" s="146">
        <f>SUM(K8:K9)</f>
        <v>0.15000000000000002</v>
      </c>
      <c r="M10" s="56"/>
    </row>
    <row r="11" spans="1:18" x14ac:dyDescent="0.3">
      <c r="J11" s="64"/>
      <c r="M11" s="56"/>
    </row>
    <row r="12" spans="1:18" s="69" customFormat="1" ht="15" customHeight="1" x14ac:dyDescent="0.3">
      <c r="A12" s="126" t="s">
        <v>5</v>
      </c>
      <c r="B12" s="127" t="s">
        <v>6</v>
      </c>
      <c r="C12" s="127" t="s">
        <v>7</v>
      </c>
      <c r="D12" s="127" t="s">
        <v>8</v>
      </c>
      <c r="E12" s="127" t="s">
        <v>9</v>
      </c>
      <c r="F12" s="127" t="s">
        <v>10</v>
      </c>
      <c r="G12" s="127" t="s">
        <v>11</v>
      </c>
      <c r="H12" s="127" t="s">
        <v>12</v>
      </c>
      <c r="I12" s="127" t="s">
        <v>13</v>
      </c>
      <c r="J12" s="66" t="s">
        <v>14</v>
      </c>
      <c r="K12" s="67" t="s">
        <v>15</v>
      </c>
      <c r="L12" s="67" t="s">
        <v>1809</v>
      </c>
      <c r="M12" s="67" t="s">
        <v>17</v>
      </c>
      <c r="N12" s="68" t="s">
        <v>18</v>
      </c>
      <c r="O12" s="65" t="s">
        <v>1617</v>
      </c>
      <c r="P12" s="65" t="s">
        <v>1618</v>
      </c>
      <c r="Q12" s="98" t="s">
        <v>1619</v>
      </c>
      <c r="R12" s="53"/>
    </row>
    <row r="13" spans="1:18" s="72" customFormat="1" ht="15" customHeight="1" x14ac:dyDescent="0.3">
      <c r="A13" s="124">
        <v>1</v>
      </c>
      <c r="B13" s="59" t="s">
        <v>19</v>
      </c>
      <c r="C13" s="59" t="s">
        <v>1</v>
      </c>
      <c r="D13" s="115" t="s">
        <v>146</v>
      </c>
      <c r="E13" s="59" t="s">
        <v>147</v>
      </c>
      <c r="F13" s="115" t="s">
        <v>148</v>
      </c>
      <c r="G13" s="59" t="s">
        <v>133</v>
      </c>
      <c r="H13" s="59" t="s">
        <v>134</v>
      </c>
      <c r="I13" s="115" t="s">
        <v>36</v>
      </c>
      <c r="J13" s="125" t="s">
        <v>101</v>
      </c>
      <c r="K13" s="70">
        <v>2169</v>
      </c>
      <c r="L13" s="139">
        <f>VLOOKUP(E13,'[1]MASTER WORKFILE MY26.2'!$H:$AC,22,0)</f>
        <v>1100.5999999999999</v>
      </c>
      <c r="M13" s="116">
        <f>VLOOKUP(E13,'North Kite &amp; Foils '!E:M,9,0)</f>
        <v>0</v>
      </c>
      <c r="N13" s="71">
        <f t="shared" ref="N13:N76" si="0">L13*M13</f>
        <v>0</v>
      </c>
      <c r="O13" s="61" t="s">
        <v>1751</v>
      </c>
      <c r="P13" s="61" t="s">
        <v>1751</v>
      </c>
      <c r="Q13" s="61" t="s">
        <v>1625</v>
      </c>
      <c r="R13" s="53"/>
    </row>
    <row r="14" spans="1:18" s="72" customFormat="1" ht="15" customHeight="1" x14ac:dyDescent="0.3">
      <c r="A14" s="124">
        <v>2</v>
      </c>
      <c r="B14" s="59" t="s">
        <v>19</v>
      </c>
      <c r="C14" s="59" t="s">
        <v>1</v>
      </c>
      <c r="D14" s="115" t="s">
        <v>146</v>
      </c>
      <c r="E14" s="59" t="s">
        <v>149</v>
      </c>
      <c r="F14" s="115" t="s">
        <v>148</v>
      </c>
      <c r="G14" s="59" t="s">
        <v>133</v>
      </c>
      <c r="H14" s="59" t="s">
        <v>134</v>
      </c>
      <c r="I14" s="115" t="s">
        <v>38</v>
      </c>
      <c r="J14" s="125" t="s">
        <v>101</v>
      </c>
      <c r="K14" s="70">
        <v>2249</v>
      </c>
      <c r="L14" s="139">
        <f>VLOOKUP(E14,'[1]MASTER WORKFILE MY26.2'!$H:$AC,22,0)</f>
        <v>1141.1999999999998</v>
      </c>
      <c r="M14" s="116">
        <f>VLOOKUP(E14,'North Kite &amp; Foils '!E:M,9,0)</f>
        <v>0</v>
      </c>
      <c r="N14" s="71">
        <f t="shared" si="0"/>
        <v>0</v>
      </c>
      <c r="O14" s="61" t="s">
        <v>1751</v>
      </c>
      <c r="P14" s="61" t="s">
        <v>1751</v>
      </c>
      <c r="Q14" s="61" t="s">
        <v>1625</v>
      </c>
      <c r="R14" s="53"/>
    </row>
    <row r="15" spans="1:18" s="72" customFormat="1" ht="15" customHeight="1" x14ac:dyDescent="0.3">
      <c r="A15" s="124">
        <v>3</v>
      </c>
      <c r="B15" s="59" t="s">
        <v>19</v>
      </c>
      <c r="C15" s="59" t="s">
        <v>1</v>
      </c>
      <c r="D15" s="115" t="s">
        <v>146</v>
      </c>
      <c r="E15" s="59" t="s">
        <v>150</v>
      </c>
      <c r="F15" s="115" t="s">
        <v>148</v>
      </c>
      <c r="G15" s="59" t="s">
        <v>133</v>
      </c>
      <c r="H15" s="59" t="s">
        <v>134</v>
      </c>
      <c r="I15" s="115" t="s">
        <v>40</v>
      </c>
      <c r="J15" s="125" t="s">
        <v>101</v>
      </c>
      <c r="K15" s="70">
        <v>2339</v>
      </c>
      <c r="L15" s="139">
        <f>VLOOKUP(E15,'[1]MASTER WORKFILE MY26.2'!$H:$AC,22,0)</f>
        <v>1186.8999999999999</v>
      </c>
      <c r="M15" s="116">
        <f>VLOOKUP(E15,'North Kite &amp; Foils '!E:M,9,0)</f>
        <v>0</v>
      </c>
      <c r="N15" s="71">
        <f t="shared" si="0"/>
        <v>0</v>
      </c>
      <c r="O15" s="61" t="s">
        <v>1751</v>
      </c>
      <c r="P15" s="61" t="s">
        <v>1751</v>
      </c>
      <c r="Q15" s="61" t="s">
        <v>1625</v>
      </c>
      <c r="R15" s="53"/>
    </row>
    <row r="16" spans="1:18" s="72" customFormat="1" ht="15" customHeight="1" x14ac:dyDescent="0.3">
      <c r="A16" s="124">
        <v>4</v>
      </c>
      <c r="B16" s="59" t="s">
        <v>19</v>
      </c>
      <c r="C16" s="59" t="s">
        <v>1</v>
      </c>
      <c r="D16" s="115" t="s">
        <v>146</v>
      </c>
      <c r="E16" s="59" t="s">
        <v>151</v>
      </c>
      <c r="F16" s="115" t="s">
        <v>148</v>
      </c>
      <c r="G16" s="59" t="s">
        <v>133</v>
      </c>
      <c r="H16" s="59" t="s">
        <v>134</v>
      </c>
      <c r="I16" s="115" t="s">
        <v>42</v>
      </c>
      <c r="J16" s="125" t="s">
        <v>101</v>
      </c>
      <c r="K16" s="70">
        <v>2419</v>
      </c>
      <c r="L16" s="139">
        <f>VLOOKUP(E16,'[1]MASTER WORKFILE MY26.2'!$H:$AC,22,0)</f>
        <v>1227.5</v>
      </c>
      <c r="M16" s="116">
        <f>VLOOKUP(E16,'North Kite &amp; Foils '!E:M,9,0)</f>
        <v>0</v>
      </c>
      <c r="N16" s="71">
        <f t="shared" si="0"/>
        <v>0</v>
      </c>
      <c r="O16" s="61" t="s">
        <v>1751</v>
      </c>
      <c r="P16" s="61" t="s">
        <v>1751</v>
      </c>
      <c r="Q16" s="61" t="s">
        <v>1625</v>
      </c>
      <c r="R16" s="53"/>
    </row>
    <row r="17" spans="1:18" s="72" customFormat="1" ht="15" customHeight="1" x14ac:dyDescent="0.3">
      <c r="A17" s="124">
        <v>5</v>
      </c>
      <c r="B17" s="59" t="s">
        <v>19</v>
      </c>
      <c r="C17" s="59" t="s">
        <v>1</v>
      </c>
      <c r="D17" s="115" t="s">
        <v>146</v>
      </c>
      <c r="E17" s="59" t="s">
        <v>152</v>
      </c>
      <c r="F17" s="115" t="s">
        <v>148</v>
      </c>
      <c r="G17" s="59" t="s">
        <v>133</v>
      </c>
      <c r="H17" s="59" t="s">
        <v>134</v>
      </c>
      <c r="I17" s="115" t="s">
        <v>52</v>
      </c>
      <c r="J17" s="125" t="s">
        <v>101</v>
      </c>
      <c r="K17" s="70">
        <v>2499</v>
      </c>
      <c r="L17" s="139">
        <f>VLOOKUP(E17,'[1]MASTER WORKFILE MY26.2'!$H:$AC,22,0)</f>
        <v>1268.0999999999999</v>
      </c>
      <c r="M17" s="116">
        <f>VLOOKUP(E17,'North Kite &amp; Foils '!E:M,9,0)</f>
        <v>0</v>
      </c>
      <c r="N17" s="71">
        <f t="shared" si="0"/>
        <v>0</v>
      </c>
      <c r="O17" s="61" t="s">
        <v>1751</v>
      </c>
      <c r="P17" s="61" t="s">
        <v>1751</v>
      </c>
      <c r="Q17" s="61" t="s">
        <v>1625</v>
      </c>
      <c r="R17" s="53"/>
    </row>
    <row r="18" spans="1:18" s="72" customFormat="1" ht="15" customHeight="1" x14ac:dyDescent="0.3">
      <c r="A18" s="124">
        <v>6</v>
      </c>
      <c r="B18" s="59" t="s">
        <v>19</v>
      </c>
      <c r="C18" s="59" t="s">
        <v>1</v>
      </c>
      <c r="D18" s="115" t="s">
        <v>146</v>
      </c>
      <c r="E18" s="59" t="s">
        <v>153</v>
      </c>
      <c r="F18" s="115" t="s">
        <v>148</v>
      </c>
      <c r="G18" s="59" t="s">
        <v>133</v>
      </c>
      <c r="H18" s="59" t="s">
        <v>134</v>
      </c>
      <c r="I18" s="115" t="s">
        <v>44</v>
      </c>
      <c r="J18" s="125" t="s">
        <v>101</v>
      </c>
      <c r="K18" s="70">
        <v>2589</v>
      </c>
      <c r="L18" s="139">
        <f>VLOOKUP(E18,'[1]MASTER WORKFILE MY26.2'!$H:$AC,22,0)</f>
        <v>1313.8</v>
      </c>
      <c r="M18" s="116">
        <f>VLOOKUP(E18,'North Kite &amp; Foils '!E:M,9,0)</f>
        <v>0</v>
      </c>
      <c r="N18" s="71">
        <f t="shared" si="0"/>
        <v>0</v>
      </c>
      <c r="O18" s="61" t="s">
        <v>1751</v>
      </c>
      <c r="P18" s="61" t="s">
        <v>1751</v>
      </c>
      <c r="Q18" s="61" t="s">
        <v>1625</v>
      </c>
      <c r="R18" s="53"/>
    </row>
    <row r="19" spans="1:18" s="72" customFormat="1" ht="15" customHeight="1" x14ac:dyDescent="0.3">
      <c r="A19" s="124">
        <v>7</v>
      </c>
      <c r="B19" s="59" t="s">
        <v>19</v>
      </c>
      <c r="C19" s="59" t="s">
        <v>1</v>
      </c>
      <c r="D19" s="115" t="s">
        <v>146</v>
      </c>
      <c r="E19" s="59" t="s">
        <v>154</v>
      </c>
      <c r="F19" s="115" t="s">
        <v>148</v>
      </c>
      <c r="G19" s="59" t="s">
        <v>133</v>
      </c>
      <c r="H19" s="59" t="s">
        <v>134</v>
      </c>
      <c r="I19" s="115" t="s">
        <v>54</v>
      </c>
      <c r="J19" s="125" t="s">
        <v>101</v>
      </c>
      <c r="K19" s="70">
        <v>2679</v>
      </c>
      <c r="L19" s="139">
        <f>VLOOKUP(E19,'[1]MASTER WORKFILE MY26.2'!$H:$AC,22,0)</f>
        <v>1359.3999999999999</v>
      </c>
      <c r="M19" s="116">
        <f>VLOOKUP(E19,'North Kite &amp; Foils '!E:M,9,0)</f>
        <v>0</v>
      </c>
      <c r="N19" s="71">
        <f t="shared" si="0"/>
        <v>0</v>
      </c>
      <c r="O19" s="61" t="s">
        <v>1751</v>
      </c>
      <c r="P19" s="61" t="s">
        <v>1751</v>
      </c>
      <c r="Q19" s="61" t="s">
        <v>1625</v>
      </c>
      <c r="R19" s="53"/>
    </row>
    <row r="20" spans="1:18" ht="15" customHeight="1" x14ac:dyDescent="0.3">
      <c r="A20" s="124">
        <v>8</v>
      </c>
      <c r="B20" s="59" t="s">
        <v>19</v>
      </c>
      <c r="C20" s="59" t="s">
        <v>1</v>
      </c>
      <c r="D20" s="115" t="s">
        <v>146</v>
      </c>
      <c r="E20" s="59" t="s">
        <v>155</v>
      </c>
      <c r="F20" s="115" t="s">
        <v>148</v>
      </c>
      <c r="G20" s="59" t="s">
        <v>133</v>
      </c>
      <c r="H20" s="59" t="s">
        <v>134</v>
      </c>
      <c r="I20" s="115" t="s">
        <v>118</v>
      </c>
      <c r="J20" s="125" t="s">
        <v>101</v>
      </c>
      <c r="K20" s="70">
        <v>2769</v>
      </c>
      <c r="L20" s="139">
        <f>VLOOKUP(E20,'[1]MASTER WORKFILE MY26.2'!$H:$AC,22,0)</f>
        <v>1405.1</v>
      </c>
      <c r="M20" s="116">
        <f>VLOOKUP(E20,'North Kite &amp; Foils '!E:M,9,0)</f>
        <v>0</v>
      </c>
      <c r="N20" s="71">
        <f t="shared" si="0"/>
        <v>0</v>
      </c>
      <c r="O20" s="61" t="s">
        <v>1751</v>
      </c>
      <c r="P20" s="61" t="s">
        <v>1751</v>
      </c>
      <c r="Q20" s="61" t="s">
        <v>1625</v>
      </c>
    </row>
    <row r="21" spans="1:18" ht="15" customHeight="1" x14ac:dyDescent="0.3">
      <c r="A21" s="124">
        <v>9</v>
      </c>
      <c r="B21" s="59" t="s">
        <v>19</v>
      </c>
      <c r="C21" s="59" t="s">
        <v>1</v>
      </c>
      <c r="D21" s="115" t="s">
        <v>146</v>
      </c>
      <c r="E21" s="59" t="s">
        <v>156</v>
      </c>
      <c r="F21" s="115" t="s">
        <v>148</v>
      </c>
      <c r="G21" s="59" t="s">
        <v>133</v>
      </c>
      <c r="H21" s="59" t="s">
        <v>134</v>
      </c>
      <c r="I21" s="115" t="s">
        <v>120</v>
      </c>
      <c r="J21" s="125" t="s">
        <v>101</v>
      </c>
      <c r="K21" s="70">
        <v>2859</v>
      </c>
      <c r="L21" s="139">
        <f>VLOOKUP(E21,'[1]MASTER WORKFILE MY26.2'!$H:$AC,22,0)</f>
        <v>1450.8</v>
      </c>
      <c r="M21" s="116">
        <f>VLOOKUP(E21,'North Kite &amp; Foils '!E:M,9,0)</f>
        <v>0</v>
      </c>
      <c r="N21" s="71">
        <f t="shared" si="0"/>
        <v>0</v>
      </c>
      <c r="O21" s="61" t="s">
        <v>1751</v>
      </c>
      <c r="P21" s="61" t="s">
        <v>1751</v>
      </c>
      <c r="Q21" s="61" t="s">
        <v>1625</v>
      </c>
    </row>
    <row r="22" spans="1:18" ht="15" customHeight="1" x14ac:dyDescent="0.3">
      <c r="A22" s="124">
        <v>10</v>
      </c>
      <c r="B22" s="59" t="s">
        <v>19</v>
      </c>
      <c r="C22" s="59" t="s">
        <v>1</v>
      </c>
      <c r="D22" s="115" t="s">
        <v>98</v>
      </c>
      <c r="E22" s="59" t="s">
        <v>99</v>
      </c>
      <c r="F22" s="115" t="s">
        <v>100</v>
      </c>
      <c r="G22" s="59" t="s">
        <v>30</v>
      </c>
      <c r="H22" s="59" t="s">
        <v>31</v>
      </c>
      <c r="I22" s="115" t="s">
        <v>32</v>
      </c>
      <c r="J22" s="125" t="s">
        <v>101</v>
      </c>
      <c r="K22" s="70">
        <v>1499</v>
      </c>
      <c r="L22" s="139">
        <f>VLOOKUP(E22,'[1]MASTER WORKFILE MY26.2'!$H:$AC,22,0)</f>
        <v>760.7</v>
      </c>
      <c r="M22" s="116">
        <f>VLOOKUP(E22,'North Kite &amp; Foils '!E:M,9,0)</f>
        <v>0</v>
      </c>
      <c r="N22" s="71">
        <f t="shared" si="0"/>
        <v>0</v>
      </c>
      <c r="O22" s="61" t="s">
        <v>1751</v>
      </c>
      <c r="P22" s="61" t="s">
        <v>1751</v>
      </c>
      <c r="Q22" s="61" t="s">
        <v>1625</v>
      </c>
    </row>
    <row r="23" spans="1:18" ht="15" customHeight="1" x14ac:dyDescent="0.3">
      <c r="A23" s="124">
        <v>11</v>
      </c>
      <c r="B23" s="59" t="s">
        <v>19</v>
      </c>
      <c r="C23" s="59" t="s">
        <v>1</v>
      </c>
      <c r="D23" s="115" t="s">
        <v>98</v>
      </c>
      <c r="E23" s="59" t="s">
        <v>102</v>
      </c>
      <c r="F23" s="115" t="s">
        <v>100</v>
      </c>
      <c r="G23" s="59" t="s">
        <v>30</v>
      </c>
      <c r="H23" s="59" t="s">
        <v>31</v>
      </c>
      <c r="I23" s="115" t="s">
        <v>34</v>
      </c>
      <c r="J23" s="125" t="s">
        <v>101</v>
      </c>
      <c r="K23" s="70">
        <v>1579</v>
      </c>
      <c r="L23" s="139">
        <f>VLOOKUP(E23,'[1]MASTER WORKFILE MY26.2'!$H:$AC,22,0)</f>
        <v>801.30000000000007</v>
      </c>
      <c r="M23" s="116">
        <f>VLOOKUP(E23,'North Kite &amp; Foils '!E:M,9,0)</f>
        <v>0</v>
      </c>
      <c r="N23" s="71">
        <f t="shared" si="0"/>
        <v>0</v>
      </c>
      <c r="O23" s="61" t="s">
        <v>1751</v>
      </c>
      <c r="P23" s="61" t="s">
        <v>1751</v>
      </c>
      <c r="Q23" s="61" t="s">
        <v>1625</v>
      </c>
    </row>
    <row r="24" spans="1:18" ht="15" customHeight="1" x14ac:dyDescent="0.3">
      <c r="A24" s="124">
        <v>12</v>
      </c>
      <c r="B24" s="59" t="s">
        <v>19</v>
      </c>
      <c r="C24" s="59" t="s">
        <v>1</v>
      </c>
      <c r="D24" s="115" t="s">
        <v>98</v>
      </c>
      <c r="E24" s="59" t="s">
        <v>103</v>
      </c>
      <c r="F24" s="115" t="s">
        <v>100</v>
      </c>
      <c r="G24" s="59" t="s">
        <v>30</v>
      </c>
      <c r="H24" s="59" t="s">
        <v>31</v>
      </c>
      <c r="I24" s="115" t="s">
        <v>36</v>
      </c>
      <c r="J24" s="125" t="s">
        <v>101</v>
      </c>
      <c r="K24" s="70">
        <v>1659</v>
      </c>
      <c r="L24" s="139">
        <f>VLOOKUP(E24,'[1]MASTER WORKFILE MY26.2'!$H:$AC,22,0)</f>
        <v>841.9</v>
      </c>
      <c r="M24" s="116">
        <f>VLOOKUP(E24,'North Kite &amp; Foils '!E:M,9,0)</f>
        <v>0</v>
      </c>
      <c r="N24" s="71">
        <f t="shared" si="0"/>
        <v>0</v>
      </c>
      <c r="O24" s="61" t="s">
        <v>1751</v>
      </c>
      <c r="P24" s="61" t="s">
        <v>1751</v>
      </c>
      <c r="Q24" s="61" t="s">
        <v>1625</v>
      </c>
    </row>
    <row r="25" spans="1:18" ht="15" customHeight="1" x14ac:dyDescent="0.3">
      <c r="A25" s="124">
        <v>13</v>
      </c>
      <c r="B25" s="59" t="s">
        <v>19</v>
      </c>
      <c r="C25" s="59" t="s">
        <v>1</v>
      </c>
      <c r="D25" s="115" t="s">
        <v>98</v>
      </c>
      <c r="E25" s="59" t="s">
        <v>104</v>
      </c>
      <c r="F25" s="115" t="s">
        <v>100</v>
      </c>
      <c r="G25" s="59" t="s">
        <v>30</v>
      </c>
      <c r="H25" s="59" t="s">
        <v>31</v>
      </c>
      <c r="I25" s="115" t="s">
        <v>38</v>
      </c>
      <c r="J25" s="125" t="s">
        <v>101</v>
      </c>
      <c r="K25" s="70">
        <v>1729</v>
      </c>
      <c r="L25" s="139">
        <f>VLOOKUP(E25,'[1]MASTER WORKFILE MY26.2'!$H:$AC,22,0)</f>
        <v>877.4</v>
      </c>
      <c r="M25" s="116">
        <f>VLOOKUP(E25,'North Kite &amp; Foils '!E:M,9,0)</f>
        <v>0</v>
      </c>
      <c r="N25" s="71">
        <f t="shared" si="0"/>
        <v>0</v>
      </c>
      <c r="O25" s="61" t="s">
        <v>1751</v>
      </c>
      <c r="P25" s="61" t="s">
        <v>1751</v>
      </c>
      <c r="Q25" s="61" t="s">
        <v>1625</v>
      </c>
    </row>
    <row r="26" spans="1:18" ht="15" customHeight="1" x14ac:dyDescent="0.3">
      <c r="A26" s="124">
        <v>14</v>
      </c>
      <c r="B26" s="59" t="s">
        <v>19</v>
      </c>
      <c r="C26" s="59" t="s">
        <v>1</v>
      </c>
      <c r="D26" s="115" t="s">
        <v>98</v>
      </c>
      <c r="E26" s="59" t="s">
        <v>105</v>
      </c>
      <c r="F26" s="115" t="s">
        <v>100</v>
      </c>
      <c r="G26" s="59" t="s">
        <v>30</v>
      </c>
      <c r="H26" s="59" t="s">
        <v>31</v>
      </c>
      <c r="I26" s="147" t="s">
        <v>40</v>
      </c>
      <c r="J26" s="125" t="s">
        <v>101</v>
      </c>
      <c r="K26" s="70">
        <v>1809</v>
      </c>
      <c r="L26" s="139">
        <f>VLOOKUP(E26,'[1]MASTER WORKFILE MY26.2'!$H:$AC,22,0)</f>
        <v>918</v>
      </c>
      <c r="M26" s="116">
        <f>VLOOKUP(E26,'North Kite &amp; Foils '!E:M,9,0)</f>
        <v>0</v>
      </c>
      <c r="N26" s="71">
        <f t="shared" si="0"/>
        <v>0</v>
      </c>
      <c r="O26" s="61" t="s">
        <v>1751</v>
      </c>
      <c r="P26" s="61" t="s">
        <v>1751</v>
      </c>
      <c r="Q26" s="61" t="s">
        <v>1625</v>
      </c>
    </row>
    <row r="27" spans="1:18" ht="15" customHeight="1" x14ac:dyDescent="0.3">
      <c r="A27" s="124">
        <v>15</v>
      </c>
      <c r="B27" s="59" t="s">
        <v>19</v>
      </c>
      <c r="C27" s="59" t="s">
        <v>1</v>
      </c>
      <c r="D27" s="115" t="s">
        <v>98</v>
      </c>
      <c r="E27" s="59" t="s">
        <v>106</v>
      </c>
      <c r="F27" s="115" t="s">
        <v>100</v>
      </c>
      <c r="G27" s="59" t="s">
        <v>30</v>
      </c>
      <c r="H27" s="59" t="s">
        <v>31</v>
      </c>
      <c r="I27" s="115" t="s">
        <v>42</v>
      </c>
      <c r="J27" s="125" t="s">
        <v>101</v>
      </c>
      <c r="K27" s="70">
        <v>1889</v>
      </c>
      <c r="L27" s="139">
        <f>VLOOKUP(E27,'[1]MASTER WORKFILE MY26.2'!$H:$AC,22,0)</f>
        <v>958.6</v>
      </c>
      <c r="M27" s="116">
        <f>VLOOKUP(E27,'North Kite &amp; Foils '!E:M,9,0)</f>
        <v>0</v>
      </c>
      <c r="N27" s="71">
        <f t="shared" si="0"/>
        <v>0</v>
      </c>
      <c r="O27" s="61" t="s">
        <v>1751</v>
      </c>
      <c r="P27" s="61" t="s">
        <v>1751</v>
      </c>
      <c r="Q27" s="61" t="s">
        <v>1625</v>
      </c>
    </row>
    <row r="28" spans="1:18" ht="15" customHeight="1" x14ac:dyDescent="0.3">
      <c r="A28" s="124">
        <v>16</v>
      </c>
      <c r="B28" s="59" t="s">
        <v>19</v>
      </c>
      <c r="C28" s="59" t="s">
        <v>1</v>
      </c>
      <c r="D28" s="115" t="s">
        <v>98</v>
      </c>
      <c r="E28" s="59" t="s">
        <v>107</v>
      </c>
      <c r="F28" s="115" t="s">
        <v>100</v>
      </c>
      <c r="G28" s="59" t="s">
        <v>30</v>
      </c>
      <c r="H28" s="59" t="s">
        <v>31</v>
      </c>
      <c r="I28" s="115" t="s">
        <v>52</v>
      </c>
      <c r="J28" s="125" t="s">
        <v>101</v>
      </c>
      <c r="K28" s="70">
        <v>1969</v>
      </c>
      <c r="L28" s="139">
        <f>VLOOKUP(E28,'[1]MASTER WORKFILE MY26.2'!$H:$AC,22,0)</f>
        <v>999.2</v>
      </c>
      <c r="M28" s="116">
        <f>VLOOKUP(E28,'North Kite &amp; Foils '!E:M,9,0)</f>
        <v>0</v>
      </c>
      <c r="N28" s="71">
        <f t="shared" si="0"/>
        <v>0</v>
      </c>
      <c r="O28" s="61" t="s">
        <v>1751</v>
      </c>
      <c r="P28" s="61" t="s">
        <v>1751</v>
      </c>
      <c r="Q28" s="61" t="s">
        <v>1625</v>
      </c>
    </row>
    <row r="29" spans="1:18" ht="15" customHeight="1" x14ac:dyDescent="0.3">
      <c r="A29" s="124">
        <v>17</v>
      </c>
      <c r="B29" s="59" t="s">
        <v>19</v>
      </c>
      <c r="C29" s="59" t="s">
        <v>1</v>
      </c>
      <c r="D29" s="115" t="s">
        <v>98</v>
      </c>
      <c r="E29" s="59" t="s">
        <v>108</v>
      </c>
      <c r="F29" s="115" t="s">
        <v>100</v>
      </c>
      <c r="G29" s="59" t="s">
        <v>30</v>
      </c>
      <c r="H29" s="59" t="s">
        <v>31</v>
      </c>
      <c r="I29" s="115" t="s">
        <v>44</v>
      </c>
      <c r="J29" s="125" t="s">
        <v>101</v>
      </c>
      <c r="K29" s="70">
        <v>2049</v>
      </c>
      <c r="L29" s="139">
        <f>VLOOKUP(E29,'[1]MASTER WORKFILE MY26.2'!$H:$AC,22,0)</f>
        <v>1039.8</v>
      </c>
      <c r="M29" s="116">
        <f>VLOOKUP(E29,'North Kite &amp; Foils '!E:M,9,0)</f>
        <v>0</v>
      </c>
      <c r="N29" s="71">
        <f t="shared" si="0"/>
        <v>0</v>
      </c>
      <c r="O29" s="61" t="s">
        <v>1751</v>
      </c>
      <c r="P29" s="61" t="s">
        <v>1751</v>
      </c>
      <c r="Q29" s="61" t="s">
        <v>1625</v>
      </c>
    </row>
    <row r="30" spans="1:18" ht="15" customHeight="1" x14ac:dyDescent="0.3">
      <c r="A30" s="124">
        <v>18</v>
      </c>
      <c r="B30" s="59" t="s">
        <v>19</v>
      </c>
      <c r="C30" s="59" t="s">
        <v>1</v>
      </c>
      <c r="D30" s="115" t="s">
        <v>98</v>
      </c>
      <c r="E30" s="59" t="s">
        <v>109</v>
      </c>
      <c r="F30" s="115" t="s">
        <v>100</v>
      </c>
      <c r="G30" s="59" t="s">
        <v>81</v>
      </c>
      <c r="H30" s="59" t="s">
        <v>82</v>
      </c>
      <c r="I30" s="115" t="s">
        <v>34</v>
      </c>
      <c r="J30" s="125" t="s">
        <v>101</v>
      </c>
      <c r="K30" s="70">
        <v>1579</v>
      </c>
      <c r="L30" s="139">
        <f>VLOOKUP(E30,'[1]MASTER WORKFILE MY26.2'!$H:$AC,22,0)</f>
        <v>801.30000000000007</v>
      </c>
      <c r="M30" s="116">
        <f>VLOOKUP(E30,'North Kite &amp; Foils '!E:M,9,0)</f>
        <v>0</v>
      </c>
      <c r="N30" s="71">
        <f t="shared" si="0"/>
        <v>0</v>
      </c>
      <c r="O30" s="61" t="s">
        <v>1751</v>
      </c>
      <c r="P30" s="61" t="s">
        <v>1751</v>
      </c>
      <c r="Q30" s="61" t="s">
        <v>1625</v>
      </c>
    </row>
    <row r="31" spans="1:18" ht="15" customHeight="1" x14ac:dyDescent="0.3">
      <c r="A31" s="124">
        <v>19</v>
      </c>
      <c r="B31" s="59" t="s">
        <v>19</v>
      </c>
      <c r="C31" s="59" t="s">
        <v>1</v>
      </c>
      <c r="D31" s="115" t="s">
        <v>98</v>
      </c>
      <c r="E31" s="59" t="s">
        <v>110</v>
      </c>
      <c r="F31" s="115" t="s">
        <v>100</v>
      </c>
      <c r="G31" s="59" t="s">
        <v>81</v>
      </c>
      <c r="H31" s="59" t="s">
        <v>82</v>
      </c>
      <c r="I31" s="115" t="s">
        <v>36</v>
      </c>
      <c r="J31" s="125" t="s">
        <v>101</v>
      </c>
      <c r="K31" s="70">
        <v>1659</v>
      </c>
      <c r="L31" s="139">
        <f>VLOOKUP(E31,'[1]MASTER WORKFILE MY26.2'!$H:$AC,22,0)</f>
        <v>841.9</v>
      </c>
      <c r="M31" s="116">
        <f>VLOOKUP(E31,'North Kite &amp; Foils '!E:M,9,0)</f>
        <v>0</v>
      </c>
      <c r="N31" s="71">
        <f t="shared" si="0"/>
        <v>0</v>
      </c>
      <c r="O31" s="61" t="s">
        <v>1751</v>
      </c>
      <c r="P31" s="61" t="s">
        <v>1751</v>
      </c>
      <c r="Q31" s="61" t="s">
        <v>1625</v>
      </c>
    </row>
    <row r="32" spans="1:18" ht="15" customHeight="1" x14ac:dyDescent="0.3">
      <c r="A32" s="124">
        <v>20</v>
      </c>
      <c r="B32" s="59" t="s">
        <v>19</v>
      </c>
      <c r="C32" s="59" t="s">
        <v>1</v>
      </c>
      <c r="D32" s="115" t="s">
        <v>98</v>
      </c>
      <c r="E32" s="59" t="s">
        <v>111</v>
      </c>
      <c r="F32" s="115" t="s">
        <v>100</v>
      </c>
      <c r="G32" s="59" t="s">
        <v>81</v>
      </c>
      <c r="H32" s="59" t="s">
        <v>82</v>
      </c>
      <c r="I32" s="115" t="s">
        <v>38</v>
      </c>
      <c r="J32" s="125" t="s">
        <v>101</v>
      </c>
      <c r="K32" s="70">
        <v>1729</v>
      </c>
      <c r="L32" s="139">
        <f>VLOOKUP(E32,'[1]MASTER WORKFILE MY26.2'!$H:$AC,22,0)</f>
        <v>877.4</v>
      </c>
      <c r="M32" s="116">
        <f>VLOOKUP(E32,'North Kite &amp; Foils '!E:M,9,0)</f>
        <v>0</v>
      </c>
      <c r="N32" s="71">
        <f t="shared" si="0"/>
        <v>0</v>
      </c>
      <c r="O32" s="61" t="s">
        <v>1751</v>
      </c>
      <c r="P32" s="61" t="s">
        <v>1751</v>
      </c>
      <c r="Q32" s="61" t="s">
        <v>1625</v>
      </c>
    </row>
    <row r="33" spans="1:17" ht="15" customHeight="1" x14ac:dyDescent="0.3">
      <c r="A33" s="124">
        <v>21</v>
      </c>
      <c r="B33" s="59" t="s">
        <v>19</v>
      </c>
      <c r="C33" s="59" t="s">
        <v>1</v>
      </c>
      <c r="D33" s="115" t="s">
        <v>98</v>
      </c>
      <c r="E33" s="59" t="s">
        <v>112</v>
      </c>
      <c r="F33" s="115" t="s">
        <v>100</v>
      </c>
      <c r="G33" s="59" t="s">
        <v>81</v>
      </c>
      <c r="H33" s="59" t="s">
        <v>82</v>
      </c>
      <c r="I33" s="115" t="s">
        <v>40</v>
      </c>
      <c r="J33" s="125" t="s">
        <v>101</v>
      </c>
      <c r="K33" s="70">
        <v>1809</v>
      </c>
      <c r="L33" s="139">
        <f>VLOOKUP(E33,'[1]MASTER WORKFILE MY26.2'!$H:$AC,22,0)</f>
        <v>918</v>
      </c>
      <c r="M33" s="116">
        <f>VLOOKUP(E33,'North Kite &amp; Foils '!E:M,9,0)</f>
        <v>0</v>
      </c>
      <c r="N33" s="71">
        <f t="shared" si="0"/>
        <v>0</v>
      </c>
      <c r="O33" s="61" t="s">
        <v>1751</v>
      </c>
      <c r="P33" s="61" t="s">
        <v>1751</v>
      </c>
      <c r="Q33" s="61" t="s">
        <v>1625</v>
      </c>
    </row>
    <row r="34" spans="1:17" ht="15" customHeight="1" x14ac:dyDescent="0.3">
      <c r="A34" s="124">
        <v>22</v>
      </c>
      <c r="B34" s="59" t="s">
        <v>19</v>
      </c>
      <c r="C34" s="59" t="s">
        <v>1</v>
      </c>
      <c r="D34" s="115" t="s">
        <v>98</v>
      </c>
      <c r="E34" s="59" t="s">
        <v>113</v>
      </c>
      <c r="F34" s="115" t="s">
        <v>100</v>
      </c>
      <c r="G34" s="59" t="s">
        <v>81</v>
      </c>
      <c r="H34" s="59" t="s">
        <v>82</v>
      </c>
      <c r="I34" s="115" t="s">
        <v>42</v>
      </c>
      <c r="J34" s="125" t="s">
        <v>101</v>
      </c>
      <c r="K34" s="70">
        <v>1889</v>
      </c>
      <c r="L34" s="139">
        <f>VLOOKUP(E34,'[1]MASTER WORKFILE MY26.2'!$H:$AC,22,0)</f>
        <v>958.6</v>
      </c>
      <c r="M34" s="116">
        <f>VLOOKUP(E34,'North Kite &amp; Foils '!E:M,9,0)</f>
        <v>0</v>
      </c>
      <c r="N34" s="71">
        <f t="shared" si="0"/>
        <v>0</v>
      </c>
      <c r="O34" s="61" t="s">
        <v>1751</v>
      </c>
      <c r="P34" s="61" t="s">
        <v>1751</v>
      </c>
      <c r="Q34" s="61" t="s">
        <v>1625</v>
      </c>
    </row>
    <row r="35" spans="1:17" ht="15" customHeight="1" x14ac:dyDescent="0.3">
      <c r="A35" s="124">
        <v>23</v>
      </c>
      <c r="B35" s="59" t="s">
        <v>19</v>
      </c>
      <c r="C35" s="59" t="s">
        <v>1</v>
      </c>
      <c r="D35" s="115" t="s">
        <v>98</v>
      </c>
      <c r="E35" s="59" t="s">
        <v>114</v>
      </c>
      <c r="F35" s="115" t="s">
        <v>100</v>
      </c>
      <c r="G35" s="59" t="s">
        <v>81</v>
      </c>
      <c r="H35" s="59" t="s">
        <v>82</v>
      </c>
      <c r="I35" s="115" t="s">
        <v>52</v>
      </c>
      <c r="J35" s="125" t="s">
        <v>101</v>
      </c>
      <c r="K35" s="70">
        <v>1969</v>
      </c>
      <c r="L35" s="139">
        <f>VLOOKUP(E35,'[1]MASTER WORKFILE MY26.2'!$H:$AC,22,0)</f>
        <v>999.2</v>
      </c>
      <c r="M35" s="116">
        <f>VLOOKUP(E35,'North Kite &amp; Foils '!E:M,9,0)</f>
        <v>0</v>
      </c>
      <c r="N35" s="71">
        <f t="shared" si="0"/>
        <v>0</v>
      </c>
      <c r="O35" s="61" t="s">
        <v>1751</v>
      </c>
      <c r="P35" s="61" t="s">
        <v>1751</v>
      </c>
      <c r="Q35" s="61" t="s">
        <v>1625</v>
      </c>
    </row>
    <row r="36" spans="1:17" ht="15" customHeight="1" x14ac:dyDescent="0.3">
      <c r="A36" s="124">
        <v>24</v>
      </c>
      <c r="B36" s="59" t="s">
        <v>19</v>
      </c>
      <c r="C36" s="59" t="s">
        <v>1</v>
      </c>
      <c r="D36" s="115" t="s">
        <v>98</v>
      </c>
      <c r="E36" s="59" t="s">
        <v>115</v>
      </c>
      <c r="F36" s="115" t="s">
        <v>100</v>
      </c>
      <c r="G36" s="59" t="s">
        <v>81</v>
      </c>
      <c r="H36" s="59" t="s">
        <v>82</v>
      </c>
      <c r="I36" s="115" t="s">
        <v>44</v>
      </c>
      <c r="J36" s="125" t="s">
        <v>101</v>
      </c>
      <c r="K36" s="70">
        <v>2049</v>
      </c>
      <c r="L36" s="139">
        <f>VLOOKUP(E36,'[1]MASTER WORKFILE MY26.2'!$H:$AC,22,0)</f>
        <v>1039.8</v>
      </c>
      <c r="M36" s="116">
        <f>VLOOKUP(E36,'North Kite &amp; Foils '!E:M,9,0)</f>
        <v>0</v>
      </c>
      <c r="N36" s="71">
        <f t="shared" si="0"/>
        <v>0</v>
      </c>
      <c r="O36" s="61" t="s">
        <v>1751</v>
      </c>
      <c r="P36" s="61" t="s">
        <v>1751</v>
      </c>
      <c r="Q36" s="61" t="s">
        <v>1625</v>
      </c>
    </row>
    <row r="37" spans="1:17" ht="15" customHeight="1" x14ac:dyDescent="0.3">
      <c r="A37" s="124">
        <v>25</v>
      </c>
      <c r="B37" s="59" t="s">
        <v>19</v>
      </c>
      <c r="C37" s="59" t="s">
        <v>1</v>
      </c>
      <c r="D37" s="115" t="s">
        <v>98</v>
      </c>
      <c r="E37" s="59" t="s">
        <v>116</v>
      </c>
      <c r="F37" s="115" t="s">
        <v>100</v>
      </c>
      <c r="G37" s="59" t="s">
        <v>81</v>
      </c>
      <c r="H37" s="59" t="s">
        <v>82</v>
      </c>
      <c r="I37" s="115" t="s">
        <v>54</v>
      </c>
      <c r="J37" s="125" t="s">
        <v>101</v>
      </c>
      <c r="K37" s="70">
        <v>2119</v>
      </c>
      <c r="L37" s="139">
        <f>VLOOKUP(E37,'[1]MASTER WORKFILE MY26.2'!$H:$AC,22,0)</f>
        <v>1075.3</v>
      </c>
      <c r="M37" s="116">
        <f>VLOOKUP(E37,'North Kite &amp; Foils '!E:M,9,0)</f>
        <v>0</v>
      </c>
      <c r="N37" s="71">
        <f t="shared" si="0"/>
        <v>0</v>
      </c>
      <c r="O37" s="61" t="s">
        <v>1751</v>
      </c>
      <c r="P37" s="61" t="s">
        <v>1751</v>
      </c>
      <c r="Q37" s="61" t="s">
        <v>1625</v>
      </c>
    </row>
    <row r="38" spans="1:17" ht="15" customHeight="1" x14ac:dyDescent="0.3">
      <c r="A38" s="124">
        <v>26</v>
      </c>
      <c r="B38" s="59" t="s">
        <v>19</v>
      </c>
      <c r="C38" s="59" t="s">
        <v>1</v>
      </c>
      <c r="D38" s="115" t="s">
        <v>98</v>
      </c>
      <c r="E38" s="59" t="s">
        <v>117</v>
      </c>
      <c r="F38" s="115" t="s">
        <v>100</v>
      </c>
      <c r="G38" s="59" t="s">
        <v>81</v>
      </c>
      <c r="H38" s="59" t="s">
        <v>82</v>
      </c>
      <c r="I38" s="115" t="s">
        <v>118</v>
      </c>
      <c r="J38" s="125" t="s">
        <v>101</v>
      </c>
      <c r="K38" s="70">
        <v>2279</v>
      </c>
      <c r="L38" s="139">
        <f>VLOOKUP(E38,'[1]MASTER WORKFILE MY26.2'!$H:$AC,22,0)</f>
        <v>1156.5</v>
      </c>
      <c r="M38" s="116">
        <f>VLOOKUP(E38,'North Kite &amp; Foils '!E:M,9,0)</f>
        <v>0</v>
      </c>
      <c r="N38" s="71">
        <f t="shared" si="0"/>
        <v>0</v>
      </c>
      <c r="O38" s="61" t="s">
        <v>1751</v>
      </c>
      <c r="P38" s="61" t="s">
        <v>1751</v>
      </c>
      <c r="Q38" s="61" t="s">
        <v>1625</v>
      </c>
    </row>
    <row r="39" spans="1:17" ht="15" customHeight="1" x14ac:dyDescent="0.3">
      <c r="A39" s="124">
        <v>27</v>
      </c>
      <c r="B39" s="59" t="s">
        <v>19</v>
      </c>
      <c r="C39" s="59" t="s">
        <v>1</v>
      </c>
      <c r="D39" s="115" t="s">
        <v>98</v>
      </c>
      <c r="E39" s="59" t="s">
        <v>119</v>
      </c>
      <c r="F39" s="115" t="s">
        <v>100</v>
      </c>
      <c r="G39" s="59" t="s">
        <v>81</v>
      </c>
      <c r="H39" s="59" t="s">
        <v>82</v>
      </c>
      <c r="I39" s="115" t="s">
        <v>120</v>
      </c>
      <c r="J39" s="125" t="s">
        <v>101</v>
      </c>
      <c r="K39" s="70">
        <v>2439</v>
      </c>
      <c r="L39" s="139">
        <f>VLOOKUP(E39,'[1]MASTER WORKFILE MY26.2'!$H:$AC,22,0)</f>
        <v>1237.5999999999999</v>
      </c>
      <c r="M39" s="116">
        <f>VLOOKUP(E39,'North Kite &amp; Foils '!E:M,9,0)</f>
        <v>0</v>
      </c>
      <c r="N39" s="71">
        <f t="shared" si="0"/>
        <v>0</v>
      </c>
      <c r="O39" s="61" t="s">
        <v>1751</v>
      </c>
      <c r="P39" s="61" t="s">
        <v>1751</v>
      </c>
      <c r="Q39" s="61" t="s">
        <v>1625</v>
      </c>
    </row>
    <row r="40" spans="1:17" ht="15" customHeight="1" x14ac:dyDescent="0.3">
      <c r="A40" s="124">
        <v>28</v>
      </c>
      <c r="B40" s="59" t="s">
        <v>19</v>
      </c>
      <c r="C40" s="59" t="s">
        <v>1</v>
      </c>
      <c r="D40" s="115" t="s">
        <v>98</v>
      </c>
      <c r="E40" s="59" t="s">
        <v>121</v>
      </c>
      <c r="F40" s="115" t="s">
        <v>100</v>
      </c>
      <c r="G40" s="59" t="s">
        <v>81</v>
      </c>
      <c r="H40" s="59" t="s">
        <v>82</v>
      </c>
      <c r="I40" s="115" t="s">
        <v>122</v>
      </c>
      <c r="J40" s="125" t="s">
        <v>101</v>
      </c>
      <c r="K40" s="70">
        <v>2599</v>
      </c>
      <c r="L40" s="139">
        <f>VLOOKUP(E40,'[1]MASTER WORKFILE MY26.2'!$H:$AC,22,0)</f>
        <v>1318.8</v>
      </c>
      <c r="M40" s="116">
        <f>VLOOKUP(E40,'North Kite &amp; Foils '!E:M,9,0)</f>
        <v>0</v>
      </c>
      <c r="N40" s="71">
        <f t="shared" si="0"/>
        <v>0</v>
      </c>
      <c r="O40" s="61" t="s">
        <v>1751</v>
      </c>
      <c r="P40" s="61" t="s">
        <v>1751</v>
      </c>
      <c r="Q40" s="61" t="s">
        <v>1625</v>
      </c>
    </row>
    <row r="41" spans="1:17" ht="15" customHeight="1" x14ac:dyDescent="0.3">
      <c r="A41" s="124">
        <v>29</v>
      </c>
      <c r="B41" s="59" t="s">
        <v>19</v>
      </c>
      <c r="C41" s="59" t="s">
        <v>1</v>
      </c>
      <c r="D41" s="115" t="s">
        <v>98</v>
      </c>
      <c r="E41" s="59" t="s">
        <v>123</v>
      </c>
      <c r="F41" s="115" t="s">
        <v>100</v>
      </c>
      <c r="G41" s="59" t="s">
        <v>91</v>
      </c>
      <c r="H41" s="59" t="s">
        <v>92</v>
      </c>
      <c r="I41" s="115" t="s">
        <v>34</v>
      </c>
      <c r="J41" s="125" t="s">
        <v>101</v>
      </c>
      <c r="K41" s="70">
        <v>1579</v>
      </c>
      <c r="L41" s="139">
        <f>VLOOKUP(E41,'[1]MASTER WORKFILE MY26.2'!$H:$AC,22,0)</f>
        <v>801.30000000000007</v>
      </c>
      <c r="M41" s="116">
        <f>VLOOKUP(E41,'North Kite &amp; Foils '!E:M,9,0)</f>
        <v>0</v>
      </c>
      <c r="N41" s="71">
        <f t="shared" si="0"/>
        <v>0</v>
      </c>
      <c r="O41" s="61" t="s">
        <v>1751</v>
      </c>
      <c r="P41" s="61" t="s">
        <v>1751</v>
      </c>
      <c r="Q41" s="61" t="s">
        <v>1625</v>
      </c>
    </row>
    <row r="42" spans="1:17" ht="15" customHeight="1" x14ac:dyDescent="0.3">
      <c r="A42" s="124">
        <v>30</v>
      </c>
      <c r="B42" s="59" t="s">
        <v>19</v>
      </c>
      <c r="C42" s="59" t="s">
        <v>1</v>
      </c>
      <c r="D42" s="115" t="s">
        <v>98</v>
      </c>
      <c r="E42" s="59" t="s">
        <v>124</v>
      </c>
      <c r="F42" s="115" t="s">
        <v>100</v>
      </c>
      <c r="G42" s="59" t="s">
        <v>91</v>
      </c>
      <c r="H42" s="59" t="s">
        <v>92</v>
      </c>
      <c r="I42" s="115" t="s">
        <v>36</v>
      </c>
      <c r="J42" s="125" t="s">
        <v>101</v>
      </c>
      <c r="K42" s="70">
        <v>1659</v>
      </c>
      <c r="L42" s="139">
        <f>VLOOKUP(E42,'[1]MASTER WORKFILE MY26.2'!$H:$AC,22,0)</f>
        <v>841.9</v>
      </c>
      <c r="M42" s="116">
        <f>VLOOKUP(E42,'North Kite &amp; Foils '!E:M,9,0)</f>
        <v>0</v>
      </c>
      <c r="N42" s="71">
        <f t="shared" si="0"/>
        <v>0</v>
      </c>
      <c r="O42" s="61" t="s">
        <v>1751</v>
      </c>
      <c r="P42" s="61" t="s">
        <v>1751</v>
      </c>
      <c r="Q42" s="61" t="s">
        <v>1625</v>
      </c>
    </row>
    <row r="43" spans="1:17" ht="15" customHeight="1" x14ac:dyDescent="0.3">
      <c r="A43" s="124">
        <v>31</v>
      </c>
      <c r="B43" s="59" t="s">
        <v>19</v>
      </c>
      <c r="C43" s="59" t="s">
        <v>1</v>
      </c>
      <c r="D43" s="115" t="s">
        <v>98</v>
      </c>
      <c r="E43" s="59" t="s">
        <v>125</v>
      </c>
      <c r="F43" s="115" t="s">
        <v>100</v>
      </c>
      <c r="G43" s="59" t="s">
        <v>91</v>
      </c>
      <c r="H43" s="59" t="s">
        <v>92</v>
      </c>
      <c r="I43" s="115" t="s">
        <v>38</v>
      </c>
      <c r="J43" s="125" t="s">
        <v>101</v>
      </c>
      <c r="K43" s="70">
        <v>1729</v>
      </c>
      <c r="L43" s="139">
        <f>VLOOKUP(E43,'[1]MASTER WORKFILE MY26.2'!$H:$AC,22,0)</f>
        <v>877.4</v>
      </c>
      <c r="M43" s="116">
        <f>VLOOKUP(E43,'North Kite &amp; Foils '!E:M,9,0)</f>
        <v>0</v>
      </c>
      <c r="N43" s="71">
        <f t="shared" si="0"/>
        <v>0</v>
      </c>
      <c r="O43" s="61" t="s">
        <v>1751</v>
      </c>
      <c r="P43" s="61" t="s">
        <v>1751</v>
      </c>
      <c r="Q43" s="61" t="s">
        <v>1625</v>
      </c>
    </row>
    <row r="44" spans="1:17" ht="15" customHeight="1" x14ac:dyDescent="0.3">
      <c r="A44" s="124">
        <v>32</v>
      </c>
      <c r="B44" s="59" t="s">
        <v>19</v>
      </c>
      <c r="C44" s="59" t="s">
        <v>1</v>
      </c>
      <c r="D44" s="115" t="s">
        <v>98</v>
      </c>
      <c r="E44" s="59" t="s">
        <v>126</v>
      </c>
      <c r="F44" s="115" t="s">
        <v>100</v>
      </c>
      <c r="G44" s="59" t="s">
        <v>91</v>
      </c>
      <c r="H44" s="59" t="s">
        <v>92</v>
      </c>
      <c r="I44" s="115" t="s">
        <v>40</v>
      </c>
      <c r="J44" s="125" t="s">
        <v>101</v>
      </c>
      <c r="K44" s="70">
        <v>1809</v>
      </c>
      <c r="L44" s="139">
        <f>VLOOKUP(E44,'[1]MASTER WORKFILE MY26.2'!$H:$AC,22,0)</f>
        <v>918</v>
      </c>
      <c r="M44" s="116">
        <f>VLOOKUP(E44,'North Kite &amp; Foils '!E:M,9,0)</f>
        <v>0</v>
      </c>
      <c r="N44" s="71">
        <f t="shared" si="0"/>
        <v>0</v>
      </c>
      <c r="O44" s="61" t="s">
        <v>1751</v>
      </c>
      <c r="P44" s="61" t="s">
        <v>1751</v>
      </c>
      <c r="Q44" s="61" t="s">
        <v>1625</v>
      </c>
    </row>
    <row r="45" spans="1:17" ht="15" customHeight="1" x14ac:dyDescent="0.3">
      <c r="A45" s="124">
        <v>33</v>
      </c>
      <c r="B45" s="59" t="s">
        <v>19</v>
      </c>
      <c r="C45" s="59" t="s">
        <v>1</v>
      </c>
      <c r="D45" s="115" t="s">
        <v>98</v>
      </c>
      <c r="E45" s="59" t="s">
        <v>127</v>
      </c>
      <c r="F45" s="115" t="s">
        <v>100</v>
      </c>
      <c r="G45" s="59" t="s">
        <v>91</v>
      </c>
      <c r="H45" s="59" t="s">
        <v>92</v>
      </c>
      <c r="I45" s="115" t="s">
        <v>42</v>
      </c>
      <c r="J45" s="125" t="s">
        <v>101</v>
      </c>
      <c r="K45" s="70">
        <v>1889</v>
      </c>
      <c r="L45" s="139">
        <f>VLOOKUP(E45,'[1]MASTER WORKFILE MY26.2'!$H:$AC,22,0)</f>
        <v>958.6</v>
      </c>
      <c r="M45" s="116">
        <f>VLOOKUP(E45,'North Kite &amp; Foils '!E:M,9,0)</f>
        <v>0</v>
      </c>
      <c r="N45" s="71">
        <f t="shared" si="0"/>
        <v>0</v>
      </c>
      <c r="O45" s="61" t="s">
        <v>1751</v>
      </c>
      <c r="P45" s="61" t="s">
        <v>1751</v>
      </c>
      <c r="Q45" s="61" t="s">
        <v>1625</v>
      </c>
    </row>
    <row r="46" spans="1:17" ht="15" customHeight="1" x14ac:dyDescent="0.3">
      <c r="A46" s="124">
        <v>34</v>
      </c>
      <c r="B46" s="59" t="s">
        <v>19</v>
      </c>
      <c r="C46" s="59" t="s">
        <v>1</v>
      </c>
      <c r="D46" s="115" t="s">
        <v>98</v>
      </c>
      <c r="E46" s="59" t="s">
        <v>128</v>
      </c>
      <c r="F46" s="115" t="s">
        <v>100</v>
      </c>
      <c r="G46" s="59" t="s">
        <v>91</v>
      </c>
      <c r="H46" s="59" t="s">
        <v>92</v>
      </c>
      <c r="I46" s="115" t="s">
        <v>52</v>
      </c>
      <c r="J46" s="125" t="s">
        <v>101</v>
      </c>
      <c r="K46" s="70">
        <v>1969</v>
      </c>
      <c r="L46" s="139">
        <f>VLOOKUP(E46,'[1]MASTER WORKFILE MY26.2'!$H:$AC,22,0)</f>
        <v>999.2</v>
      </c>
      <c r="M46" s="116">
        <f>VLOOKUP(E46,'North Kite &amp; Foils '!E:M,9,0)</f>
        <v>0</v>
      </c>
      <c r="N46" s="71">
        <f t="shared" si="0"/>
        <v>0</v>
      </c>
      <c r="O46" s="61" t="s">
        <v>1751</v>
      </c>
      <c r="P46" s="61" t="s">
        <v>1751</v>
      </c>
      <c r="Q46" s="61" t="s">
        <v>1625</v>
      </c>
    </row>
    <row r="47" spans="1:17" ht="15" customHeight="1" x14ac:dyDescent="0.3">
      <c r="A47" s="124">
        <v>35</v>
      </c>
      <c r="B47" s="59" t="s">
        <v>19</v>
      </c>
      <c r="C47" s="59" t="s">
        <v>1</v>
      </c>
      <c r="D47" s="115" t="s">
        <v>98</v>
      </c>
      <c r="E47" s="59" t="s">
        <v>129</v>
      </c>
      <c r="F47" s="115" t="s">
        <v>100</v>
      </c>
      <c r="G47" s="59" t="s">
        <v>91</v>
      </c>
      <c r="H47" s="59" t="s">
        <v>92</v>
      </c>
      <c r="I47" s="115" t="s">
        <v>44</v>
      </c>
      <c r="J47" s="125" t="s">
        <v>101</v>
      </c>
      <c r="K47" s="70">
        <v>2049</v>
      </c>
      <c r="L47" s="139">
        <f>VLOOKUP(E47,'[1]MASTER WORKFILE MY26.2'!$H:$AC,22,0)</f>
        <v>1039.8</v>
      </c>
      <c r="M47" s="116">
        <f>VLOOKUP(E47,'North Kite &amp; Foils '!E:M,9,0)</f>
        <v>0</v>
      </c>
      <c r="N47" s="71">
        <f t="shared" si="0"/>
        <v>0</v>
      </c>
      <c r="O47" s="61" t="s">
        <v>1751</v>
      </c>
      <c r="P47" s="61" t="s">
        <v>1751</v>
      </c>
      <c r="Q47" s="61" t="s">
        <v>1625</v>
      </c>
    </row>
    <row r="48" spans="1:17" ht="15" customHeight="1" x14ac:dyDescent="0.3">
      <c r="A48" s="124">
        <v>36</v>
      </c>
      <c r="B48" s="59" t="s">
        <v>19</v>
      </c>
      <c r="C48" s="59" t="s">
        <v>1</v>
      </c>
      <c r="D48" s="115" t="s">
        <v>130</v>
      </c>
      <c r="E48" s="59" t="s">
        <v>131</v>
      </c>
      <c r="F48" s="115" t="s">
        <v>132</v>
      </c>
      <c r="G48" s="59" t="s">
        <v>133</v>
      </c>
      <c r="H48" s="59" t="s">
        <v>134</v>
      </c>
      <c r="I48" s="115" t="s">
        <v>135</v>
      </c>
      <c r="J48" s="125" t="s">
        <v>101</v>
      </c>
      <c r="K48" s="70">
        <v>2049</v>
      </c>
      <c r="L48" s="139">
        <f>VLOOKUP(E48,'[1]MASTER WORKFILE MY26.2'!$H:$AC,22,0)</f>
        <v>1039.8</v>
      </c>
      <c r="M48" s="116">
        <f>VLOOKUP(E48,'North Kite &amp; Foils '!E:M,9,0)</f>
        <v>0</v>
      </c>
      <c r="N48" s="71">
        <f t="shared" si="0"/>
        <v>0</v>
      </c>
      <c r="O48" s="61" t="s">
        <v>1751</v>
      </c>
      <c r="P48" s="61" t="s">
        <v>1751</v>
      </c>
      <c r="Q48" s="61" t="s">
        <v>1625</v>
      </c>
    </row>
    <row r="49" spans="1:17" ht="15" customHeight="1" x14ac:dyDescent="0.3">
      <c r="A49" s="124">
        <v>37</v>
      </c>
      <c r="B49" s="59" t="s">
        <v>19</v>
      </c>
      <c r="C49" s="59" t="s">
        <v>1</v>
      </c>
      <c r="D49" s="115" t="s">
        <v>130</v>
      </c>
      <c r="E49" s="59" t="s">
        <v>136</v>
      </c>
      <c r="F49" s="115" t="s">
        <v>132</v>
      </c>
      <c r="G49" s="59" t="s">
        <v>133</v>
      </c>
      <c r="H49" s="59" t="s">
        <v>134</v>
      </c>
      <c r="I49" s="115" t="s">
        <v>137</v>
      </c>
      <c r="J49" s="125" t="s">
        <v>101</v>
      </c>
      <c r="K49" s="70">
        <v>2149</v>
      </c>
      <c r="L49" s="139">
        <f>VLOOKUP(E49,'[1]MASTER WORKFILE MY26.2'!$H:$AC,22,0)</f>
        <v>1090.5</v>
      </c>
      <c r="M49" s="116">
        <f>VLOOKUP(E49,'North Kite &amp; Foils '!E:M,9,0)</f>
        <v>0</v>
      </c>
      <c r="N49" s="71">
        <f t="shared" si="0"/>
        <v>0</v>
      </c>
      <c r="O49" s="61" t="s">
        <v>1751</v>
      </c>
      <c r="P49" s="61" t="s">
        <v>1751</v>
      </c>
      <c r="Q49" s="61" t="s">
        <v>1625</v>
      </c>
    </row>
    <row r="50" spans="1:17" ht="15" customHeight="1" x14ac:dyDescent="0.3">
      <c r="A50" s="124">
        <v>38</v>
      </c>
      <c r="B50" s="59" t="s">
        <v>19</v>
      </c>
      <c r="C50" s="59" t="s">
        <v>1</v>
      </c>
      <c r="D50" s="115" t="s">
        <v>130</v>
      </c>
      <c r="E50" s="59" t="s">
        <v>138</v>
      </c>
      <c r="F50" s="115" t="s">
        <v>132</v>
      </c>
      <c r="G50" s="59" t="s">
        <v>133</v>
      </c>
      <c r="H50" s="59" t="s">
        <v>134</v>
      </c>
      <c r="I50" s="115" t="s">
        <v>139</v>
      </c>
      <c r="J50" s="125" t="s">
        <v>101</v>
      </c>
      <c r="K50" s="70">
        <v>2249</v>
      </c>
      <c r="L50" s="139">
        <f>VLOOKUP(E50,'[1]MASTER WORKFILE MY26.2'!$H:$AC,22,0)</f>
        <v>1141.1999999999998</v>
      </c>
      <c r="M50" s="116">
        <f>VLOOKUP(E50,'North Kite &amp; Foils '!E:M,9,0)</f>
        <v>0</v>
      </c>
      <c r="N50" s="71">
        <f t="shared" si="0"/>
        <v>0</v>
      </c>
      <c r="O50" s="61" t="s">
        <v>1751</v>
      </c>
      <c r="P50" s="61" t="s">
        <v>1751</v>
      </c>
      <c r="Q50" s="61" t="s">
        <v>1625</v>
      </c>
    </row>
    <row r="51" spans="1:17" ht="15" customHeight="1" x14ac:dyDescent="0.3">
      <c r="A51" s="124">
        <v>39</v>
      </c>
      <c r="B51" s="59" t="s">
        <v>19</v>
      </c>
      <c r="C51" s="59" t="s">
        <v>1</v>
      </c>
      <c r="D51" s="115" t="s">
        <v>130</v>
      </c>
      <c r="E51" s="59" t="s">
        <v>140</v>
      </c>
      <c r="F51" s="115" t="s">
        <v>132</v>
      </c>
      <c r="G51" s="59" t="s">
        <v>133</v>
      </c>
      <c r="H51" s="59" t="s">
        <v>134</v>
      </c>
      <c r="I51" s="115" t="s">
        <v>141</v>
      </c>
      <c r="J51" s="125" t="s">
        <v>101</v>
      </c>
      <c r="K51" s="70">
        <v>2349</v>
      </c>
      <c r="L51" s="139">
        <f>VLOOKUP(E51,'[1]MASTER WORKFILE MY26.2'!$H:$AC,22,0)</f>
        <v>1192</v>
      </c>
      <c r="M51" s="116">
        <f>VLOOKUP(E51,'North Kite &amp; Foils '!E:M,9,0)</f>
        <v>0</v>
      </c>
      <c r="N51" s="71">
        <f t="shared" si="0"/>
        <v>0</v>
      </c>
      <c r="O51" s="61" t="s">
        <v>1751</v>
      </c>
      <c r="P51" s="61" t="s">
        <v>1751</v>
      </c>
      <c r="Q51" s="61" t="s">
        <v>1625</v>
      </c>
    </row>
    <row r="52" spans="1:17" ht="15" customHeight="1" x14ac:dyDescent="0.3">
      <c r="A52" s="124">
        <v>40</v>
      </c>
      <c r="B52" s="59" t="s">
        <v>19</v>
      </c>
      <c r="C52" s="59" t="s">
        <v>1</v>
      </c>
      <c r="D52" s="115" t="s">
        <v>130</v>
      </c>
      <c r="E52" s="59" t="s">
        <v>142</v>
      </c>
      <c r="F52" s="115" t="s">
        <v>132</v>
      </c>
      <c r="G52" s="59" t="s">
        <v>133</v>
      </c>
      <c r="H52" s="59" t="s">
        <v>134</v>
      </c>
      <c r="I52" s="115" t="s">
        <v>40</v>
      </c>
      <c r="J52" s="125" t="s">
        <v>101</v>
      </c>
      <c r="K52" s="70">
        <v>2449</v>
      </c>
      <c r="L52" s="139">
        <f>VLOOKUP(E52,'[1]MASTER WORKFILE MY26.2'!$H:$AC,22,0)</f>
        <v>1242.6999999999998</v>
      </c>
      <c r="M52" s="116">
        <f>VLOOKUP(E52,'North Kite &amp; Foils '!E:M,9,0)</f>
        <v>0</v>
      </c>
      <c r="N52" s="71">
        <f t="shared" si="0"/>
        <v>0</v>
      </c>
      <c r="O52" s="61" t="s">
        <v>1751</v>
      </c>
      <c r="P52" s="61" t="s">
        <v>1751</v>
      </c>
      <c r="Q52" s="61" t="s">
        <v>1625</v>
      </c>
    </row>
    <row r="53" spans="1:17" ht="15" customHeight="1" x14ac:dyDescent="0.3">
      <c r="A53" s="124">
        <v>41</v>
      </c>
      <c r="B53" s="59" t="s">
        <v>19</v>
      </c>
      <c r="C53" s="59" t="s">
        <v>1</v>
      </c>
      <c r="D53" s="115" t="s">
        <v>130</v>
      </c>
      <c r="E53" s="59" t="s">
        <v>143</v>
      </c>
      <c r="F53" s="115" t="s">
        <v>132</v>
      </c>
      <c r="G53" s="59" t="s">
        <v>133</v>
      </c>
      <c r="H53" s="59" t="s">
        <v>134</v>
      </c>
      <c r="I53" s="115" t="s">
        <v>42</v>
      </c>
      <c r="J53" s="125" t="s">
        <v>101</v>
      </c>
      <c r="K53" s="70">
        <v>2549</v>
      </c>
      <c r="L53" s="139">
        <f>VLOOKUP(E53,'[1]MASTER WORKFILE MY26.2'!$H:$AC,22,0)</f>
        <v>1293.5</v>
      </c>
      <c r="M53" s="116">
        <f>VLOOKUP(E53,'North Kite &amp; Foils '!E:M,9,0)</f>
        <v>0</v>
      </c>
      <c r="N53" s="71">
        <f t="shared" si="0"/>
        <v>0</v>
      </c>
      <c r="O53" s="61" t="s">
        <v>1751</v>
      </c>
      <c r="P53" s="61" t="s">
        <v>1751</v>
      </c>
      <c r="Q53" s="61" t="s">
        <v>1625</v>
      </c>
    </row>
    <row r="54" spans="1:17" ht="15" customHeight="1" x14ac:dyDescent="0.3">
      <c r="A54" s="124">
        <v>42</v>
      </c>
      <c r="B54" s="59" t="s">
        <v>19</v>
      </c>
      <c r="C54" s="59" t="s">
        <v>1</v>
      </c>
      <c r="D54" s="115" t="s">
        <v>130</v>
      </c>
      <c r="E54" s="59" t="s">
        <v>144</v>
      </c>
      <c r="F54" s="115" t="s">
        <v>132</v>
      </c>
      <c r="G54" s="59" t="s">
        <v>133</v>
      </c>
      <c r="H54" s="59" t="s">
        <v>134</v>
      </c>
      <c r="I54" s="115" t="s">
        <v>52</v>
      </c>
      <c r="J54" s="125" t="s">
        <v>101</v>
      </c>
      <c r="K54" s="70">
        <v>2649</v>
      </c>
      <c r="L54" s="139">
        <f>VLOOKUP(E54,'[1]MASTER WORKFILE MY26.2'!$H:$AC,22,0)</f>
        <v>1344.1999999999998</v>
      </c>
      <c r="M54" s="116">
        <f>VLOOKUP(E54,'North Kite &amp; Foils '!E:M,9,0)</f>
        <v>0</v>
      </c>
      <c r="N54" s="71">
        <f t="shared" si="0"/>
        <v>0</v>
      </c>
      <c r="O54" s="61" t="s">
        <v>1751</v>
      </c>
      <c r="P54" s="61" t="s">
        <v>1751</v>
      </c>
      <c r="Q54" s="61" t="s">
        <v>1625</v>
      </c>
    </row>
    <row r="55" spans="1:17" ht="15" customHeight="1" x14ac:dyDescent="0.3">
      <c r="A55" s="124">
        <v>43</v>
      </c>
      <c r="B55" s="59" t="s">
        <v>19</v>
      </c>
      <c r="C55" s="59" t="s">
        <v>1</v>
      </c>
      <c r="D55" s="115" t="s">
        <v>130</v>
      </c>
      <c r="E55" s="59" t="s">
        <v>145</v>
      </c>
      <c r="F55" s="115" t="s">
        <v>132</v>
      </c>
      <c r="G55" s="59" t="s">
        <v>133</v>
      </c>
      <c r="H55" s="59" t="s">
        <v>134</v>
      </c>
      <c r="I55" s="115" t="s">
        <v>44</v>
      </c>
      <c r="J55" s="125" t="s">
        <v>101</v>
      </c>
      <c r="K55" s="70">
        <v>2749</v>
      </c>
      <c r="L55" s="139">
        <f>VLOOKUP(E55,'[1]MASTER WORKFILE MY26.2'!$H:$AC,22,0)</f>
        <v>1394.8999999999999</v>
      </c>
      <c r="M55" s="116">
        <f>VLOOKUP(E55,'North Kite &amp; Foils '!E:M,9,0)</f>
        <v>0</v>
      </c>
      <c r="N55" s="71">
        <f t="shared" si="0"/>
        <v>0</v>
      </c>
      <c r="O55" s="61" t="s">
        <v>1751</v>
      </c>
      <c r="P55" s="61" t="s">
        <v>1751</v>
      </c>
      <c r="Q55" s="61" t="s">
        <v>1625</v>
      </c>
    </row>
    <row r="56" spans="1:17" ht="15" customHeight="1" x14ac:dyDescent="0.3">
      <c r="A56" s="124">
        <v>44</v>
      </c>
      <c r="B56" s="59" t="s">
        <v>19</v>
      </c>
      <c r="C56" s="59" t="s">
        <v>1</v>
      </c>
      <c r="D56" s="115" t="s">
        <v>72</v>
      </c>
      <c r="E56" s="59" t="s">
        <v>73</v>
      </c>
      <c r="F56" s="115" t="s">
        <v>74</v>
      </c>
      <c r="G56" s="59" t="s">
        <v>30</v>
      </c>
      <c r="H56" s="59" t="s">
        <v>31</v>
      </c>
      <c r="I56" s="115" t="s">
        <v>36</v>
      </c>
      <c r="J56" s="125" t="s">
        <v>26</v>
      </c>
      <c r="K56" s="70">
        <v>1729</v>
      </c>
      <c r="L56" s="139">
        <f>VLOOKUP(E56,'[1]MASTER WORKFILE MY26.2'!$H:$AC,22,0)</f>
        <v>877.4</v>
      </c>
      <c r="M56" s="116">
        <f>VLOOKUP(E56,'North Kite &amp; Foils '!E:M,9,0)</f>
        <v>0</v>
      </c>
      <c r="N56" s="71">
        <f t="shared" si="0"/>
        <v>0</v>
      </c>
      <c r="O56" s="61" t="s">
        <v>1751</v>
      </c>
      <c r="P56" s="61" t="s">
        <v>1751</v>
      </c>
      <c r="Q56" s="61" t="s">
        <v>1625</v>
      </c>
    </row>
    <row r="57" spans="1:17" ht="15" customHeight="1" x14ac:dyDescent="0.3">
      <c r="A57" s="124">
        <v>45</v>
      </c>
      <c r="B57" s="59" t="s">
        <v>19</v>
      </c>
      <c r="C57" s="59" t="s">
        <v>1</v>
      </c>
      <c r="D57" s="115" t="s">
        <v>72</v>
      </c>
      <c r="E57" s="59" t="s">
        <v>75</v>
      </c>
      <c r="F57" s="115" t="s">
        <v>74</v>
      </c>
      <c r="G57" s="59" t="s">
        <v>30</v>
      </c>
      <c r="H57" s="59" t="s">
        <v>31</v>
      </c>
      <c r="I57" s="115" t="s">
        <v>38</v>
      </c>
      <c r="J57" s="125" t="s">
        <v>26</v>
      </c>
      <c r="K57" s="70">
        <v>1799</v>
      </c>
      <c r="L57" s="139">
        <f>VLOOKUP(E57,'[1]MASTER WORKFILE MY26.2'!$H:$AC,22,0)</f>
        <v>912.9</v>
      </c>
      <c r="M57" s="116">
        <f>VLOOKUP(E57,'North Kite &amp; Foils '!E:M,9,0)</f>
        <v>0</v>
      </c>
      <c r="N57" s="71">
        <f t="shared" si="0"/>
        <v>0</v>
      </c>
      <c r="O57" s="61" t="s">
        <v>1751</v>
      </c>
      <c r="P57" s="61" t="s">
        <v>1751</v>
      </c>
      <c r="Q57" s="61" t="s">
        <v>1625</v>
      </c>
    </row>
    <row r="58" spans="1:17" ht="15" customHeight="1" x14ac:dyDescent="0.3">
      <c r="A58" s="124">
        <v>46</v>
      </c>
      <c r="B58" s="59" t="s">
        <v>19</v>
      </c>
      <c r="C58" s="59" t="s">
        <v>1</v>
      </c>
      <c r="D58" s="115" t="s">
        <v>72</v>
      </c>
      <c r="E58" s="59" t="s">
        <v>76</v>
      </c>
      <c r="F58" s="115" t="s">
        <v>74</v>
      </c>
      <c r="G58" s="59" t="s">
        <v>30</v>
      </c>
      <c r="H58" s="59" t="s">
        <v>31</v>
      </c>
      <c r="I58" s="115" t="s">
        <v>40</v>
      </c>
      <c r="J58" s="125" t="s">
        <v>26</v>
      </c>
      <c r="K58" s="70">
        <v>1879</v>
      </c>
      <c r="L58" s="139">
        <f>VLOOKUP(E58,'[1]MASTER WORKFILE MY26.2'!$H:$AC,22,0)</f>
        <v>953.5</v>
      </c>
      <c r="M58" s="116">
        <f>VLOOKUP(E58,'North Kite &amp; Foils '!E:M,9,0)</f>
        <v>0</v>
      </c>
      <c r="N58" s="71">
        <f t="shared" si="0"/>
        <v>0</v>
      </c>
      <c r="O58" s="61" t="s">
        <v>1751</v>
      </c>
      <c r="P58" s="61" t="s">
        <v>1751</v>
      </c>
      <c r="Q58" s="61" t="s">
        <v>1625</v>
      </c>
    </row>
    <row r="59" spans="1:17" ht="15" customHeight="1" x14ac:dyDescent="0.3">
      <c r="A59" s="124">
        <v>47</v>
      </c>
      <c r="B59" s="59" t="s">
        <v>19</v>
      </c>
      <c r="C59" s="59" t="s">
        <v>1</v>
      </c>
      <c r="D59" s="115" t="s">
        <v>72</v>
      </c>
      <c r="E59" s="59" t="s">
        <v>77</v>
      </c>
      <c r="F59" s="115" t="s">
        <v>74</v>
      </c>
      <c r="G59" s="59" t="s">
        <v>30</v>
      </c>
      <c r="H59" s="59" t="s">
        <v>31</v>
      </c>
      <c r="I59" s="115" t="s">
        <v>42</v>
      </c>
      <c r="J59" s="125" t="s">
        <v>26</v>
      </c>
      <c r="K59" s="70">
        <v>1949</v>
      </c>
      <c r="L59" s="139">
        <f>VLOOKUP(E59,'[1]MASTER WORKFILE MY26.2'!$H:$AC,22,0)</f>
        <v>989</v>
      </c>
      <c r="M59" s="116">
        <f>VLOOKUP(E59,'North Kite &amp; Foils '!E:M,9,0)</f>
        <v>0</v>
      </c>
      <c r="N59" s="71">
        <f t="shared" si="0"/>
        <v>0</v>
      </c>
      <c r="O59" s="61" t="s">
        <v>1751</v>
      </c>
      <c r="P59" s="61" t="s">
        <v>1751</v>
      </c>
      <c r="Q59" s="61" t="s">
        <v>1625</v>
      </c>
    </row>
    <row r="60" spans="1:17" ht="15" customHeight="1" x14ac:dyDescent="0.3">
      <c r="A60" s="124">
        <v>48</v>
      </c>
      <c r="B60" s="59" t="s">
        <v>19</v>
      </c>
      <c r="C60" s="59" t="s">
        <v>1</v>
      </c>
      <c r="D60" s="115" t="s">
        <v>72</v>
      </c>
      <c r="E60" s="59" t="s">
        <v>78</v>
      </c>
      <c r="F60" s="115" t="s">
        <v>74</v>
      </c>
      <c r="G60" s="59" t="s">
        <v>30</v>
      </c>
      <c r="H60" s="59" t="s">
        <v>31</v>
      </c>
      <c r="I60" s="115" t="s">
        <v>52</v>
      </c>
      <c r="J60" s="125" t="s">
        <v>26</v>
      </c>
      <c r="K60" s="70">
        <v>2039</v>
      </c>
      <c r="L60" s="139">
        <f>VLOOKUP(E60,'[1]MASTER WORKFILE MY26.2'!$H:$AC,22,0)</f>
        <v>1034.6999999999998</v>
      </c>
      <c r="M60" s="116">
        <f>VLOOKUP(E60,'North Kite &amp; Foils '!E:M,9,0)</f>
        <v>0</v>
      </c>
      <c r="N60" s="71">
        <f t="shared" si="0"/>
        <v>0</v>
      </c>
      <c r="O60" s="61" t="s">
        <v>1751</v>
      </c>
      <c r="P60" s="61" t="s">
        <v>1751</v>
      </c>
      <c r="Q60" s="61" t="s">
        <v>1625</v>
      </c>
    </row>
    <row r="61" spans="1:17" ht="15" customHeight="1" x14ac:dyDescent="0.3">
      <c r="A61" s="124">
        <v>49</v>
      </c>
      <c r="B61" s="59" t="s">
        <v>19</v>
      </c>
      <c r="C61" s="59" t="s">
        <v>1</v>
      </c>
      <c r="D61" s="115" t="s">
        <v>72</v>
      </c>
      <c r="E61" s="59" t="s">
        <v>79</v>
      </c>
      <c r="F61" s="115" t="s">
        <v>74</v>
      </c>
      <c r="G61" s="59" t="s">
        <v>30</v>
      </c>
      <c r="H61" s="59" t="s">
        <v>31</v>
      </c>
      <c r="I61" s="147" t="s">
        <v>44</v>
      </c>
      <c r="J61" s="125" t="s">
        <v>26</v>
      </c>
      <c r="K61" s="70">
        <v>2119</v>
      </c>
      <c r="L61" s="139">
        <f>VLOOKUP(E61,'[1]MASTER WORKFILE MY26.2'!$H:$AC,22,0)</f>
        <v>1075.3</v>
      </c>
      <c r="M61" s="116">
        <f>VLOOKUP(E61,'North Kite &amp; Foils '!E:M,9,0)</f>
        <v>0</v>
      </c>
      <c r="N61" s="71">
        <f t="shared" si="0"/>
        <v>0</v>
      </c>
      <c r="O61" s="61" t="s">
        <v>1751</v>
      </c>
      <c r="P61" s="61" t="s">
        <v>1751</v>
      </c>
      <c r="Q61" s="61" t="s">
        <v>1625</v>
      </c>
    </row>
    <row r="62" spans="1:17" ht="15" customHeight="1" x14ac:dyDescent="0.3">
      <c r="A62" s="124">
        <v>50</v>
      </c>
      <c r="B62" s="59" t="s">
        <v>19</v>
      </c>
      <c r="C62" s="59" t="s">
        <v>1</v>
      </c>
      <c r="D62" s="115" t="s">
        <v>72</v>
      </c>
      <c r="E62" s="59" t="s">
        <v>80</v>
      </c>
      <c r="F62" s="115" t="s">
        <v>74</v>
      </c>
      <c r="G62" s="59" t="s">
        <v>81</v>
      </c>
      <c r="H62" s="59" t="s">
        <v>82</v>
      </c>
      <c r="I62" s="115" t="s">
        <v>34</v>
      </c>
      <c r="J62" s="125" t="s">
        <v>26</v>
      </c>
      <c r="K62" s="70">
        <v>1649</v>
      </c>
      <c r="L62" s="139">
        <f>VLOOKUP(E62,'[1]MASTER WORKFILE MY26.2'!$H:$AC,22,0)</f>
        <v>836.80000000000007</v>
      </c>
      <c r="M62" s="116">
        <f>VLOOKUP(E62,'North Kite &amp; Foils '!E:M,9,0)</f>
        <v>0</v>
      </c>
      <c r="N62" s="71">
        <f t="shared" si="0"/>
        <v>0</v>
      </c>
      <c r="O62" s="61" t="s">
        <v>1751</v>
      </c>
      <c r="P62" s="61" t="s">
        <v>1751</v>
      </c>
      <c r="Q62" s="61" t="s">
        <v>1625</v>
      </c>
    </row>
    <row r="63" spans="1:17" ht="15" customHeight="1" x14ac:dyDescent="0.3">
      <c r="A63" s="124">
        <v>51</v>
      </c>
      <c r="B63" s="59" t="s">
        <v>19</v>
      </c>
      <c r="C63" s="59" t="s">
        <v>1</v>
      </c>
      <c r="D63" s="115" t="s">
        <v>72</v>
      </c>
      <c r="E63" s="59" t="s">
        <v>83</v>
      </c>
      <c r="F63" s="115" t="s">
        <v>74</v>
      </c>
      <c r="G63" s="59" t="s">
        <v>81</v>
      </c>
      <c r="H63" s="59" t="s">
        <v>82</v>
      </c>
      <c r="I63" s="115" t="s">
        <v>36</v>
      </c>
      <c r="J63" s="125" t="s">
        <v>26</v>
      </c>
      <c r="K63" s="70">
        <v>1729</v>
      </c>
      <c r="L63" s="139">
        <f>VLOOKUP(E63,'[1]MASTER WORKFILE MY26.2'!$H:$AC,22,0)</f>
        <v>877.4</v>
      </c>
      <c r="M63" s="116">
        <f>VLOOKUP(E63,'North Kite &amp; Foils '!E:M,9,0)</f>
        <v>0</v>
      </c>
      <c r="N63" s="71">
        <f t="shared" si="0"/>
        <v>0</v>
      </c>
      <c r="O63" s="61" t="s">
        <v>1751</v>
      </c>
      <c r="P63" s="61" t="s">
        <v>1751</v>
      </c>
      <c r="Q63" s="61" t="s">
        <v>1625</v>
      </c>
    </row>
    <row r="64" spans="1:17" ht="15" customHeight="1" x14ac:dyDescent="0.3">
      <c r="A64" s="124">
        <v>52</v>
      </c>
      <c r="B64" s="59" t="s">
        <v>19</v>
      </c>
      <c r="C64" s="59" t="s">
        <v>1</v>
      </c>
      <c r="D64" s="115" t="s">
        <v>72</v>
      </c>
      <c r="E64" s="59" t="s">
        <v>84</v>
      </c>
      <c r="F64" s="115" t="s">
        <v>74</v>
      </c>
      <c r="G64" s="59" t="s">
        <v>81</v>
      </c>
      <c r="H64" s="59" t="s">
        <v>82</v>
      </c>
      <c r="I64" s="115" t="s">
        <v>38</v>
      </c>
      <c r="J64" s="125" t="s">
        <v>26</v>
      </c>
      <c r="K64" s="70">
        <v>1799</v>
      </c>
      <c r="L64" s="139">
        <f>VLOOKUP(E64,'[1]MASTER WORKFILE MY26.2'!$H:$AC,22,0)</f>
        <v>912.9</v>
      </c>
      <c r="M64" s="116">
        <f>VLOOKUP(E64,'North Kite &amp; Foils '!E:M,9,0)</f>
        <v>0</v>
      </c>
      <c r="N64" s="71">
        <f t="shared" si="0"/>
        <v>0</v>
      </c>
      <c r="O64" s="61" t="s">
        <v>1751</v>
      </c>
      <c r="P64" s="61" t="s">
        <v>1751</v>
      </c>
      <c r="Q64" s="61" t="s">
        <v>1625</v>
      </c>
    </row>
    <row r="65" spans="1:17" ht="15" customHeight="1" x14ac:dyDescent="0.3">
      <c r="A65" s="124">
        <v>53</v>
      </c>
      <c r="B65" s="59" t="s">
        <v>19</v>
      </c>
      <c r="C65" s="59" t="s">
        <v>1</v>
      </c>
      <c r="D65" s="115" t="s">
        <v>72</v>
      </c>
      <c r="E65" s="59" t="s">
        <v>85</v>
      </c>
      <c r="F65" s="115" t="s">
        <v>74</v>
      </c>
      <c r="G65" s="59" t="s">
        <v>81</v>
      </c>
      <c r="H65" s="59" t="s">
        <v>82</v>
      </c>
      <c r="I65" s="115" t="s">
        <v>40</v>
      </c>
      <c r="J65" s="125" t="s">
        <v>26</v>
      </c>
      <c r="K65" s="70">
        <v>1879</v>
      </c>
      <c r="L65" s="139">
        <f>VLOOKUP(E65,'[1]MASTER WORKFILE MY26.2'!$H:$AC,22,0)</f>
        <v>953.5</v>
      </c>
      <c r="M65" s="116">
        <f>VLOOKUP(E65,'North Kite &amp; Foils '!E:M,9,0)</f>
        <v>0</v>
      </c>
      <c r="N65" s="71">
        <f t="shared" si="0"/>
        <v>0</v>
      </c>
      <c r="O65" s="61" t="s">
        <v>1751</v>
      </c>
      <c r="P65" s="61" t="s">
        <v>1751</v>
      </c>
      <c r="Q65" s="61" t="s">
        <v>1625</v>
      </c>
    </row>
    <row r="66" spans="1:17" ht="15" customHeight="1" x14ac:dyDescent="0.3">
      <c r="A66" s="124">
        <v>54</v>
      </c>
      <c r="B66" s="59" t="s">
        <v>19</v>
      </c>
      <c r="C66" s="59" t="s">
        <v>1</v>
      </c>
      <c r="D66" s="115" t="s">
        <v>72</v>
      </c>
      <c r="E66" s="59" t="s">
        <v>86</v>
      </c>
      <c r="F66" s="115" t="s">
        <v>74</v>
      </c>
      <c r="G66" s="59" t="s">
        <v>81</v>
      </c>
      <c r="H66" s="59" t="s">
        <v>82</v>
      </c>
      <c r="I66" s="115" t="s">
        <v>42</v>
      </c>
      <c r="J66" s="125" t="s">
        <v>26</v>
      </c>
      <c r="K66" s="70">
        <v>1949</v>
      </c>
      <c r="L66" s="139">
        <f>VLOOKUP(E66,'[1]MASTER WORKFILE MY26.2'!$H:$AC,22,0)</f>
        <v>989</v>
      </c>
      <c r="M66" s="116">
        <f>VLOOKUP(E66,'North Kite &amp; Foils '!E:M,9,0)</f>
        <v>0</v>
      </c>
      <c r="N66" s="71">
        <f t="shared" si="0"/>
        <v>0</v>
      </c>
      <c r="O66" s="61" t="s">
        <v>1751</v>
      </c>
      <c r="P66" s="61" t="s">
        <v>1751</v>
      </c>
      <c r="Q66" s="61" t="s">
        <v>1625</v>
      </c>
    </row>
    <row r="67" spans="1:17" ht="15" customHeight="1" x14ac:dyDescent="0.3">
      <c r="A67" s="124">
        <v>55</v>
      </c>
      <c r="B67" s="59" t="s">
        <v>19</v>
      </c>
      <c r="C67" s="59" t="s">
        <v>1</v>
      </c>
      <c r="D67" s="115" t="s">
        <v>72</v>
      </c>
      <c r="E67" s="59" t="s">
        <v>87</v>
      </c>
      <c r="F67" s="115" t="s">
        <v>74</v>
      </c>
      <c r="G67" s="59" t="s">
        <v>81</v>
      </c>
      <c r="H67" s="59" t="s">
        <v>82</v>
      </c>
      <c r="I67" s="115" t="s">
        <v>52</v>
      </c>
      <c r="J67" s="125" t="s">
        <v>26</v>
      </c>
      <c r="K67" s="70">
        <v>2039</v>
      </c>
      <c r="L67" s="139">
        <f>VLOOKUP(E67,'[1]MASTER WORKFILE MY26.2'!$H:$AC,22,0)</f>
        <v>1034.6999999999998</v>
      </c>
      <c r="M67" s="116">
        <f>VLOOKUP(E67,'North Kite &amp; Foils '!E:M,9,0)</f>
        <v>0</v>
      </c>
      <c r="N67" s="71">
        <f t="shared" si="0"/>
        <v>0</v>
      </c>
      <c r="O67" s="61" t="s">
        <v>1751</v>
      </c>
      <c r="P67" s="61" t="s">
        <v>1751</v>
      </c>
      <c r="Q67" s="61" t="s">
        <v>1625</v>
      </c>
    </row>
    <row r="68" spans="1:17" ht="15" customHeight="1" x14ac:dyDescent="0.3">
      <c r="A68" s="124">
        <v>56</v>
      </c>
      <c r="B68" s="59" t="s">
        <v>19</v>
      </c>
      <c r="C68" s="59" t="s">
        <v>1</v>
      </c>
      <c r="D68" s="115" t="s">
        <v>72</v>
      </c>
      <c r="E68" s="59" t="s">
        <v>88</v>
      </c>
      <c r="F68" s="115" t="s">
        <v>74</v>
      </c>
      <c r="G68" s="59" t="s">
        <v>81</v>
      </c>
      <c r="H68" s="59" t="s">
        <v>82</v>
      </c>
      <c r="I68" s="115" t="s">
        <v>44</v>
      </c>
      <c r="J68" s="125" t="s">
        <v>26</v>
      </c>
      <c r="K68" s="70">
        <v>2119</v>
      </c>
      <c r="L68" s="139">
        <f>VLOOKUP(E68,'[1]MASTER WORKFILE MY26.2'!$H:$AC,22,0)</f>
        <v>1075.3</v>
      </c>
      <c r="M68" s="116">
        <f>VLOOKUP(E68,'North Kite &amp; Foils '!E:M,9,0)</f>
        <v>0</v>
      </c>
      <c r="N68" s="71">
        <f t="shared" si="0"/>
        <v>0</v>
      </c>
      <c r="O68" s="61" t="s">
        <v>1751</v>
      </c>
      <c r="P68" s="61" t="s">
        <v>1751</v>
      </c>
      <c r="Q68" s="61" t="s">
        <v>1625</v>
      </c>
    </row>
    <row r="69" spans="1:17" ht="15" customHeight="1" x14ac:dyDescent="0.3">
      <c r="A69" s="124">
        <v>57</v>
      </c>
      <c r="B69" s="59" t="s">
        <v>19</v>
      </c>
      <c r="C69" s="59" t="s">
        <v>1</v>
      </c>
      <c r="D69" s="115" t="s">
        <v>72</v>
      </c>
      <c r="E69" s="59" t="s">
        <v>89</v>
      </c>
      <c r="F69" s="115" t="s">
        <v>74</v>
      </c>
      <c r="G69" s="59" t="s">
        <v>81</v>
      </c>
      <c r="H69" s="59" t="s">
        <v>82</v>
      </c>
      <c r="I69" s="115" t="s">
        <v>71</v>
      </c>
      <c r="J69" s="125" t="s">
        <v>26</v>
      </c>
      <c r="K69" s="70">
        <v>2199</v>
      </c>
      <c r="L69" s="139">
        <f>VLOOKUP(E69,'[1]MASTER WORKFILE MY26.2'!$H:$AC,22,0)</f>
        <v>1115.8999999999999</v>
      </c>
      <c r="M69" s="116">
        <f>VLOOKUP(E69,'North Kite &amp; Foils '!E:M,9,0)</f>
        <v>0</v>
      </c>
      <c r="N69" s="71">
        <f t="shared" si="0"/>
        <v>0</v>
      </c>
      <c r="O69" s="61" t="s">
        <v>1751</v>
      </c>
      <c r="P69" s="61" t="s">
        <v>1751</v>
      </c>
      <c r="Q69" s="61" t="s">
        <v>1625</v>
      </c>
    </row>
    <row r="70" spans="1:17" ht="15" customHeight="1" x14ac:dyDescent="0.3">
      <c r="A70" s="124">
        <v>58</v>
      </c>
      <c r="B70" s="59" t="s">
        <v>19</v>
      </c>
      <c r="C70" s="59" t="s">
        <v>1</v>
      </c>
      <c r="D70" s="115" t="s">
        <v>72</v>
      </c>
      <c r="E70" s="59" t="s">
        <v>90</v>
      </c>
      <c r="F70" s="115" t="s">
        <v>74</v>
      </c>
      <c r="G70" s="59" t="s">
        <v>91</v>
      </c>
      <c r="H70" s="59" t="s">
        <v>92</v>
      </c>
      <c r="I70" s="115" t="s">
        <v>36</v>
      </c>
      <c r="J70" s="125" t="s">
        <v>26</v>
      </c>
      <c r="K70" s="70">
        <v>1729</v>
      </c>
      <c r="L70" s="139">
        <f>VLOOKUP(E70,'[1]MASTER WORKFILE MY26.2'!$H:$AC,22,0)</f>
        <v>877.4</v>
      </c>
      <c r="M70" s="116">
        <f>VLOOKUP(E70,'North Kite &amp; Foils '!E:M,9,0)</f>
        <v>0</v>
      </c>
      <c r="N70" s="71">
        <f t="shared" si="0"/>
        <v>0</v>
      </c>
      <c r="O70" s="61" t="s">
        <v>1751</v>
      </c>
      <c r="P70" s="61" t="s">
        <v>1751</v>
      </c>
      <c r="Q70" s="61" t="s">
        <v>1625</v>
      </c>
    </row>
    <row r="71" spans="1:17" ht="15" customHeight="1" x14ac:dyDescent="0.3">
      <c r="A71" s="124">
        <v>59</v>
      </c>
      <c r="B71" s="59" t="s">
        <v>19</v>
      </c>
      <c r="C71" s="59" t="s">
        <v>1</v>
      </c>
      <c r="D71" s="115" t="s">
        <v>72</v>
      </c>
      <c r="E71" s="59" t="s">
        <v>93</v>
      </c>
      <c r="F71" s="115" t="s">
        <v>74</v>
      </c>
      <c r="G71" s="59" t="s">
        <v>91</v>
      </c>
      <c r="H71" s="59" t="s">
        <v>92</v>
      </c>
      <c r="I71" s="115" t="s">
        <v>38</v>
      </c>
      <c r="J71" s="125" t="s">
        <v>26</v>
      </c>
      <c r="K71" s="70">
        <v>1799</v>
      </c>
      <c r="L71" s="139">
        <f>VLOOKUP(E71,'[1]MASTER WORKFILE MY26.2'!$H:$AC,22,0)</f>
        <v>912.9</v>
      </c>
      <c r="M71" s="116">
        <f>VLOOKUP(E71,'North Kite &amp; Foils '!E:M,9,0)</f>
        <v>0</v>
      </c>
      <c r="N71" s="71">
        <f t="shared" si="0"/>
        <v>0</v>
      </c>
      <c r="O71" s="61" t="s">
        <v>1751</v>
      </c>
      <c r="P71" s="61" t="s">
        <v>1751</v>
      </c>
      <c r="Q71" s="61" t="s">
        <v>1625</v>
      </c>
    </row>
    <row r="72" spans="1:17" ht="15" customHeight="1" x14ac:dyDescent="0.3">
      <c r="A72" s="124">
        <v>60</v>
      </c>
      <c r="B72" s="59" t="s">
        <v>19</v>
      </c>
      <c r="C72" s="59" t="s">
        <v>1</v>
      </c>
      <c r="D72" s="115" t="s">
        <v>72</v>
      </c>
      <c r="E72" s="59" t="s">
        <v>94</v>
      </c>
      <c r="F72" s="115" t="s">
        <v>74</v>
      </c>
      <c r="G72" s="59" t="s">
        <v>91</v>
      </c>
      <c r="H72" s="59" t="s">
        <v>92</v>
      </c>
      <c r="I72" s="115" t="s">
        <v>40</v>
      </c>
      <c r="J72" s="125" t="s">
        <v>26</v>
      </c>
      <c r="K72" s="70">
        <v>1879</v>
      </c>
      <c r="L72" s="139">
        <f>VLOOKUP(E72,'[1]MASTER WORKFILE MY26.2'!$H:$AC,22,0)</f>
        <v>953.5</v>
      </c>
      <c r="M72" s="116">
        <f>VLOOKUP(E72,'North Kite &amp; Foils '!E:M,9,0)</f>
        <v>0</v>
      </c>
      <c r="N72" s="71">
        <f t="shared" si="0"/>
        <v>0</v>
      </c>
      <c r="O72" s="61" t="s">
        <v>1751</v>
      </c>
      <c r="P72" s="61" t="s">
        <v>1751</v>
      </c>
      <c r="Q72" s="61" t="s">
        <v>1625</v>
      </c>
    </row>
    <row r="73" spans="1:17" ht="15" customHeight="1" x14ac:dyDescent="0.3">
      <c r="A73" s="124">
        <v>61</v>
      </c>
      <c r="B73" s="59" t="s">
        <v>19</v>
      </c>
      <c r="C73" s="59" t="s">
        <v>1</v>
      </c>
      <c r="D73" s="115" t="s">
        <v>72</v>
      </c>
      <c r="E73" s="59" t="s">
        <v>95</v>
      </c>
      <c r="F73" s="115" t="s">
        <v>74</v>
      </c>
      <c r="G73" s="59" t="s">
        <v>91</v>
      </c>
      <c r="H73" s="59" t="s">
        <v>92</v>
      </c>
      <c r="I73" s="115" t="s">
        <v>42</v>
      </c>
      <c r="J73" s="125" t="s">
        <v>26</v>
      </c>
      <c r="K73" s="70">
        <v>1949</v>
      </c>
      <c r="L73" s="139">
        <f>VLOOKUP(E73,'[1]MASTER WORKFILE MY26.2'!$H:$AC,22,0)</f>
        <v>989</v>
      </c>
      <c r="M73" s="116">
        <f>VLOOKUP(E73,'North Kite &amp; Foils '!E:M,9,0)</f>
        <v>0</v>
      </c>
      <c r="N73" s="71">
        <f t="shared" si="0"/>
        <v>0</v>
      </c>
      <c r="O73" s="61" t="s">
        <v>1751</v>
      </c>
      <c r="P73" s="61" t="s">
        <v>1751</v>
      </c>
      <c r="Q73" s="61" t="s">
        <v>1625</v>
      </c>
    </row>
    <row r="74" spans="1:17" ht="15" customHeight="1" x14ac:dyDescent="0.3">
      <c r="A74" s="124">
        <v>62</v>
      </c>
      <c r="B74" s="59" t="s">
        <v>19</v>
      </c>
      <c r="C74" s="59" t="s">
        <v>1</v>
      </c>
      <c r="D74" s="115" t="s">
        <v>72</v>
      </c>
      <c r="E74" s="59" t="s">
        <v>96</v>
      </c>
      <c r="F74" s="115" t="s">
        <v>74</v>
      </c>
      <c r="G74" s="59" t="s">
        <v>91</v>
      </c>
      <c r="H74" s="59" t="s">
        <v>92</v>
      </c>
      <c r="I74" s="115" t="s">
        <v>52</v>
      </c>
      <c r="J74" s="125" t="s">
        <v>26</v>
      </c>
      <c r="K74" s="70">
        <v>2039</v>
      </c>
      <c r="L74" s="139">
        <f>VLOOKUP(E74,'[1]MASTER WORKFILE MY26.2'!$H:$AC,22,0)</f>
        <v>1034.6999999999998</v>
      </c>
      <c r="M74" s="116">
        <f>VLOOKUP(E74,'North Kite &amp; Foils '!E:M,9,0)</f>
        <v>0</v>
      </c>
      <c r="N74" s="71">
        <f t="shared" si="0"/>
        <v>0</v>
      </c>
      <c r="O74" s="61" t="s">
        <v>1751</v>
      </c>
      <c r="P74" s="61" t="s">
        <v>1751</v>
      </c>
      <c r="Q74" s="61" t="s">
        <v>1625</v>
      </c>
    </row>
    <row r="75" spans="1:17" ht="15" customHeight="1" x14ac:dyDescent="0.3">
      <c r="A75" s="124">
        <v>63</v>
      </c>
      <c r="B75" s="59" t="s">
        <v>19</v>
      </c>
      <c r="C75" s="59" t="s">
        <v>1</v>
      </c>
      <c r="D75" s="115" t="s">
        <v>72</v>
      </c>
      <c r="E75" s="59" t="s">
        <v>97</v>
      </c>
      <c r="F75" s="115" t="s">
        <v>74</v>
      </c>
      <c r="G75" s="59" t="s">
        <v>91</v>
      </c>
      <c r="H75" s="59" t="s">
        <v>92</v>
      </c>
      <c r="I75" s="115" t="s">
        <v>44</v>
      </c>
      <c r="J75" s="125" t="s">
        <v>26</v>
      </c>
      <c r="K75" s="70">
        <v>2119</v>
      </c>
      <c r="L75" s="139">
        <f>VLOOKUP(E75,'[1]MASTER WORKFILE MY26.2'!$H:$AC,22,0)</f>
        <v>1075.3</v>
      </c>
      <c r="M75" s="116">
        <f>VLOOKUP(E75,'North Kite &amp; Foils '!E:M,9,0)</f>
        <v>0</v>
      </c>
      <c r="N75" s="71">
        <f t="shared" si="0"/>
        <v>0</v>
      </c>
      <c r="O75" s="61" t="s">
        <v>1751</v>
      </c>
      <c r="P75" s="61" t="s">
        <v>1751</v>
      </c>
      <c r="Q75" s="61" t="s">
        <v>1625</v>
      </c>
    </row>
    <row r="76" spans="1:17" ht="15" customHeight="1" x14ac:dyDescent="0.3">
      <c r="A76" s="124">
        <v>64</v>
      </c>
      <c r="B76" s="59" t="s">
        <v>19</v>
      </c>
      <c r="C76" s="59" t="s">
        <v>1</v>
      </c>
      <c r="D76" s="115" t="s">
        <v>27</v>
      </c>
      <c r="E76" s="59" t="s">
        <v>28</v>
      </c>
      <c r="F76" s="115" t="s">
        <v>29</v>
      </c>
      <c r="G76" s="59" t="s">
        <v>30</v>
      </c>
      <c r="H76" s="59" t="s">
        <v>31</v>
      </c>
      <c r="I76" s="115" t="s">
        <v>32</v>
      </c>
      <c r="J76" s="125" t="s">
        <v>26</v>
      </c>
      <c r="K76" s="70">
        <v>1415</v>
      </c>
      <c r="L76" s="139">
        <f>VLOOKUP(E76,'[1]MASTER WORKFILE MY26.2'!$H:$AC,22,0)</f>
        <v>718</v>
      </c>
      <c r="M76" s="116">
        <f>VLOOKUP(E76,'North Kite &amp; Foils '!E:M,9,0)</f>
        <v>0</v>
      </c>
      <c r="N76" s="71">
        <f t="shared" si="0"/>
        <v>0</v>
      </c>
      <c r="O76" s="61" t="s">
        <v>1751</v>
      </c>
      <c r="P76" s="61" t="s">
        <v>1751</v>
      </c>
      <c r="Q76" s="61" t="s">
        <v>1625</v>
      </c>
    </row>
    <row r="77" spans="1:17" ht="15" customHeight="1" x14ac:dyDescent="0.3">
      <c r="A77" s="124">
        <v>65</v>
      </c>
      <c r="B77" s="59" t="s">
        <v>19</v>
      </c>
      <c r="C77" s="59" t="s">
        <v>1</v>
      </c>
      <c r="D77" s="115" t="s">
        <v>27</v>
      </c>
      <c r="E77" s="59" t="s">
        <v>33</v>
      </c>
      <c r="F77" s="115" t="s">
        <v>29</v>
      </c>
      <c r="G77" s="59" t="s">
        <v>30</v>
      </c>
      <c r="H77" s="59" t="s">
        <v>31</v>
      </c>
      <c r="I77" s="115" t="s">
        <v>34</v>
      </c>
      <c r="J77" s="125" t="s">
        <v>26</v>
      </c>
      <c r="K77" s="70">
        <v>1485</v>
      </c>
      <c r="L77" s="139">
        <f>VLOOKUP(E77,'[1]MASTER WORKFILE MY26.2'!$H:$AC,22,0)</f>
        <v>753.6</v>
      </c>
      <c r="M77" s="116">
        <f>VLOOKUP(E77,'North Kite &amp; Foils '!E:M,9,0)</f>
        <v>0</v>
      </c>
      <c r="N77" s="71">
        <f t="shared" ref="N77:N140" si="1">L77*M77</f>
        <v>0</v>
      </c>
      <c r="O77" s="61" t="s">
        <v>1751</v>
      </c>
      <c r="P77" s="61" t="s">
        <v>1751</v>
      </c>
      <c r="Q77" s="61" t="s">
        <v>1625</v>
      </c>
    </row>
    <row r="78" spans="1:17" ht="15" customHeight="1" x14ac:dyDescent="0.3">
      <c r="A78" s="124">
        <v>66</v>
      </c>
      <c r="B78" s="59" t="s">
        <v>19</v>
      </c>
      <c r="C78" s="59" t="s">
        <v>1</v>
      </c>
      <c r="D78" s="115" t="s">
        <v>27</v>
      </c>
      <c r="E78" s="59" t="s">
        <v>35</v>
      </c>
      <c r="F78" s="115" t="s">
        <v>29</v>
      </c>
      <c r="G78" s="59" t="s">
        <v>30</v>
      </c>
      <c r="H78" s="59" t="s">
        <v>31</v>
      </c>
      <c r="I78" s="115" t="s">
        <v>36</v>
      </c>
      <c r="J78" s="125" t="s">
        <v>26</v>
      </c>
      <c r="K78" s="70">
        <v>1555</v>
      </c>
      <c r="L78" s="139">
        <f>VLOOKUP(E78,'[1]MASTER WORKFILE MY26.2'!$H:$AC,22,0)</f>
        <v>789.1</v>
      </c>
      <c r="M78" s="116">
        <f>VLOOKUP(E78,'North Kite &amp; Foils '!E:M,9,0)</f>
        <v>0</v>
      </c>
      <c r="N78" s="71">
        <f t="shared" si="1"/>
        <v>0</v>
      </c>
      <c r="O78" s="61" t="s">
        <v>1751</v>
      </c>
      <c r="P78" s="61" t="s">
        <v>1751</v>
      </c>
      <c r="Q78" s="61" t="s">
        <v>1625</v>
      </c>
    </row>
    <row r="79" spans="1:17" ht="15" customHeight="1" x14ac:dyDescent="0.3">
      <c r="A79" s="124">
        <v>67</v>
      </c>
      <c r="B79" s="59" t="s">
        <v>19</v>
      </c>
      <c r="C79" s="59" t="s">
        <v>1</v>
      </c>
      <c r="D79" s="115" t="s">
        <v>27</v>
      </c>
      <c r="E79" s="59" t="s">
        <v>37</v>
      </c>
      <c r="F79" s="115" t="s">
        <v>29</v>
      </c>
      <c r="G79" s="59" t="s">
        <v>30</v>
      </c>
      <c r="H79" s="59" t="s">
        <v>31</v>
      </c>
      <c r="I79" s="115" t="s">
        <v>38</v>
      </c>
      <c r="J79" s="125" t="s">
        <v>26</v>
      </c>
      <c r="K79" s="70">
        <v>1639</v>
      </c>
      <c r="L79" s="139">
        <f>VLOOKUP(E79,'[1]MASTER WORKFILE MY26.2'!$H:$AC,22,0)</f>
        <v>831.7</v>
      </c>
      <c r="M79" s="116">
        <f>VLOOKUP(E79,'North Kite &amp; Foils '!E:M,9,0)</f>
        <v>0</v>
      </c>
      <c r="N79" s="71">
        <f t="shared" si="1"/>
        <v>0</v>
      </c>
      <c r="O79" s="61" t="s">
        <v>1751</v>
      </c>
      <c r="P79" s="61" t="s">
        <v>1751</v>
      </c>
      <c r="Q79" s="61" t="s">
        <v>1625</v>
      </c>
    </row>
    <row r="80" spans="1:17" ht="15" customHeight="1" x14ac:dyDescent="0.3">
      <c r="A80" s="124">
        <v>68</v>
      </c>
      <c r="B80" s="59" t="s">
        <v>19</v>
      </c>
      <c r="C80" s="59" t="s">
        <v>1</v>
      </c>
      <c r="D80" s="115" t="s">
        <v>27</v>
      </c>
      <c r="E80" s="59" t="s">
        <v>39</v>
      </c>
      <c r="F80" s="115" t="s">
        <v>29</v>
      </c>
      <c r="G80" s="59" t="s">
        <v>30</v>
      </c>
      <c r="H80" s="59" t="s">
        <v>31</v>
      </c>
      <c r="I80" s="115" t="s">
        <v>40</v>
      </c>
      <c r="J80" s="125" t="s">
        <v>26</v>
      </c>
      <c r="K80" s="70">
        <v>1719</v>
      </c>
      <c r="L80" s="139">
        <f>VLOOKUP(E80,'[1]MASTER WORKFILE MY26.2'!$H:$AC,22,0)</f>
        <v>872.30000000000007</v>
      </c>
      <c r="M80" s="116">
        <f>VLOOKUP(E80,'North Kite &amp; Foils '!E:M,9,0)</f>
        <v>0</v>
      </c>
      <c r="N80" s="71">
        <f t="shared" si="1"/>
        <v>0</v>
      </c>
      <c r="O80" s="61" t="s">
        <v>1751</v>
      </c>
      <c r="P80" s="61" t="s">
        <v>1751</v>
      </c>
      <c r="Q80" s="61" t="s">
        <v>1625</v>
      </c>
    </row>
    <row r="81" spans="1:18" ht="15" customHeight="1" x14ac:dyDescent="0.3">
      <c r="A81" s="124">
        <v>69</v>
      </c>
      <c r="B81" s="59" t="s">
        <v>19</v>
      </c>
      <c r="C81" s="59" t="s">
        <v>1</v>
      </c>
      <c r="D81" s="115" t="s">
        <v>27</v>
      </c>
      <c r="E81" s="59" t="s">
        <v>41</v>
      </c>
      <c r="F81" s="115" t="s">
        <v>29</v>
      </c>
      <c r="G81" s="59" t="s">
        <v>30</v>
      </c>
      <c r="H81" s="59" t="s">
        <v>31</v>
      </c>
      <c r="I81" s="115" t="s">
        <v>42</v>
      </c>
      <c r="J81" s="125" t="s">
        <v>26</v>
      </c>
      <c r="K81" s="70">
        <v>1799</v>
      </c>
      <c r="L81" s="139">
        <f>VLOOKUP(E81,'[1]MASTER WORKFILE MY26.2'!$H:$AC,22,0)</f>
        <v>912.9</v>
      </c>
      <c r="M81" s="116">
        <f>VLOOKUP(E81,'North Kite &amp; Foils '!E:M,9,0)</f>
        <v>0</v>
      </c>
      <c r="N81" s="71">
        <f t="shared" si="1"/>
        <v>0</v>
      </c>
      <c r="O81" s="61" t="s">
        <v>1751</v>
      </c>
      <c r="P81" s="61" t="s">
        <v>1751</v>
      </c>
      <c r="Q81" s="61" t="s">
        <v>1625</v>
      </c>
    </row>
    <row r="82" spans="1:18" ht="15" customHeight="1" x14ac:dyDescent="0.3">
      <c r="A82" s="124">
        <v>70</v>
      </c>
      <c r="B82" s="59" t="s">
        <v>19</v>
      </c>
      <c r="C82" s="59" t="s">
        <v>1</v>
      </c>
      <c r="D82" s="115" t="s">
        <v>27</v>
      </c>
      <c r="E82" s="59" t="s">
        <v>43</v>
      </c>
      <c r="F82" s="115" t="s">
        <v>29</v>
      </c>
      <c r="G82" s="59" t="s">
        <v>30</v>
      </c>
      <c r="H82" s="59" t="s">
        <v>31</v>
      </c>
      <c r="I82" s="115" t="s">
        <v>44</v>
      </c>
      <c r="J82" s="125" t="s">
        <v>26</v>
      </c>
      <c r="K82" s="70">
        <v>1949</v>
      </c>
      <c r="L82" s="139">
        <f>VLOOKUP(E82,'[1]MASTER WORKFILE MY26.2'!$H:$AC,22,0)</f>
        <v>989</v>
      </c>
      <c r="M82" s="116">
        <f>VLOOKUP(E82,'North Kite &amp; Foils '!E:M,9,0)</f>
        <v>0</v>
      </c>
      <c r="N82" s="71">
        <f t="shared" si="1"/>
        <v>0</v>
      </c>
      <c r="O82" s="61" t="s">
        <v>1751</v>
      </c>
      <c r="P82" s="61" t="s">
        <v>1751</v>
      </c>
      <c r="Q82" s="61" t="s">
        <v>1625</v>
      </c>
    </row>
    <row r="83" spans="1:18" ht="15" customHeight="1" x14ac:dyDescent="0.3">
      <c r="A83" s="124">
        <v>71</v>
      </c>
      <c r="B83" s="59" t="s">
        <v>19</v>
      </c>
      <c r="C83" s="59" t="s">
        <v>1</v>
      </c>
      <c r="D83" s="115" t="s">
        <v>45</v>
      </c>
      <c r="E83" s="59" t="s">
        <v>46</v>
      </c>
      <c r="F83" s="115" t="s">
        <v>47</v>
      </c>
      <c r="G83" s="59" t="s">
        <v>48</v>
      </c>
      <c r="H83" s="59" t="s">
        <v>49</v>
      </c>
      <c r="I83" s="115" t="s">
        <v>36</v>
      </c>
      <c r="J83" s="125" t="s">
        <v>26</v>
      </c>
      <c r="K83" s="70">
        <v>1629</v>
      </c>
      <c r="L83" s="139">
        <f>VLOOKUP(E83,'[1]MASTER WORKFILE MY26.2'!$H:$AC,22,0)</f>
        <v>826.6</v>
      </c>
      <c r="M83" s="116">
        <f>VLOOKUP(E83,'North Kite &amp; Foils '!E:M,9,0)</f>
        <v>0</v>
      </c>
      <c r="N83" s="71">
        <f t="shared" si="1"/>
        <v>0</v>
      </c>
      <c r="O83" s="61" t="s">
        <v>1751</v>
      </c>
      <c r="P83" s="61" t="s">
        <v>1751</v>
      </c>
      <c r="Q83" s="61" t="s">
        <v>1625</v>
      </c>
    </row>
    <row r="84" spans="1:18" ht="15" customHeight="1" x14ac:dyDescent="0.3">
      <c r="A84" s="124">
        <v>72</v>
      </c>
      <c r="B84" s="59" t="s">
        <v>19</v>
      </c>
      <c r="C84" s="59" t="s">
        <v>1</v>
      </c>
      <c r="D84" s="115" t="s">
        <v>45</v>
      </c>
      <c r="E84" s="59" t="s">
        <v>50</v>
      </c>
      <c r="F84" s="115" t="s">
        <v>47</v>
      </c>
      <c r="G84" s="59" t="s">
        <v>48</v>
      </c>
      <c r="H84" s="59" t="s">
        <v>49</v>
      </c>
      <c r="I84" s="115" t="s">
        <v>40</v>
      </c>
      <c r="J84" s="125" t="s">
        <v>26</v>
      </c>
      <c r="K84" s="70">
        <v>1799</v>
      </c>
      <c r="L84" s="139">
        <f>VLOOKUP(E84,'[1]MASTER WORKFILE MY26.2'!$H:$AC,22,0)</f>
        <v>912.9</v>
      </c>
      <c r="M84" s="116">
        <f>VLOOKUP(E84,'North Kite &amp; Foils '!E:M,9,0)</f>
        <v>0</v>
      </c>
      <c r="N84" s="71">
        <f t="shared" si="1"/>
        <v>0</v>
      </c>
      <c r="O84" s="61" t="s">
        <v>1751</v>
      </c>
      <c r="P84" s="61" t="s">
        <v>1751</v>
      </c>
      <c r="Q84" s="61" t="s">
        <v>1625</v>
      </c>
    </row>
    <row r="85" spans="1:18" ht="15" customHeight="1" x14ac:dyDescent="0.3">
      <c r="A85" s="124">
        <v>73</v>
      </c>
      <c r="B85" s="59" t="s">
        <v>19</v>
      </c>
      <c r="C85" s="59" t="s">
        <v>1</v>
      </c>
      <c r="D85" s="115" t="s">
        <v>45</v>
      </c>
      <c r="E85" s="59" t="s">
        <v>51</v>
      </c>
      <c r="F85" s="115" t="s">
        <v>47</v>
      </c>
      <c r="G85" s="59" t="s">
        <v>48</v>
      </c>
      <c r="H85" s="59" t="s">
        <v>49</v>
      </c>
      <c r="I85" s="115" t="s">
        <v>52</v>
      </c>
      <c r="J85" s="125" t="s">
        <v>26</v>
      </c>
      <c r="K85" s="70">
        <v>1969</v>
      </c>
      <c r="L85" s="139">
        <f>VLOOKUP(E85,'[1]MASTER WORKFILE MY26.2'!$H:$AC,22,0)</f>
        <v>999.2</v>
      </c>
      <c r="M85" s="116">
        <f>VLOOKUP(E85,'North Kite &amp; Foils '!E:M,9,0)</f>
        <v>0</v>
      </c>
      <c r="N85" s="71">
        <f t="shared" si="1"/>
        <v>0</v>
      </c>
      <c r="O85" s="61" t="s">
        <v>1751</v>
      </c>
      <c r="P85" s="61" t="s">
        <v>1751</v>
      </c>
      <c r="Q85" s="61" t="s">
        <v>1625</v>
      </c>
    </row>
    <row r="86" spans="1:18" ht="15" customHeight="1" x14ac:dyDescent="0.3">
      <c r="A86" s="124">
        <v>74</v>
      </c>
      <c r="B86" s="59" t="s">
        <v>19</v>
      </c>
      <c r="C86" s="59" t="s">
        <v>1</v>
      </c>
      <c r="D86" s="115" t="s">
        <v>45</v>
      </c>
      <c r="E86" s="59" t="s">
        <v>53</v>
      </c>
      <c r="F86" s="115" t="s">
        <v>47</v>
      </c>
      <c r="G86" s="59" t="s">
        <v>48</v>
      </c>
      <c r="H86" s="59" t="s">
        <v>49</v>
      </c>
      <c r="I86" s="115" t="s">
        <v>54</v>
      </c>
      <c r="J86" s="125" t="s">
        <v>26</v>
      </c>
      <c r="K86" s="70">
        <v>2139</v>
      </c>
      <c r="L86" s="139">
        <f>VLOOKUP(E86,'[1]MASTER WORKFILE MY26.2'!$H:$AC,22,0)</f>
        <v>1085.3999999999999</v>
      </c>
      <c r="M86" s="116">
        <f>VLOOKUP(E86,'North Kite &amp; Foils '!E:M,9,0)</f>
        <v>0</v>
      </c>
      <c r="N86" s="71">
        <f t="shared" si="1"/>
        <v>0</v>
      </c>
      <c r="O86" s="61" t="s">
        <v>1751</v>
      </c>
      <c r="P86" s="61" t="s">
        <v>1751</v>
      </c>
      <c r="Q86" s="61" t="s">
        <v>1625</v>
      </c>
    </row>
    <row r="87" spans="1:18" s="73" customFormat="1" ht="15.75" customHeight="1" x14ac:dyDescent="0.3">
      <c r="A87" s="124">
        <v>75</v>
      </c>
      <c r="B87" s="59" t="s">
        <v>19</v>
      </c>
      <c r="C87" s="59" t="s">
        <v>1</v>
      </c>
      <c r="D87" s="115" t="s">
        <v>55</v>
      </c>
      <c r="E87" s="59" t="s">
        <v>56</v>
      </c>
      <c r="F87" s="115" t="s">
        <v>57</v>
      </c>
      <c r="G87" s="59" t="s">
        <v>58</v>
      </c>
      <c r="H87" s="59" t="s">
        <v>59</v>
      </c>
      <c r="I87" s="115" t="s">
        <v>60</v>
      </c>
      <c r="J87" s="125" t="s">
        <v>26</v>
      </c>
      <c r="K87" s="70">
        <v>1199</v>
      </c>
      <c r="L87" s="139">
        <f>VLOOKUP(E87,'[1]MASTER WORKFILE MY26.2'!$H:$AC,22,0)</f>
        <v>608.4</v>
      </c>
      <c r="M87" s="116">
        <f>VLOOKUP(E87,'North Kite &amp; Foils '!E:M,9,0)</f>
        <v>0</v>
      </c>
      <c r="N87" s="71">
        <f t="shared" si="1"/>
        <v>0</v>
      </c>
      <c r="O87" s="61" t="s">
        <v>1751</v>
      </c>
      <c r="P87" s="61" t="s">
        <v>1751</v>
      </c>
      <c r="Q87" s="61" t="s">
        <v>1625</v>
      </c>
      <c r="R87" s="53"/>
    </row>
    <row r="88" spans="1:18" ht="15" customHeight="1" x14ac:dyDescent="0.3">
      <c r="A88" s="124">
        <v>76</v>
      </c>
      <c r="B88" s="59" t="s">
        <v>19</v>
      </c>
      <c r="C88" s="59" t="s">
        <v>1</v>
      </c>
      <c r="D88" s="115" t="s">
        <v>55</v>
      </c>
      <c r="E88" s="59" t="s">
        <v>61</v>
      </c>
      <c r="F88" s="115" t="s">
        <v>57</v>
      </c>
      <c r="G88" s="59" t="s">
        <v>58</v>
      </c>
      <c r="H88" s="59" t="s">
        <v>59</v>
      </c>
      <c r="I88" s="115" t="s">
        <v>62</v>
      </c>
      <c r="J88" s="125" t="s">
        <v>26</v>
      </c>
      <c r="K88" s="70">
        <v>1289</v>
      </c>
      <c r="L88" s="139">
        <f>VLOOKUP(E88,'[1]MASTER WORKFILE MY26.2'!$H:$AC,22,0)</f>
        <v>654.1</v>
      </c>
      <c r="M88" s="116">
        <f>VLOOKUP(E88,'North Kite &amp; Foils '!E:M,9,0)</f>
        <v>0</v>
      </c>
      <c r="N88" s="71">
        <f t="shared" si="1"/>
        <v>0</v>
      </c>
      <c r="O88" s="61" t="s">
        <v>1751</v>
      </c>
      <c r="P88" s="61" t="s">
        <v>1751</v>
      </c>
      <c r="Q88" s="61" t="s">
        <v>1625</v>
      </c>
    </row>
    <row r="89" spans="1:18" ht="15" customHeight="1" x14ac:dyDescent="0.3">
      <c r="A89" s="124">
        <v>77</v>
      </c>
      <c r="B89" s="59" t="s">
        <v>19</v>
      </c>
      <c r="C89" s="59" t="s">
        <v>1</v>
      </c>
      <c r="D89" s="115" t="s">
        <v>55</v>
      </c>
      <c r="E89" s="59" t="s">
        <v>63</v>
      </c>
      <c r="F89" s="115" t="s">
        <v>57</v>
      </c>
      <c r="G89" s="59" t="s">
        <v>58</v>
      </c>
      <c r="H89" s="59" t="s">
        <v>59</v>
      </c>
      <c r="I89" s="115" t="s">
        <v>32</v>
      </c>
      <c r="J89" s="125" t="s">
        <v>26</v>
      </c>
      <c r="K89" s="70">
        <v>1359</v>
      </c>
      <c r="L89" s="139">
        <f>VLOOKUP(E89,'[1]MASTER WORKFILE MY26.2'!$H:$AC,22,0)</f>
        <v>689.6</v>
      </c>
      <c r="M89" s="116">
        <f>VLOOKUP(E89,'North Kite &amp; Foils '!E:M,9,0)</f>
        <v>0</v>
      </c>
      <c r="N89" s="71">
        <f t="shared" si="1"/>
        <v>0</v>
      </c>
      <c r="O89" s="61" t="s">
        <v>1751</v>
      </c>
      <c r="P89" s="61" t="s">
        <v>1751</v>
      </c>
      <c r="Q89" s="61" t="s">
        <v>1625</v>
      </c>
    </row>
    <row r="90" spans="1:18" ht="15" customHeight="1" x14ac:dyDescent="0.3">
      <c r="A90" s="124">
        <v>78</v>
      </c>
      <c r="B90" s="59" t="s">
        <v>19</v>
      </c>
      <c r="C90" s="59" t="s">
        <v>1</v>
      </c>
      <c r="D90" s="115" t="s">
        <v>55</v>
      </c>
      <c r="E90" s="59" t="s">
        <v>64</v>
      </c>
      <c r="F90" s="115" t="s">
        <v>57</v>
      </c>
      <c r="G90" s="59" t="s">
        <v>58</v>
      </c>
      <c r="H90" s="59" t="s">
        <v>59</v>
      </c>
      <c r="I90" s="115" t="s">
        <v>34</v>
      </c>
      <c r="J90" s="125" t="s">
        <v>26</v>
      </c>
      <c r="K90" s="70">
        <v>1409</v>
      </c>
      <c r="L90" s="139">
        <f>VLOOKUP(E90,'[1]MASTER WORKFILE MY26.2'!$H:$AC,22,0)</f>
        <v>715</v>
      </c>
      <c r="M90" s="116">
        <f>VLOOKUP(E90,'North Kite &amp; Foils '!E:M,9,0)</f>
        <v>0</v>
      </c>
      <c r="N90" s="71">
        <f t="shared" si="1"/>
        <v>0</v>
      </c>
      <c r="O90" s="61" t="s">
        <v>1751</v>
      </c>
      <c r="P90" s="61" t="s">
        <v>1751</v>
      </c>
      <c r="Q90" s="61" t="s">
        <v>1625</v>
      </c>
    </row>
    <row r="91" spans="1:18" ht="15" customHeight="1" x14ac:dyDescent="0.3">
      <c r="A91" s="124">
        <v>79</v>
      </c>
      <c r="B91" s="59" t="s">
        <v>19</v>
      </c>
      <c r="C91" s="59" t="s">
        <v>1</v>
      </c>
      <c r="D91" s="115" t="s">
        <v>55</v>
      </c>
      <c r="E91" s="59" t="s">
        <v>65</v>
      </c>
      <c r="F91" s="115" t="s">
        <v>57</v>
      </c>
      <c r="G91" s="59" t="s">
        <v>58</v>
      </c>
      <c r="H91" s="59" t="s">
        <v>59</v>
      </c>
      <c r="I91" s="115" t="s">
        <v>36</v>
      </c>
      <c r="J91" s="125" t="s">
        <v>26</v>
      </c>
      <c r="K91" s="70">
        <v>1489</v>
      </c>
      <c r="L91" s="139">
        <f>VLOOKUP(E91,'[1]MASTER WORKFILE MY26.2'!$H:$AC,22,0)</f>
        <v>755.6</v>
      </c>
      <c r="M91" s="116">
        <f>VLOOKUP(E91,'North Kite &amp; Foils '!E:M,9,0)</f>
        <v>0</v>
      </c>
      <c r="N91" s="71">
        <f t="shared" si="1"/>
        <v>0</v>
      </c>
      <c r="O91" s="61" t="s">
        <v>1751</v>
      </c>
      <c r="P91" s="61" t="s">
        <v>1751</v>
      </c>
      <c r="Q91" s="61" t="s">
        <v>1625</v>
      </c>
    </row>
    <row r="92" spans="1:18" ht="15" customHeight="1" x14ac:dyDescent="0.3">
      <c r="A92" s="124">
        <v>80</v>
      </c>
      <c r="B92" s="59" t="s">
        <v>19</v>
      </c>
      <c r="C92" s="59" t="s">
        <v>1</v>
      </c>
      <c r="D92" s="115" t="s">
        <v>55</v>
      </c>
      <c r="E92" s="59" t="s">
        <v>66</v>
      </c>
      <c r="F92" s="115" t="s">
        <v>57</v>
      </c>
      <c r="G92" s="59" t="s">
        <v>58</v>
      </c>
      <c r="H92" s="59" t="s">
        <v>59</v>
      </c>
      <c r="I92" s="115" t="s">
        <v>38</v>
      </c>
      <c r="J92" s="125" t="s">
        <v>26</v>
      </c>
      <c r="K92" s="70">
        <v>1569</v>
      </c>
      <c r="L92" s="139">
        <f>VLOOKUP(E92,'[1]MASTER WORKFILE MY26.2'!$H:$AC,22,0)</f>
        <v>796.2</v>
      </c>
      <c r="M92" s="116">
        <f>VLOOKUP(E92,'North Kite &amp; Foils '!E:M,9,0)</f>
        <v>0</v>
      </c>
      <c r="N92" s="71">
        <f t="shared" si="1"/>
        <v>0</v>
      </c>
      <c r="O92" s="61" t="s">
        <v>1751</v>
      </c>
      <c r="P92" s="61" t="s">
        <v>1751</v>
      </c>
      <c r="Q92" s="61" t="s">
        <v>1625</v>
      </c>
    </row>
    <row r="93" spans="1:18" ht="15" customHeight="1" x14ac:dyDescent="0.3">
      <c r="A93" s="124">
        <v>81</v>
      </c>
      <c r="B93" s="59" t="s">
        <v>19</v>
      </c>
      <c r="C93" s="59" t="s">
        <v>1</v>
      </c>
      <c r="D93" s="115" t="s">
        <v>55</v>
      </c>
      <c r="E93" s="59" t="s">
        <v>67</v>
      </c>
      <c r="F93" s="115" t="s">
        <v>57</v>
      </c>
      <c r="G93" s="59" t="s">
        <v>58</v>
      </c>
      <c r="H93" s="59" t="s">
        <v>59</v>
      </c>
      <c r="I93" s="115" t="s">
        <v>40</v>
      </c>
      <c r="J93" s="125" t="s">
        <v>26</v>
      </c>
      <c r="K93" s="70">
        <v>1639</v>
      </c>
      <c r="L93" s="139">
        <f>VLOOKUP(E93,'[1]MASTER WORKFILE MY26.2'!$H:$AC,22,0)</f>
        <v>831.7</v>
      </c>
      <c r="M93" s="116">
        <f>VLOOKUP(E93,'North Kite &amp; Foils '!E:M,9,0)</f>
        <v>0</v>
      </c>
      <c r="N93" s="71">
        <f t="shared" si="1"/>
        <v>0</v>
      </c>
      <c r="O93" s="61" t="s">
        <v>1751</v>
      </c>
      <c r="P93" s="61" t="s">
        <v>1751</v>
      </c>
      <c r="Q93" s="61" t="s">
        <v>1625</v>
      </c>
    </row>
    <row r="94" spans="1:18" ht="15" customHeight="1" x14ac:dyDescent="0.3">
      <c r="A94" s="124">
        <v>82</v>
      </c>
      <c r="B94" s="59" t="s">
        <v>19</v>
      </c>
      <c r="C94" s="59" t="s">
        <v>1</v>
      </c>
      <c r="D94" s="115" t="s">
        <v>55</v>
      </c>
      <c r="E94" s="59" t="s">
        <v>68</v>
      </c>
      <c r="F94" s="115" t="s">
        <v>57</v>
      </c>
      <c r="G94" s="59" t="s">
        <v>58</v>
      </c>
      <c r="H94" s="59" t="s">
        <v>59</v>
      </c>
      <c r="I94" s="115" t="s">
        <v>42</v>
      </c>
      <c r="J94" s="125" t="s">
        <v>26</v>
      </c>
      <c r="K94" s="70">
        <v>1689</v>
      </c>
      <c r="L94" s="139">
        <f>VLOOKUP(E94,'[1]MASTER WORKFILE MY26.2'!$H:$AC,22,0)</f>
        <v>857.1</v>
      </c>
      <c r="M94" s="116">
        <f>VLOOKUP(E94,'North Kite &amp; Foils '!E:M,9,0)</f>
        <v>0</v>
      </c>
      <c r="N94" s="71">
        <f t="shared" si="1"/>
        <v>0</v>
      </c>
      <c r="O94" s="61" t="s">
        <v>1751</v>
      </c>
      <c r="P94" s="61" t="s">
        <v>1751</v>
      </c>
      <c r="Q94" s="61" t="s">
        <v>1625</v>
      </c>
    </row>
    <row r="95" spans="1:18" ht="15" customHeight="1" x14ac:dyDescent="0.3">
      <c r="A95" s="124">
        <v>83</v>
      </c>
      <c r="B95" s="59" t="s">
        <v>19</v>
      </c>
      <c r="C95" s="59" t="s">
        <v>1</v>
      </c>
      <c r="D95" s="115" t="s">
        <v>55</v>
      </c>
      <c r="E95" s="59" t="s">
        <v>69</v>
      </c>
      <c r="F95" s="115" t="s">
        <v>57</v>
      </c>
      <c r="G95" s="59" t="s">
        <v>58</v>
      </c>
      <c r="H95" s="59" t="s">
        <v>59</v>
      </c>
      <c r="I95" s="115" t="s">
        <v>52</v>
      </c>
      <c r="J95" s="125" t="s">
        <v>26</v>
      </c>
      <c r="K95" s="70">
        <v>1769</v>
      </c>
      <c r="L95" s="139">
        <f>VLOOKUP(E95,'[1]MASTER WORKFILE MY26.2'!$H:$AC,22,0)</f>
        <v>897.7</v>
      </c>
      <c r="M95" s="116">
        <f>VLOOKUP(E95,'North Kite &amp; Foils '!E:M,9,0)</f>
        <v>0</v>
      </c>
      <c r="N95" s="71">
        <f t="shared" si="1"/>
        <v>0</v>
      </c>
      <c r="O95" s="61" t="s">
        <v>1751</v>
      </c>
      <c r="P95" s="61" t="s">
        <v>1751</v>
      </c>
      <c r="Q95" s="61" t="s">
        <v>1625</v>
      </c>
    </row>
    <row r="96" spans="1:18" ht="15" customHeight="1" x14ac:dyDescent="0.3">
      <c r="A96" s="124">
        <v>84</v>
      </c>
      <c r="B96" s="59" t="s">
        <v>19</v>
      </c>
      <c r="C96" s="59" t="s">
        <v>1</v>
      </c>
      <c r="D96" s="115" t="s">
        <v>55</v>
      </c>
      <c r="E96" s="59" t="s">
        <v>70</v>
      </c>
      <c r="F96" s="115" t="s">
        <v>57</v>
      </c>
      <c r="G96" s="59" t="s">
        <v>58</v>
      </c>
      <c r="H96" s="59" t="s">
        <v>59</v>
      </c>
      <c r="I96" s="115" t="s">
        <v>71</v>
      </c>
      <c r="J96" s="125" t="s">
        <v>26</v>
      </c>
      <c r="K96" s="70">
        <v>1839</v>
      </c>
      <c r="L96" s="139">
        <f>VLOOKUP(E96,'[1]MASTER WORKFILE MY26.2'!$H:$AC,22,0)</f>
        <v>933.2</v>
      </c>
      <c r="M96" s="116">
        <f>VLOOKUP(E96,'North Kite &amp; Foils '!E:M,9,0)</f>
        <v>0</v>
      </c>
      <c r="N96" s="71">
        <f t="shared" si="1"/>
        <v>0</v>
      </c>
      <c r="O96" s="61" t="s">
        <v>1751</v>
      </c>
      <c r="P96" s="61" t="s">
        <v>1751</v>
      </c>
      <c r="Q96" s="61" t="s">
        <v>1625</v>
      </c>
    </row>
    <row r="97" spans="1:17" ht="15" customHeight="1" x14ac:dyDescent="0.3">
      <c r="A97" s="124">
        <v>85</v>
      </c>
      <c r="B97" s="59" t="s">
        <v>19</v>
      </c>
      <c r="C97" s="59" t="s">
        <v>1</v>
      </c>
      <c r="D97" s="115" t="s">
        <v>20</v>
      </c>
      <c r="E97" s="59" t="s">
        <v>21</v>
      </c>
      <c r="F97" s="115" t="s">
        <v>22</v>
      </c>
      <c r="G97" s="59" t="s">
        <v>23</v>
      </c>
      <c r="H97" s="59" t="s">
        <v>24</v>
      </c>
      <c r="I97" s="115" t="s">
        <v>25</v>
      </c>
      <c r="J97" s="125" t="s">
        <v>26</v>
      </c>
      <c r="K97" s="70">
        <v>225</v>
      </c>
      <c r="L97" s="139">
        <f>VLOOKUP(E97,'[1]MASTER WORKFILE MY26.2'!$H:$AC,22,0)</f>
        <v>114.19999999999999</v>
      </c>
      <c r="M97" s="116">
        <f>VLOOKUP(E97,'North Kite &amp; Foils '!E:M,9,0)</f>
        <v>0</v>
      </c>
      <c r="N97" s="71">
        <f t="shared" si="1"/>
        <v>0</v>
      </c>
      <c r="O97" s="61"/>
      <c r="P97" s="61"/>
      <c r="Q97" s="61" t="s">
        <v>1750</v>
      </c>
    </row>
    <row r="98" spans="1:17" ht="15" customHeight="1" x14ac:dyDescent="0.3">
      <c r="A98" s="124">
        <v>86</v>
      </c>
      <c r="B98" s="59" t="s">
        <v>157</v>
      </c>
      <c r="C98" s="59" t="s">
        <v>1</v>
      </c>
      <c r="D98" s="115" t="s">
        <v>174</v>
      </c>
      <c r="E98" s="59" t="s">
        <v>175</v>
      </c>
      <c r="F98" s="115" t="s">
        <v>176</v>
      </c>
      <c r="G98" s="16" t="s">
        <v>161</v>
      </c>
      <c r="H98" s="15" t="s">
        <v>162</v>
      </c>
      <c r="I98" s="15" t="s">
        <v>163</v>
      </c>
      <c r="J98" s="125" t="s">
        <v>26</v>
      </c>
      <c r="K98" s="70">
        <v>659</v>
      </c>
      <c r="L98" s="139">
        <f>VLOOKUP(E98,'[1]MASTER WORKFILE MY26.2'!$H:$AC,22,0)</f>
        <v>345.6</v>
      </c>
      <c r="M98" s="116">
        <f>VLOOKUP(E98,'North Kite &amp; Foils '!E:M,9,0)</f>
        <v>0</v>
      </c>
      <c r="N98" s="71">
        <f t="shared" si="1"/>
        <v>0</v>
      </c>
      <c r="O98" s="61"/>
      <c r="P98" s="61"/>
      <c r="Q98" s="61" t="s">
        <v>1750</v>
      </c>
    </row>
    <row r="99" spans="1:17" ht="15" customHeight="1" x14ac:dyDescent="0.3">
      <c r="A99" s="124">
        <v>87</v>
      </c>
      <c r="B99" s="59" t="s">
        <v>157</v>
      </c>
      <c r="C99" s="59" t="s">
        <v>1</v>
      </c>
      <c r="D99" s="115" t="s">
        <v>174</v>
      </c>
      <c r="E99" s="59" t="s">
        <v>177</v>
      </c>
      <c r="F99" s="115" t="s">
        <v>176</v>
      </c>
      <c r="G99" s="16" t="s">
        <v>161</v>
      </c>
      <c r="H99" s="15" t="s">
        <v>162</v>
      </c>
      <c r="I99" s="15" t="s">
        <v>165</v>
      </c>
      <c r="J99" s="125" t="s">
        <v>26</v>
      </c>
      <c r="K99" s="70">
        <v>659</v>
      </c>
      <c r="L99" s="139">
        <f>VLOOKUP(E99,'[1]MASTER WORKFILE MY26.2'!$H:$AC,22,0)</f>
        <v>345.6</v>
      </c>
      <c r="M99" s="116">
        <f>VLOOKUP(E99,'North Kite &amp; Foils '!E:M,9,0)</f>
        <v>0</v>
      </c>
      <c r="N99" s="71">
        <f t="shared" si="1"/>
        <v>0</v>
      </c>
      <c r="O99" s="61"/>
      <c r="P99" s="61"/>
      <c r="Q99" s="61" t="s">
        <v>1750</v>
      </c>
    </row>
    <row r="100" spans="1:17" ht="15" customHeight="1" x14ac:dyDescent="0.3">
      <c r="A100" s="124">
        <v>88</v>
      </c>
      <c r="B100" s="59" t="s">
        <v>157</v>
      </c>
      <c r="C100" s="59" t="s">
        <v>1</v>
      </c>
      <c r="D100" s="115" t="s">
        <v>174</v>
      </c>
      <c r="E100" s="59" t="s">
        <v>178</v>
      </c>
      <c r="F100" s="115" t="s">
        <v>176</v>
      </c>
      <c r="G100" s="16" t="s">
        <v>161</v>
      </c>
      <c r="H100" s="15" t="s">
        <v>162</v>
      </c>
      <c r="I100" s="15" t="s">
        <v>167</v>
      </c>
      <c r="J100" s="125" t="s">
        <v>26</v>
      </c>
      <c r="K100" s="70">
        <v>659</v>
      </c>
      <c r="L100" s="139">
        <f>VLOOKUP(E100,'[1]MASTER WORKFILE MY26.2'!$H:$AC,22,0)</f>
        <v>345.6</v>
      </c>
      <c r="M100" s="116">
        <f>VLOOKUP(E100,'North Kite &amp; Foils '!E:M,9,0)</f>
        <v>0</v>
      </c>
      <c r="N100" s="71">
        <f t="shared" si="1"/>
        <v>0</v>
      </c>
      <c r="O100" s="61"/>
      <c r="P100" s="61"/>
      <c r="Q100" s="61" t="s">
        <v>1750</v>
      </c>
    </row>
    <row r="101" spans="1:17" ht="15" customHeight="1" x14ac:dyDescent="0.3">
      <c r="A101" s="124">
        <v>89</v>
      </c>
      <c r="B101" s="59" t="s">
        <v>157</v>
      </c>
      <c r="C101" s="59" t="s">
        <v>1</v>
      </c>
      <c r="D101" s="115" t="s">
        <v>158</v>
      </c>
      <c r="E101" s="59" t="s">
        <v>159</v>
      </c>
      <c r="F101" s="115" t="s">
        <v>160</v>
      </c>
      <c r="G101" s="59" t="s">
        <v>161</v>
      </c>
      <c r="H101" s="59" t="s">
        <v>162</v>
      </c>
      <c r="I101" s="115" t="s">
        <v>163</v>
      </c>
      <c r="J101" s="125" t="s">
        <v>26</v>
      </c>
      <c r="K101" s="70">
        <v>449</v>
      </c>
      <c r="L101" s="139">
        <f>VLOOKUP(E101,'[1]MASTER WORKFILE MY26.2'!$H:$AC,22,0)</f>
        <v>235.5</v>
      </c>
      <c r="M101" s="116">
        <f>VLOOKUP(E101,'North Kite &amp; Foils '!E:M,9,0)</f>
        <v>0</v>
      </c>
      <c r="N101" s="71">
        <f t="shared" si="1"/>
        <v>0</v>
      </c>
      <c r="O101" s="61" t="s">
        <v>13</v>
      </c>
      <c r="P101" s="61" t="s">
        <v>13</v>
      </c>
      <c r="Q101" s="61" t="s">
        <v>1625</v>
      </c>
    </row>
    <row r="102" spans="1:17" ht="15" customHeight="1" x14ac:dyDescent="0.3">
      <c r="A102" s="124">
        <v>90</v>
      </c>
      <c r="B102" s="59" t="s">
        <v>157</v>
      </c>
      <c r="C102" s="59" t="s">
        <v>1</v>
      </c>
      <c r="D102" s="115" t="s">
        <v>158</v>
      </c>
      <c r="E102" s="59" t="s">
        <v>164</v>
      </c>
      <c r="F102" s="115" t="s">
        <v>160</v>
      </c>
      <c r="G102" s="59" t="s">
        <v>161</v>
      </c>
      <c r="H102" s="59" t="s">
        <v>162</v>
      </c>
      <c r="I102" s="115" t="s">
        <v>165</v>
      </c>
      <c r="J102" s="125" t="s">
        <v>26</v>
      </c>
      <c r="K102" s="70">
        <v>449</v>
      </c>
      <c r="L102" s="139">
        <f>VLOOKUP(E102,'[1]MASTER WORKFILE MY26.2'!$H:$AC,22,0)</f>
        <v>235.5</v>
      </c>
      <c r="M102" s="116">
        <f>VLOOKUP(E102,'North Kite &amp; Foils '!E:M,9,0)</f>
        <v>0</v>
      </c>
      <c r="N102" s="71">
        <f t="shared" si="1"/>
        <v>0</v>
      </c>
      <c r="O102" s="61" t="s">
        <v>13</v>
      </c>
      <c r="P102" s="61" t="s">
        <v>13</v>
      </c>
      <c r="Q102" s="61" t="s">
        <v>1625</v>
      </c>
    </row>
    <row r="103" spans="1:17" ht="15" customHeight="1" x14ac:dyDescent="0.3">
      <c r="A103" s="124">
        <v>91</v>
      </c>
      <c r="B103" s="59" t="s">
        <v>157</v>
      </c>
      <c r="C103" s="59" t="s">
        <v>1</v>
      </c>
      <c r="D103" s="115" t="s">
        <v>158</v>
      </c>
      <c r="E103" s="59" t="s">
        <v>166</v>
      </c>
      <c r="F103" s="115" t="s">
        <v>160</v>
      </c>
      <c r="G103" s="59" t="s">
        <v>161</v>
      </c>
      <c r="H103" s="59" t="s">
        <v>162</v>
      </c>
      <c r="I103" s="115" t="s">
        <v>167</v>
      </c>
      <c r="J103" s="125" t="s">
        <v>26</v>
      </c>
      <c r="K103" s="70">
        <v>449</v>
      </c>
      <c r="L103" s="139">
        <f>VLOOKUP(E103,'[1]MASTER WORKFILE MY26.2'!$H:$AC,22,0)</f>
        <v>235.5</v>
      </c>
      <c r="M103" s="116">
        <f>VLOOKUP(E103,'North Kite &amp; Foils '!E:M,9,0)</f>
        <v>0</v>
      </c>
      <c r="N103" s="71">
        <f t="shared" si="1"/>
        <v>0</v>
      </c>
      <c r="O103" s="61" t="s">
        <v>13</v>
      </c>
      <c r="P103" s="61" t="s">
        <v>13</v>
      </c>
      <c r="Q103" s="61" t="s">
        <v>1625</v>
      </c>
    </row>
    <row r="104" spans="1:17" ht="15" customHeight="1" x14ac:dyDescent="0.3">
      <c r="A104" s="124">
        <v>92</v>
      </c>
      <c r="B104" s="59" t="s">
        <v>157</v>
      </c>
      <c r="C104" s="59" t="s">
        <v>1</v>
      </c>
      <c r="D104" s="115" t="s">
        <v>168</v>
      </c>
      <c r="E104" s="59" t="s">
        <v>169</v>
      </c>
      <c r="F104" s="115" t="s">
        <v>170</v>
      </c>
      <c r="G104" s="59" t="s">
        <v>161</v>
      </c>
      <c r="H104" s="59" t="s">
        <v>162</v>
      </c>
      <c r="I104" s="115" t="s">
        <v>165</v>
      </c>
      <c r="J104" s="125" t="s">
        <v>26</v>
      </c>
      <c r="K104" s="70">
        <v>565</v>
      </c>
      <c r="L104" s="139">
        <f>VLOOKUP(E104,'[1]MASTER WORKFILE MY26.2'!$H:$AC,22,0)</f>
        <v>296.3</v>
      </c>
      <c r="M104" s="116">
        <f>VLOOKUP(E104,'North Kite &amp; Foils '!E:M,9,0)</f>
        <v>0</v>
      </c>
      <c r="N104" s="71">
        <f t="shared" si="1"/>
        <v>0</v>
      </c>
      <c r="O104" s="61"/>
      <c r="P104" s="61"/>
      <c r="Q104" s="61" t="s">
        <v>1750</v>
      </c>
    </row>
    <row r="105" spans="1:17" ht="15" customHeight="1" x14ac:dyDescent="0.3">
      <c r="A105" s="124">
        <v>93</v>
      </c>
      <c r="B105" s="59" t="s">
        <v>157</v>
      </c>
      <c r="C105" s="59" t="s">
        <v>1</v>
      </c>
      <c r="D105" s="115" t="s">
        <v>171</v>
      </c>
      <c r="E105" s="59" t="s">
        <v>172</v>
      </c>
      <c r="F105" s="115" t="s">
        <v>173</v>
      </c>
      <c r="G105" s="59" t="s">
        <v>161</v>
      </c>
      <c r="H105" s="59" t="s">
        <v>162</v>
      </c>
      <c r="I105" s="115" t="s">
        <v>163</v>
      </c>
      <c r="J105" s="125" t="s">
        <v>26</v>
      </c>
      <c r="K105" s="70">
        <v>665</v>
      </c>
      <c r="L105" s="139">
        <f>VLOOKUP(E105,'[1]MASTER WORKFILE MY26.2'!$H:$AC,22,0)</f>
        <v>348.70000000000005</v>
      </c>
      <c r="M105" s="116">
        <f>VLOOKUP(E105,'North Kite &amp; Foils '!E:M,9,0)</f>
        <v>0</v>
      </c>
      <c r="N105" s="71">
        <f t="shared" si="1"/>
        <v>0</v>
      </c>
      <c r="O105" s="61"/>
      <c r="P105" s="61"/>
      <c r="Q105" s="61" t="s">
        <v>1750</v>
      </c>
    </row>
    <row r="106" spans="1:17" ht="15" customHeight="1" x14ac:dyDescent="0.3">
      <c r="A106" s="124">
        <v>94</v>
      </c>
      <c r="B106" s="59" t="s">
        <v>179</v>
      </c>
      <c r="C106" s="59" t="s">
        <v>1</v>
      </c>
      <c r="D106" s="115" t="s">
        <v>208</v>
      </c>
      <c r="E106" s="59" t="s">
        <v>209</v>
      </c>
      <c r="F106" s="115" t="s">
        <v>210</v>
      </c>
      <c r="G106" s="59" t="s">
        <v>211</v>
      </c>
      <c r="H106" s="59" t="s">
        <v>212</v>
      </c>
      <c r="I106" s="115" t="s">
        <v>213</v>
      </c>
      <c r="J106" s="125" t="s">
        <v>101</v>
      </c>
      <c r="K106" s="70">
        <v>619</v>
      </c>
      <c r="L106" s="139">
        <f>VLOOKUP(E106,'[1]MASTER WORKFILE MY26.2'!$H:$AC,22,0)</f>
        <v>327.70000000000005</v>
      </c>
      <c r="M106" s="116">
        <f>VLOOKUP(E106,'North Kite &amp; Foils '!E:M,9,0)</f>
        <v>0</v>
      </c>
      <c r="N106" s="71">
        <f t="shared" si="1"/>
        <v>0</v>
      </c>
      <c r="O106" s="61" t="s">
        <v>1751</v>
      </c>
      <c r="P106" s="61" t="s">
        <v>1751</v>
      </c>
      <c r="Q106" s="61" t="s">
        <v>1625</v>
      </c>
    </row>
    <row r="107" spans="1:17" ht="15" customHeight="1" x14ac:dyDescent="0.3">
      <c r="A107" s="124">
        <v>95</v>
      </c>
      <c r="B107" s="59" t="s">
        <v>179</v>
      </c>
      <c r="C107" s="59" t="s">
        <v>1</v>
      </c>
      <c r="D107" s="115" t="s">
        <v>208</v>
      </c>
      <c r="E107" s="59" t="s">
        <v>214</v>
      </c>
      <c r="F107" s="115" t="s">
        <v>210</v>
      </c>
      <c r="G107" s="59" t="s">
        <v>211</v>
      </c>
      <c r="H107" s="59" t="s">
        <v>212</v>
      </c>
      <c r="I107" s="115" t="s">
        <v>215</v>
      </c>
      <c r="J107" s="125" t="s">
        <v>101</v>
      </c>
      <c r="K107" s="70">
        <v>619</v>
      </c>
      <c r="L107" s="139">
        <f>VLOOKUP(E107,'[1]MASTER WORKFILE MY26.2'!$H:$AC,22,0)</f>
        <v>327.70000000000005</v>
      </c>
      <c r="M107" s="116">
        <f>VLOOKUP(E107,'North Kite &amp; Foils '!E:M,9,0)</f>
        <v>0</v>
      </c>
      <c r="N107" s="71">
        <f t="shared" si="1"/>
        <v>0</v>
      </c>
      <c r="O107" s="61" t="s">
        <v>1751</v>
      </c>
      <c r="P107" s="61" t="s">
        <v>1751</v>
      </c>
      <c r="Q107" s="61" t="s">
        <v>1625</v>
      </c>
    </row>
    <row r="108" spans="1:17" ht="15" customHeight="1" x14ac:dyDescent="0.3">
      <c r="A108" s="124">
        <v>96</v>
      </c>
      <c r="B108" s="59" t="s">
        <v>179</v>
      </c>
      <c r="C108" s="59" t="s">
        <v>1</v>
      </c>
      <c r="D108" s="115" t="s">
        <v>208</v>
      </c>
      <c r="E108" s="59" t="s">
        <v>216</v>
      </c>
      <c r="F108" s="115" t="s">
        <v>210</v>
      </c>
      <c r="G108" s="59" t="s">
        <v>211</v>
      </c>
      <c r="H108" s="59" t="s">
        <v>212</v>
      </c>
      <c r="I108" s="115" t="s">
        <v>217</v>
      </c>
      <c r="J108" s="125" t="s">
        <v>101</v>
      </c>
      <c r="K108" s="70">
        <v>619</v>
      </c>
      <c r="L108" s="139">
        <f>VLOOKUP(E108,'[1]MASTER WORKFILE MY26.2'!$H:$AC,22,0)</f>
        <v>327.70000000000005</v>
      </c>
      <c r="M108" s="116">
        <f>VLOOKUP(E108,'North Kite &amp; Foils '!E:M,9,0)</f>
        <v>0</v>
      </c>
      <c r="N108" s="71">
        <f t="shared" si="1"/>
        <v>0</v>
      </c>
      <c r="O108" s="61" t="s">
        <v>1751</v>
      </c>
      <c r="P108" s="61" t="s">
        <v>1751</v>
      </c>
      <c r="Q108" s="61" t="s">
        <v>1625</v>
      </c>
    </row>
    <row r="109" spans="1:17" ht="15" customHeight="1" x14ac:dyDescent="0.3">
      <c r="A109" s="124">
        <v>97</v>
      </c>
      <c r="B109" s="59" t="s">
        <v>179</v>
      </c>
      <c r="C109" s="59" t="s">
        <v>1</v>
      </c>
      <c r="D109" s="115" t="s">
        <v>208</v>
      </c>
      <c r="E109" s="59" t="s">
        <v>218</v>
      </c>
      <c r="F109" s="115" t="s">
        <v>210</v>
      </c>
      <c r="G109" s="59" t="s">
        <v>211</v>
      </c>
      <c r="H109" s="59" t="s">
        <v>212</v>
      </c>
      <c r="I109" s="115" t="s">
        <v>219</v>
      </c>
      <c r="J109" s="125" t="s">
        <v>101</v>
      </c>
      <c r="K109" s="70">
        <v>619</v>
      </c>
      <c r="L109" s="139">
        <f>VLOOKUP(E109,'[1]MASTER WORKFILE MY26.2'!$H:$AC,22,0)</f>
        <v>327.70000000000005</v>
      </c>
      <c r="M109" s="116">
        <f>VLOOKUP(E109,'North Kite &amp; Foils '!E:M,9,0)</f>
        <v>0</v>
      </c>
      <c r="N109" s="71">
        <f t="shared" si="1"/>
        <v>0</v>
      </c>
      <c r="O109" s="61" t="s">
        <v>1751</v>
      </c>
      <c r="P109" s="61" t="s">
        <v>1751</v>
      </c>
      <c r="Q109" s="61" t="s">
        <v>1625</v>
      </c>
    </row>
    <row r="110" spans="1:17" ht="15" customHeight="1" x14ac:dyDescent="0.3">
      <c r="A110" s="124">
        <v>98</v>
      </c>
      <c r="B110" s="59" t="s">
        <v>179</v>
      </c>
      <c r="C110" s="59" t="s">
        <v>1</v>
      </c>
      <c r="D110" s="115" t="s">
        <v>208</v>
      </c>
      <c r="E110" s="59" t="s">
        <v>220</v>
      </c>
      <c r="F110" s="115" t="s">
        <v>210</v>
      </c>
      <c r="G110" s="59" t="s">
        <v>211</v>
      </c>
      <c r="H110" s="59" t="s">
        <v>212</v>
      </c>
      <c r="I110" s="115" t="s">
        <v>221</v>
      </c>
      <c r="J110" s="125" t="s">
        <v>101</v>
      </c>
      <c r="K110" s="70">
        <v>619</v>
      </c>
      <c r="L110" s="139">
        <f>VLOOKUP(E110,'[1]MASTER WORKFILE MY26.2'!$H:$AC,22,0)</f>
        <v>327.70000000000005</v>
      </c>
      <c r="M110" s="116">
        <f>VLOOKUP(E110,'North Kite &amp; Foils '!E:M,9,0)</f>
        <v>0</v>
      </c>
      <c r="N110" s="71">
        <f t="shared" si="1"/>
        <v>0</v>
      </c>
      <c r="O110" s="61" t="s">
        <v>1751</v>
      </c>
      <c r="P110" s="61" t="s">
        <v>1751</v>
      </c>
      <c r="Q110" s="61" t="s">
        <v>1625</v>
      </c>
    </row>
    <row r="111" spans="1:17" ht="15" customHeight="1" x14ac:dyDescent="0.3">
      <c r="A111" s="124">
        <v>99</v>
      </c>
      <c r="B111" s="59" t="s">
        <v>179</v>
      </c>
      <c r="C111" s="59" t="s">
        <v>1</v>
      </c>
      <c r="D111" s="115" t="s">
        <v>208</v>
      </c>
      <c r="E111" s="59" t="s">
        <v>222</v>
      </c>
      <c r="F111" s="115" t="s">
        <v>210</v>
      </c>
      <c r="G111" s="59" t="s">
        <v>211</v>
      </c>
      <c r="H111" s="59" t="s">
        <v>212</v>
      </c>
      <c r="I111" s="115" t="s">
        <v>223</v>
      </c>
      <c r="J111" s="125" t="s">
        <v>101</v>
      </c>
      <c r="K111" s="70">
        <v>619</v>
      </c>
      <c r="L111" s="139">
        <f>VLOOKUP(E111,'[1]MASTER WORKFILE MY26.2'!$H:$AC,22,0)</f>
        <v>327.70000000000005</v>
      </c>
      <c r="M111" s="116">
        <f>VLOOKUP(E111,'North Kite &amp; Foils '!E:M,9,0)</f>
        <v>0</v>
      </c>
      <c r="N111" s="71">
        <f t="shared" si="1"/>
        <v>0</v>
      </c>
      <c r="O111" s="61" t="s">
        <v>1751</v>
      </c>
      <c r="P111" s="61" t="s">
        <v>1751</v>
      </c>
      <c r="Q111" s="61" t="s">
        <v>1625</v>
      </c>
    </row>
    <row r="112" spans="1:17" ht="15" customHeight="1" x14ac:dyDescent="0.3">
      <c r="A112" s="124">
        <v>100</v>
      </c>
      <c r="B112" s="59" t="s">
        <v>179</v>
      </c>
      <c r="C112" s="59" t="s">
        <v>1</v>
      </c>
      <c r="D112" s="115" t="s">
        <v>252</v>
      </c>
      <c r="E112" s="59" t="s">
        <v>253</v>
      </c>
      <c r="F112" s="115" t="s">
        <v>254</v>
      </c>
      <c r="G112" s="59" t="s">
        <v>255</v>
      </c>
      <c r="H112" s="59" t="s">
        <v>256</v>
      </c>
      <c r="I112" s="115" t="s">
        <v>213</v>
      </c>
      <c r="J112" s="125" t="s">
        <v>26</v>
      </c>
      <c r="K112" s="70">
        <v>1599</v>
      </c>
      <c r="L112" s="139">
        <f>VLOOKUP(E112,'[1]MASTER WORKFILE MY26.2'!$H:$AC,22,0)</f>
        <v>846.5</v>
      </c>
      <c r="M112" s="116">
        <f>VLOOKUP(E112,'North Kite &amp; Foils '!E:M,9,0)</f>
        <v>0</v>
      </c>
      <c r="N112" s="71">
        <f t="shared" si="1"/>
        <v>0</v>
      </c>
      <c r="O112" s="61" t="s">
        <v>1751</v>
      </c>
      <c r="P112" s="61" t="s">
        <v>1751</v>
      </c>
      <c r="Q112" s="61" t="s">
        <v>1625</v>
      </c>
    </row>
    <row r="113" spans="1:18" ht="15" customHeight="1" x14ac:dyDescent="0.3">
      <c r="A113" s="124">
        <v>101</v>
      </c>
      <c r="B113" s="59" t="s">
        <v>179</v>
      </c>
      <c r="C113" s="59" t="s">
        <v>1</v>
      </c>
      <c r="D113" s="115" t="s">
        <v>252</v>
      </c>
      <c r="E113" s="59" t="s">
        <v>257</v>
      </c>
      <c r="F113" s="115" t="s">
        <v>254</v>
      </c>
      <c r="G113" s="59" t="s">
        <v>255</v>
      </c>
      <c r="H113" s="59" t="s">
        <v>256</v>
      </c>
      <c r="I113" s="115" t="s">
        <v>215</v>
      </c>
      <c r="J113" s="125" t="s">
        <v>26</v>
      </c>
      <c r="K113" s="70">
        <v>1599</v>
      </c>
      <c r="L113" s="139">
        <f>VLOOKUP(E113,'[1]MASTER WORKFILE MY26.2'!$H:$AC,22,0)</f>
        <v>846.5</v>
      </c>
      <c r="M113" s="116">
        <f>VLOOKUP(E113,'North Kite &amp; Foils '!E:M,9,0)</f>
        <v>0</v>
      </c>
      <c r="N113" s="71">
        <f t="shared" si="1"/>
        <v>0</v>
      </c>
      <c r="O113" s="61" t="s">
        <v>1751</v>
      </c>
      <c r="P113" s="61" t="s">
        <v>1751</v>
      </c>
      <c r="Q113" s="61" t="s">
        <v>1625</v>
      </c>
    </row>
    <row r="114" spans="1:18" ht="15" customHeight="1" x14ac:dyDescent="0.3">
      <c r="A114" s="124">
        <v>102</v>
      </c>
      <c r="B114" s="59" t="s">
        <v>179</v>
      </c>
      <c r="C114" s="59" t="s">
        <v>1</v>
      </c>
      <c r="D114" s="115" t="s">
        <v>252</v>
      </c>
      <c r="E114" s="59" t="s">
        <v>258</v>
      </c>
      <c r="F114" s="115" t="s">
        <v>254</v>
      </c>
      <c r="G114" s="59" t="s">
        <v>255</v>
      </c>
      <c r="H114" s="59" t="s">
        <v>256</v>
      </c>
      <c r="I114" s="115" t="s">
        <v>217</v>
      </c>
      <c r="J114" s="125" t="s">
        <v>26</v>
      </c>
      <c r="K114" s="70">
        <v>1599</v>
      </c>
      <c r="L114" s="139">
        <f>VLOOKUP(E114,'[1]MASTER WORKFILE MY26.2'!$H:$AC,22,0)</f>
        <v>846.5</v>
      </c>
      <c r="M114" s="116">
        <f>VLOOKUP(E114,'North Kite &amp; Foils '!E:M,9,0)</f>
        <v>0</v>
      </c>
      <c r="N114" s="71">
        <f t="shared" si="1"/>
        <v>0</v>
      </c>
      <c r="O114" s="61" t="s">
        <v>1751</v>
      </c>
      <c r="P114" s="61" t="s">
        <v>1751</v>
      </c>
      <c r="Q114" s="61" t="s">
        <v>1625</v>
      </c>
    </row>
    <row r="115" spans="1:18" ht="15" customHeight="1" x14ac:dyDescent="0.3">
      <c r="A115" s="124">
        <v>103</v>
      </c>
      <c r="B115" s="59" t="s">
        <v>179</v>
      </c>
      <c r="C115" s="59" t="s">
        <v>1</v>
      </c>
      <c r="D115" s="115" t="s">
        <v>252</v>
      </c>
      <c r="E115" s="59" t="s">
        <v>259</v>
      </c>
      <c r="F115" s="115" t="s">
        <v>254</v>
      </c>
      <c r="G115" s="59" t="s">
        <v>255</v>
      </c>
      <c r="H115" s="59" t="s">
        <v>256</v>
      </c>
      <c r="I115" s="115" t="s">
        <v>219</v>
      </c>
      <c r="J115" s="125" t="s">
        <v>26</v>
      </c>
      <c r="K115" s="70">
        <v>1599</v>
      </c>
      <c r="L115" s="139">
        <f>VLOOKUP(E115,'[1]MASTER WORKFILE MY26.2'!$H:$AC,22,0)</f>
        <v>846.5</v>
      </c>
      <c r="M115" s="116">
        <f>VLOOKUP(E115,'North Kite &amp; Foils '!E:M,9,0)</f>
        <v>0</v>
      </c>
      <c r="N115" s="71">
        <f t="shared" si="1"/>
        <v>0</v>
      </c>
      <c r="O115" s="61" t="s">
        <v>1751</v>
      </c>
      <c r="P115" s="61" t="s">
        <v>1751</v>
      </c>
      <c r="Q115" s="61" t="s">
        <v>1625</v>
      </c>
    </row>
    <row r="116" spans="1:18" ht="15" customHeight="1" x14ac:dyDescent="0.3">
      <c r="A116" s="124">
        <v>104</v>
      </c>
      <c r="B116" s="59" t="s">
        <v>179</v>
      </c>
      <c r="C116" s="59" t="s">
        <v>1</v>
      </c>
      <c r="D116" s="115" t="s">
        <v>244</v>
      </c>
      <c r="E116" s="59" t="s">
        <v>245</v>
      </c>
      <c r="F116" s="115" t="s">
        <v>246</v>
      </c>
      <c r="G116" s="59" t="s">
        <v>247</v>
      </c>
      <c r="H116" s="59" t="s">
        <v>248</v>
      </c>
      <c r="I116" s="115" t="s">
        <v>213</v>
      </c>
      <c r="J116" s="125" t="s">
        <v>26</v>
      </c>
      <c r="K116" s="70">
        <v>1159</v>
      </c>
      <c r="L116" s="139">
        <f>VLOOKUP(E116,'[1]MASTER WORKFILE MY26.2'!$H:$AC,22,0)</f>
        <v>613.6</v>
      </c>
      <c r="M116" s="116">
        <f>VLOOKUP(E116,'North Kite &amp; Foils '!E:M,9,0)</f>
        <v>0</v>
      </c>
      <c r="N116" s="71">
        <f t="shared" si="1"/>
        <v>0</v>
      </c>
      <c r="O116" s="61" t="s">
        <v>1751</v>
      </c>
      <c r="P116" s="61" t="s">
        <v>1751</v>
      </c>
      <c r="Q116" s="61" t="s">
        <v>1625</v>
      </c>
    </row>
    <row r="117" spans="1:18" ht="15" customHeight="1" x14ac:dyDescent="0.3">
      <c r="A117" s="124">
        <v>105</v>
      </c>
      <c r="B117" s="59" t="s">
        <v>179</v>
      </c>
      <c r="C117" s="59" t="s">
        <v>1</v>
      </c>
      <c r="D117" s="115" t="s">
        <v>244</v>
      </c>
      <c r="E117" s="59" t="s">
        <v>249</v>
      </c>
      <c r="F117" s="115" t="s">
        <v>246</v>
      </c>
      <c r="G117" s="59" t="s">
        <v>247</v>
      </c>
      <c r="H117" s="59" t="s">
        <v>248</v>
      </c>
      <c r="I117" s="115" t="s">
        <v>215</v>
      </c>
      <c r="J117" s="125" t="s">
        <v>26</v>
      </c>
      <c r="K117" s="70">
        <v>1159</v>
      </c>
      <c r="L117" s="139">
        <f>VLOOKUP(E117,'[1]MASTER WORKFILE MY26.2'!$H:$AC,22,0)</f>
        <v>613.6</v>
      </c>
      <c r="M117" s="116">
        <f>VLOOKUP(E117,'North Kite &amp; Foils '!E:M,9,0)</f>
        <v>0</v>
      </c>
      <c r="N117" s="71">
        <f t="shared" si="1"/>
        <v>0</v>
      </c>
      <c r="O117" s="61" t="s">
        <v>1751</v>
      </c>
      <c r="P117" s="61" t="s">
        <v>1751</v>
      </c>
      <c r="Q117" s="61" t="s">
        <v>1625</v>
      </c>
    </row>
    <row r="118" spans="1:18" ht="15" customHeight="1" x14ac:dyDescent="0.3">
      <c r="A118" s="124">
        <v>106</v>
      </c>
      <c r="B118" s="59" t="s">
        <v>179</v>
      </c>
      <c r="C118" s="59" t="s">
        <v>1</v>
      </c>
      <c r="D118" s="115" t="s">
        <v>244</v>
      </c>
      <c r="E118" s="59" t="s">
        <v>250</v>
      </c>
      <c r="F118" s="115" t="s">
        <v>246</v>
      </c>
      <c r="G118" s="59" t="s">
        <v>247</v>
      </c>
      <c r="H118" s="59" t="s">
        <v>248</v>
      </c>
      <c r="I118" s="115" t="s">
        <v>217</v>
      </c>
      <c r="J118" s="125" t="s">
        <v>26</v>
      </c>
      <c r="K118" s="70">
        <v>1159</v>
      </c>
      <c r="L118" s="139">
        <f>VLOOKUP(E118,'[1]MASTER WORKFILE MY26.2'!$H:$AC,22,0)</f>
        <v>613.6</v>
      </c>
      <c r="M118" s="116">
        <f>VLOOKUP(E118,'North Kite &amp; Foils '!E:M,9,0)</f>
        <v>0</v>
      </c>
      <c r="N118" s="71">
        <f t="shared" si="1"/>
        <v>0</v>
      </c>
      <c r="O118" s="61" t="s">
        <v>1751</v>
      </c>
      <c r="P118" s="61" t="s">
        <v>1751</v>
      </c>
      <c r="Q118" s="61" t="s">
        <v>1625</v>
      </c>
    </row>
    <row r="119" spans="1:18" ht="15" customHeight="1" x14ac:dyDescent="0.3">
      <c r="A119" s="124">
        <v>107</v>
      </c>
      <c r="B119" s="59" t="s">
        <v>179</v>
      </c>
      <c r="C119" s="59" t="s">
        <v>1</v>
      </c>
      <c r="D119" s="115" t="s">
        <v>244</v>
      </c>
      <c r="E119" s="59" t="s">
        <v>251</v>
      </c>
      <c r="F119" s="115" t="s">
        <v>246</v>
      </c>
      <c r="G119" s="59" t="s">
        <v>247</v>
      </c>
      <c r="H119" s="59" t="s">
        <v>248</v>
      </c>
      <c r="I119" s="115" t="s">
        <v>219</v>
      </c>
      <c r="J119" s="125" t="s">
        <v>26</v>
      </c>
      <c r="K119" s="70">
        <v>1159</v>
      </c>
      <c r="L119" s="139">
        <f>VLOOKUP(E119,'[1]MASTER WORKFILE MY26.2'!$H:$AC,22,0)</f>
        <v>613.6</v>
      </c>
      <c r="M119" s="116">
        <f>VLOOKUP(E119,'North Kite &amp; Foils '!E:M,9,0)</f>
        <v>0</v>
      </c>
      <c r="N119" s="71">
        <f t="shared" si="1"/>
        <v>0</v>
      </c>
      <c r="O119" s="61" t="s">
        <v>1751</v>
      </c>
      <c r="P119" s="61" t="s">
        <v>1751</v>
      </c>
      <c r="Q119" s="61" t="s">
        <v>1625</v>
      </c>
    </row>
    <row r="120" spans="1:18" s="73" customFormat="1" ht="15" customHeight="1" x14ac:dyDescent="0.3">
      <c r="A120" s="124">
        <v>108</v>
      </c>
      <c r="B120" s="59" t="s">
        <v>179</v>
      </c>
      <c r="C120" s="59" t="s">
        <v>1</v>
      </c>
      <c r="D120" s="115" t="s">
        <v>236</v>
      </c>
      <c r="E120" s="59" t="s">
        <v>237</v>
      </c>
      <c r="F120" s="115" t="s">
        <v>238</v>
      </c>
      <c r="G120" s="59" t="s">
        <v>239</v>
      </c>
      <c r="H120" s="59" t="s">
        <v>240</v>
      </c>
      <c r="I120" s="115" t="s">
        <v>213</v>
      </c>
      <c r="J120" s="125" t="s">
        <v>26</v>
      </c>
      <c r="K120" s="70">
        <v>799</v>
      </c>
      <c r="L120" s="139">
        <f>VLOOKUP(E120,'[1]MASTER WORKFILE MY26.2'!$H:$AC,22,0)</f>
        <v>423</v>
      </c>
      <c r="M120" s="116">
        <f>VLOOKUP(E120,'North Kite &amp; Foils '!E:M,9,0)</f>
        <v>0</v>
      </c>
      <c r="N120" s="71">
        <f t="shared" si="1"/>
        <v>0</v>
      </c>
      <c r="O120" s="61" t="s">
        <v>1751</v>
      </c>
      <c r="P120" s="61" t="s">
        <v>1751</v>
      </c>
      <c r="Q120" s="61" t="s">
        <v>1625</v>
      </c>
      <c r="R120" s="53"/>
    </row>
    <row r="121" spans="1:18" ht="15" customHeight="1" x14ac:dyDescent="0.3">
      <c r="A121" s="124">
        <v>109</v>
      </c>
      <c r="B121" s="59" t="s">
        <v>179</v>
      </c>
      <c r="C121" s="59" t="s">
        <v>1</v>
      </c>
      <c r="D121" s="115" t="s">
        <v>236</v>
      </c>
      <c r="E121" s="59" t="s">
        <v>241</v>
      </c>
      <c r="F121" s="115" t="s">
        <v>238</v>
      </c>
      <c r="G121" s="59" t="s">
        <v>239</v>
      </c>
      <c r="H121" s="59" t="s">
        <v>240</v>
      </c>
      <c r="I121" s="115" t="s">
        <v>215</v>
      </c>
      <c r="J121" s="125" t="s">
        <v>26</v>
      </c>
      <c r="K121" s="70">
        <v>799</v>
      </c>
      <c r="L121" s="139">
        <f>VLOOKUP(E121,'[1]MASTER WORKFILE MY26.2'!$H:$AC,22,0)</f>
        <v>423</v>
      </c>
      <c r="M121" s="116">
        <f>VLOOKUP(E121,'North Kite &amp; Foils '!E:M,9,0)</f>
        <v>0</v>
      </c>
      <c r="N121" s="71">
        <f t="shared" si="1"/>
        <v>0</v>
      </c>
      <c r="O121" s="61" t="s">
        <v>1751</v>
      </c>
      <c r="P121" s="61" t="s">
        <v>1751</v>
      </c>
      <c r="Q121" s="61" t="s">
        <v>1625</v>
      </c>
    </row>
    <row r="122" spans="1:18" ht="15" customHeight="1" x14ac:dyDescent="0.3">
      <c r="A122" s="124">
        <v>110</v>
      </c>
      <c r="B122" s="59" t="s">
        <v>179</v>
      </c>
      <c r="C122" s="59" t="s">
        <v>1</v>
      </c>
      <c r="D122" s="115" t="s">
        <v>236</v>
      </c>
      <c r="E122" s="59" t="s">
        <v>242</v>
      </c>
      <c r="F122" s="115" t="s">
        <v>238</v>
      </c>
      <c r="G122" s="59" t="s">
        <v>239</v>
      </c>
      <c r="H122" s="59" t="s">
        <v>240</v>
      </c>
      <c r="I122" s="115" t="s">
        <v>217</v>
      </c>
      <c r="J122" s="125" t="s">
        <v>26</v>
      </c>
      <c r="K122" s="70">
        <v>799</v>
      </c>
      <c r="L122" s="139">
        <f>VLOOKUP(E122,'[1]MASTER WORKFILE MY26.2'!$H:$AC,22,0)</f>
        <v>423</v>
      </c>
      <c r="M122" s="116">
        <f>VLOOKUP(E122,'North Kite &amp; Foils '!E:M,9,0)</f>
        <v>0</v>
      </c>
      <c r="N122" s="71">
        <f t="shared" si="1"/>
        <v>0</v>
      </c>
      <c r="O122" s="61" t="s">
        <v>1751</v>
      </c>
      <c r="P122" s="61" t="s">
        <v>1751</v>
      </c>
      <c r="Q122" s="61" t="s">
        <v>1625</v>
      </c>
    </row>
    <row r="123" spans="1:18" ht="15" customHeight="1" x14ac:dyDescent="0.3">
      <c r="A123" s="124">
        <v>111</v>
      </c>
      <c r="B123" s="59" t="s">
        <v>179</v>
      </c>
      <c r="C123" s="59" t="s">
        <v>1</v>
      </c>
      <c r="D123" s="115" t="s">
        <v>236</v>
      </c>
      <c r="E123" s="59" t="s">
        <v>243</v>
      </c>
      <c r="F123" s="115" t="s">
        <v>238</v>
      </c>
      <c r="G123" s="59" t="s">
        <v>239</v>
      </c>
      <c r="H123" s="59" t="s">
        <v>240</v>
      </c>
      <c r="I123" s="115" t="s">
        <v>219</v>
      </c>
      <c r="J123" s="125" t="s">
        <v>26</v>
      </c>
      <c r="K123" s="70">
        <v>799</v>
      </c>
      <c r="L123" s="139">
        <f>VLOOKUP(E123,'[1]MASTER WORKFILE MY26.2'!$H:$AC,22,0)</f>
        <v>423</v>
      </c>
      <c r="M123" s="116">
        <f>VLOOKUP(E123,'North Kite &amp; Foils '!E:M,9,0)</f>
        <v>0</v>
      </c>
      <c r="N123" s="71">
        <f t="shared" si="1"/>
        <v>0</v>
      </c>
      <c r="O123" s="61" t="s">
        <v>1751</v>
      </c>
      <c r="P123" s="61" t="s">
        <v>1751</v>
      </c>
      <c r="Q123" s="61" t="s">
        <v>1625</v>
      </c>
    </row>
    <row r="124" spans="1:18" ht="15" customHeight="1" x14ac:dyDescent="0.3">
      <c r="A124" s="124">
        <v>112</v>
      </c>
      <c r="B124" s="59" t="s">
        <v>179</v>
      </c>
      <c r="C124" s="59" t="s">
        <v>1</v>
      </c>
      <c r="D124" s="115" t="s">
        <v>224</v>
      </c>
      <c r="E124" s="59" t="s">
        <v>225</v>
      </c>
      <c r="F124" s="115" t="s">
        <v>226</v>
      </c>
      <c r="G124" s="59" t="s">
        <v>227</v>
      </c>
      <c r="H124" s="59" t="s">
        <v>228</v>
      </c>
      <c r="I124" s="115" t="s">
        <v>229</v>
      </c>
      <c r="J124" s="125" t="s">
        <v>26</v>
      </c>
      <c r="K124" s="70">
        <v>749</v>
      </c>
      <c r="L124" s="139">
        <f>VLOOKUP(E124,'[1]MASTER WORKFILE MY26.2'!$H:$AC,22,0)</f>
        <v>396.6</v>
      </c>
      <c r="M124" s="116">
        <f>VLOOKUP(E124,'North Kite &amp; Foils '!E:M,9,0)</f>
        <v>0</v>
      </c>
      <c r="N124" s="71">
        <f t="shared" si="1"/>
        <v>0</v>
      </c>
      <c r="O124" s="61" t="s">
        <v>1751</v>
      </c>
      <c r="P124" s="61" t="s">
        <v>1751</v>
      </c>
      <c r="Q124" s="61" t="s">
        <v>1625</v>
      </c>
    </row>
    <row r="125" spans="1:18" ht="15" customHeight="1" x14ac:dyDescent="0.3">
      <c r="A125" s="124">
        <v>113</v>
      </c>
      <c r="B125" s="59" t="s">
        <v>179</v>
      </c>
      <c r="C125" s="59" t="s">
        <v>1</v>
      </c>
      <c r="D125" s="115" t="s">
        <v>224</v>
      </c>
      <c r="E125" s="59" t="s">
        <v>230</v>
      </c>
      <c r="F125" s="115" t="s">
        <v>226</v>
      </c>
      <c r="G125" s="59" t="s">
        <v>227</v>
      </c>
      <c r="H125" s="59" t="s">
        <v>228</v>
      </c>
      <c r="I125" s="115" t="s">
        <v>231</v>
      </c>
      <c r="J125" s="125" t="s">
        <v>26</v>
      </c>
      <c r="K125" s="70">
        <v>749</v>
      </c>
      <c r="L125" s="139">
        <f>VLOOKUP(E125,'[1]MASTER WORKFILE MY26.2'!$H:$AC,22,0)</f>
        <v>396.6</v>
      </c>
      <c r="M125" s="116">
        <f>VLOOKUP(E125,'North Kite &amp; Foils '!E:M,9,0)</f>
        <v>0</v>
      </c>
      <c r="N125" s="71">
        <f t="shared" si="1"/>
        <v>0</v>
      </c>
      <c r="O125" s="61" t="s">
        <v>1751</v>
      </c>
      <c r="P125" s="61" t="s">
        <v>1751</v>
      </c>
      <c r="Q125" s="61" t="s">
        <v>1625</v>
      </c>
    </row>
    <row r="126" spans="1:18" ht="15" customHeight="1" x14ac:dyDescent="0.3">
      <c r="A126" s="124">
        <v>114</v>
      </c>
      <c r="B126" s="59" t="s">
        <v>179</v>
      </c>
      <c r="C126" s="59" t="s">
        <v>1</v>
      </c>
      <c r="D126" s="115" t="s">
        <v>224</v>
      </c>
      <c r="E126" s="59" t="s">
        <v>232</v>
      </c>
      <c r="F126" s="115" t="s">
        <v>226</v>
      </c>
      <c r="G126" s="59" t="s">
        <v>227</v>
      </c>
      <c r="H126" s="59" t="s">
        <v>228</v>
      </c>
      <c r="I126" s="115" t="s">
        <v>233</v>
      </c>
      <c r="J126" s="125" t="s">
        <v>26</v>
      </c>
      <c r="K126" s="70">
        <v>749</v>
      </c>
      <c r="L126" s="139">
        <f>VLOOKUP(E126,'[1]MASTER WORKFILE MY26.2'!$H:$AC,22,0)</f>
        <v>396.6</v>
      </c>
      <c r="M126" s="116">
        <f>VLOOKUP(E126,'North Kite &amp; Foils '!E:M,9,0)</f>
        <v>0</v>
      </c>
      <c r="N126" s="71">
        <f t="shared" si="1"/>
        <v>0</v>
      </c>
      <c r="O126" s="61" t="s">
        <v>1751</v>
      </c>
      <c r="P126" s="61" t="s">
        <v>1751</v>
      </c>
      <c r="Q126" s="61" t="s">
        <v>1625</v>
      </c>
    </row>
    <row r="127" spans="1:18" ht="15" customHeight="1" x14ac:dyDescent="0.3">
      <c r="A127" s="124">
        <v>115</v>
      </c>
      <c r="B127" s="59" t="s">
        <v>179</v>
      </c>
      <c r="C127" s="59" t="s">
        <v>1</v>
      </c>
      <c r="D127" s="115" t="s">
        <v>224</v>
      </c>
      <c r="E127" s="59" t="s">
        <v>234</v>
      </c>
      <c r="F127" s="115" t="s">
        <v>226</v>
      </c>
      <c r="G127" s="59" t="s">
        <v>227</v>
      </c>
      <c r="H127" s="59" t="s">
        <v>228</v>
      </c>
      <c r="I127" s="115" t="s">
        <v>235</v>
      </c>
      <c r="J127" s="125" t="s">
        <v>26</v>
      </c>
      <c r="K127" s="70">
        <v>749</v>
      </c>
      <c r="L127" s="139">
        <f>VLOOKUP(E127,'[1]MASTER WORKFILE MY26.2'!$H:$AC,22,0)</f>
        <v>396.6</v>
      </c>
      <c r="M127" s="116">
        <f>VLOOKUP(E127,'North Kite &amp; Foils '!E:M,9,0)</f>
        <v>0</v>
      </c>
      <c r="N127" s="71">
        <f t="shared" si="1"/>
        <v>0</v>
      </c>
      <c r="O127" s="61" t="s">
        <v>1751</v>
      </c>
      <c r="P127" s="61" t="s">
        <v>1751</v>
      </c>
      <c r="Q127" s="61" t="s">
        <v>1625</v>
      </c>
    </row>
    <row r="128" spans="1:18" ht="15" customHeight="1" x14ac:dyDescent="0.3">
      <c r="A128" s="124">
        <v>116</v>
      </c>
      <c r="B128" s="59" t="s">
        <v>179</v>
      </c>
      <c r="C128" s="59" t="s">
        <v>1</v>
      </c>
      <c r="D128" s="115" t="s">
        <v>180</v>
      </c>
      <c r="E128" s="59" t="s">
        <v>181</v>
      </c>
      <c r="F128" s="115" t="s">
        <v>182</v>
      </c>
      <c r="G128" s="59" t="s">
        <v>183</v>
      </c>
      <c r="H128" s="59" t="s">
        <v>184</v>
      </c>
      <c r="I128" s="115" t="s">
        <v>185</v>
      </c>
      <c r="J128" s="125" t="s">
        <v>26</v>
      </c>
      <c r="K128" s="70">
        <v>769</v>
      </c>
      <c r="L128" s="139">
        <f>VLOOKUP(E128,'[1]MASTER WORKFILE MY26.2'!$H:$AC,22,0)</f>
        <v>407.1</v>
      </c>
      <c r="M128" s="116">
        <f>VLOOKUP(E128,'North Kite &amp; Foils '!E:M,9,0)</f>
        <v>0</v>
      </c>
      <c r="N128" s="71">
        <f t="shared" si="1"/>
        <v>0</v>
      </c>
      <c r="O128" s="61" t="s">
        <v>1751</v>
      </c>
      <c r="P128" s="61" t="s">
        <v>1751</v>
      </c>
      <c r="Q128" s="61" t="s">
        <v>1625</v>
      </c>
    </row>
    <row r="129" spans="1:17" ht="15" customHeight="1" x14ac:dyDescent="0.3">
      <c r="A129" s="124">
        <v>117</v>
      </c>
      <c r="B129" s="59" t="s">
        <v>179</v>
      </c>
      <c r="C129" s="59" t="s">
        <v>1</v>
      </c>
      <c r="D129" s="115" t="s">
        <v>180</v>
      </c>
      <c r="E129" s="59" t="s">
        <v>186</v>
      </c>
      <c r="F129" s="115" t="s">
        <v>182</v>
      </c>
      <c r="G129" s="59" t="s">
        <v>183</v>
      </c>
      <c r="H129" s="59" t="s">
        <v>184</v>
      </c>
      <c r="I129" s="115" t="s">
        <v>187</v>
      </c>
      <c r="J129" s="125" t="s">
        <v>26</v>
      </c>
      <c r="K129" s="70">
        <v>769</v>
      </c>
      <c r="L129" s="139">
        <f>VLOOKUP(E129,'[1]MASTER WORKFILE MY26.2'!$H:$AC,22,0)</f>
        <v>407.1</v>
      </c>
      <c r="M129" s="116">
        <f>VLOOKUP(E129,'North Kite &amp; Foils '!E:M,9,0)</f>
        <v>0</v>
      </c>
      <c r="N129" s="71">
        <f t="shared" si="1"/>
        <v>0</v>
      </c>
      <c r="O129" s="61" t="s">
        <v>1751</v>
      </c>
      <c r="P129" s="61" t="s">
        <v>1751</v>
      </c>
      <c r="Q129" s="61" t="s">
        <v>1625</v>
      </c>
    </row>
    <row r="130" spans="1:17" ht="15" customHeight="1" x14ac:dyDescent="0.3">
      <c r="A130" s="124">
        <v>118</v>
      </c>
      <c r="B130" s="59" t="s">
        <v>179</v>
      </c>
      <c r="C130" s="59" t="s">
        <v>1</v>
      </c>
      <c r="D130" s="115" t="s">
        <v>180</v>
      </c>
      <c r="E130" s="59" t="s">
        <v>188</v>
      </c>
      <c r="F130" s="115" t="s">
        <v>182</v>
      </c>
      <c r="G130" s="59" t="s">
        <v>183</v>
      </c>
      <c r="H130" s="59" t="s">
        <v>184</v>
      </c>
      <c r="I130" s="115" t="s">
        <v>189</v>
      </c>
      <c r="J130" s="125" t="s">
        <v>26</v>
      </c>
      <c r="K130" s="70">
        <v>769</v>
      </c>
      <c r="L130" s="139">
        <f>VLOOKUP(E130,'[1]MASTER WORKFILE MY26.2'!$H:$AC,22,0)</f>
        <v>407.1</v>
      </c>
      <c r="M130" s="116">
        <f>VLOOKUP(E130,'North Kite &amp; Foils '!E:M,9,0)</f>
        <v>0</v>
      </c>
      <c r="N130" s="71">
        <f t="shared" si="1"/>
        <v>0</v>
      </c>
      <c r="O130" s="61" t="s">
        <v>1751</v>
      </c>
      <c r="P130" s="61" t="s">
        <v>1751</v>
      </c>
      <c r="Q130" s="61" t="s">
        <v>1625</v>
      </c>
    </row>
    <row r="131" spans="1:17" ht="15" customHeight="1" x14ac:dyDescent="0.3">
      <c r="A131" s="124">
        <v>119</v>
      </c>
      <c r="B131" s="59" t="s">
        <v>179</v>
      </c>
      <c r="C131" s="59" t="s">
        <v>1</v>
      </c>
      <c r="D131" s="115" t="s">
        <v>180</v>
      </c>
      <c r="E131" s="59" t="s">
        <v>190</v>
      </c>
      <c r="F131" s="115" t="s">
        <v>182</v>
      </c>
      <c r="G131" s="59" t="s">
        <v>183</v>
      </c>
      <c r="H131" s="59" t="s">
        <v>184</v>
      </c>
      <c r="I131" s="115" t="s">
        <v>191</v>
      </c>
      <c r="J131" s="125" t="s">
        <v>26</v>
      </c>
      <c r="K131" s="70">
        <v>769</v>
      </c>
      <c r="L131" s="139">
        <f>VLOOKUP(E131,'[1]MASTER WORKFILE MY26.2'!$H:$AC,22,0)</f>
        <v>407.1</v>
      </c>
      <c r="M131" s="116">
        <f>VLOOKUP(E131,'North Kite &amp; Foils '!E:M,9,0)</f>
        <v>0</v>
      </c>
      <c r="N131" s="71">
        <f t="shared" si="1"/>
        <v>0</v>
      </c>
      <c r="O131" s="61" t="s">
        <v>1751</v>
      </c>
      <c r="P131" s="61" t="s">
        <v>1751</v>
      </c>
      <c r="Q131" s="61" t="s">
        <v>1625</v>
      </c>
    </row>
    <row r="132" spans="1:17" ht="15" customHeight="1" x14ac:dyDescent="0.3">
      <c r="A132" s="124">
        <v>120</v>
      </c>
      <c r="B132" s="59" t="s">
        <v>179</v>
      </c>
      <c r="C132" s="59" t="s">
        <v>1</v>
      </c>
      <c r="D132" s="115" t="s">
        <v>200</v>
      </c>
      <c r="E132" s="59" t="s">
        <v>201</v>
      </c>
      <c r="F132" s="115" t="s">
        <v>202</v>
      </c>
      <c r="G132" s="59" t="s">
        <v>203</v>
      </c>
      <c r="H132" s="59" t="s">
        <v>204</v>
      </c>
      <c r="I132" s="115" t="s">
        <v>205</v>
      </c>
      <c r="J132" s="125" t="s">
        <v>26</v>
      </c>
      <c r="K132" s="70">
        <v>779</v>
      </c>
      <c r="L132" s="139">
        <f>VLOOKUP(E132,'[1]MASTER WORKFILE MY26.2'!$H:$AC,22,0)</f>
        <v>412.40000000000003</v>
      </c>
      <c r="M132" s="116">
        <f>VLOOKUP(E132,'North Kite &amp; Foils '!E:M,9,0)</f>
        <v>0</v>
      </c>
      <c r="N132" s="71">
        <f t="shared" si="1"/>
        <v>0</v>
      </c>
      <c r="O132" s="61" t="s">
        <v>1751</v>
      </c>
      <c r="P132" s="61" t="s">
        <v>1751</v>
      </c>
      <c r="Q132" s="61" t="s">
        <v>1625</v>
      </c>
    </row>
    <row r="133" spans="1:17" ht="15" customHeight="1" x14ac:dyDescent="0.3">
      <c r="A133" s="124">
        <v>121</v>
      </c>
      <c r="B133" s="59" t="s">
        <v>179</v>
      </c>
      <c r="C133" s="59" t="s">
        <v>1</v>
      </c>
      <c r="D133" s="115" t="s">
        <v>200</v>
      </c>
      <c r="E133" s="59" t="s">
        <v>206</v>
      </c>
      <c r="F133" s="115" t="s">
        <v>202</v>
      </c>
      <c r="G133" s="59" t="s">
        <v>203</v>
      </c>
      <c r="H133" s="59" t="s">
        <v>204</v>
      </c>
      <c r="I133" s="115" t="s">
        <v>207</v>
      </c>
      <c r="J133" s="125" t="s">
        <v>26</v>
      </c>
      <c r="K133" s="70">
        <v>779</v>
      </c>
      <c r="L133" s="139">
        <f>VLOOKUP(E133,'[1]MASTER WORKFILE MY26.2'!$H:$AC,22,0)</f>
        <v>412.40000000000003</v>
      </c>
      <c r="M133" s="116">
        <f>VLOOKUP(E133,'North Kite &amp; Foils '!E:M,9,0)</f>
        <v>0</v>
      </c>
      <c r="N133" s="71">
        <f t="shared" si="1"/>
        <v>0</v>
      </c>
      <c r="O133" s="61" t="s">
        <v>1751</v>
      </c>
      <c r="P133" s="61" t="s">
        <v>1751</v>
      </c>
      <c r="Q133" s="61" t="s">
        <v>1625</v>
      </c>
    </row>
    <row r="134" spans="1:17" ht="15" customHeight="1" x14ac:dyDescent="0.3">
      <c r="A134" s="124">
        <v>122</v>
      </c>
      <c r="B134" s="59" t="s">
        <v>179</v>
      </c>
      <c r="C134" s="59" t="s">
        <v>1</v>
      </c>
      <c r="D134" s="115" t="s">
        <v>192</v>
      </c>
      <c r="E134" s="59" t="s">
        <v>193</v>
      </c>
      <c r="F134" s="115" t="s">
        <v>194</v>
      </c>
      <c r="G134" s="59" t="s">
        <v>58</v>
      </c>
      <c r="H134" s="59" t="s">
        <v>59</v>
      </c>
      <c r="I134" s="115" t="s">
        <v>195</v>
      </c>
      <c r="J134" s="125" t="s">
        <v>26</v>
      </c>
      <c r="K134" s="70">
        <v>779</v>
      </c>
      <c r="L134" s="139">
        <f>VLOOKUP(E134,'[1]MASTER WORKFILE MY26.2'!$H:$AC,22,0)</f>
        <v>412.40000000000003</v>
      </c>
      <c r="M134" s="116">
        <f>VLOOKUP(E134,'North Kite &amp; Foils '!E:M,9,0)</f>
        <v>0</v>
      </c>
      <c r="N134" s="71">
        <f t="shared" si="1"/>
        <v>0</v>
      </c>
      <c r="O134" s="61" t="s">
        <v>1751</v>
      </c>
      <c r="P134" s="61" t="s">
        <v>1751</v>
      </c>
      <c r="Q134" s="61" t="s">
        <v>1625</v>
      </c>
    </row>
    <row r="135" spans="1:17" ht="15" customHeight="1" x14ac:dyDescent="0.3">
      <c r="A135" s="124">
        <v>123</v>
      </c>
      <c r="B135" s="59" t="s">
        <v>179</v>
      </c>
      <c r="C135" s="59" t="s">
        <v>1</v>
      </c>
      <c r="D135" s="115" t="s">
        <v>192</v>
      </c>
      <c r="E135" s="59" t="s">
        <v>196</v>
      </c>
      <c r="F135" s="115" t="s">
        <v>194</v>
      </c>
      <c r="G135" s="59" t="s">
        <v>58</v>
      </c>
      <c r="H135" s="59" t="s">
        <v>59</v>
      </c>
      <c r="I135" s="115" t="s">
        <v>197</v>
      </c>
      <c r="J135" s="125" t="s">
        <v>26</v>
      </c>
      <c r="K135" s="70">
        <v>779</v>
      </c>
      <c r="L135" s="139">
        <f>VLOOKUP(E135,'[1]MASTER WORKFILE MY26.2'!$H:$AC,22,0)</f>
        <v>412.40000000000003</v>
      </c>
      <c r="M135" s="116">
        <f>VLOOKUP(E135,'North Kite &amp; Foils '!E:M,9,0)</f>
        <v>0</v>
      </c>
      <c r="N135" s="71">
        <f t="shared" si="1"/>
        <v>0</v>
      </c>
      <c r="O135" s="61" t="s">
        <v>1751</v>
      </c>
      <c r="P135" s="61" t="s">
        <v>1751</v>
      </c>
      <c r="Q135" s="61" t="s">
        <v>1625</v>
      </c>
    </row>
    <row r="136" spans="1:17" ht="15" customHeight="1" x14ac:dyDescent="0.3">
      <c r="A136" s="124">
        <v>124</v>
      </c>
      <c r="B136" s="59" t="s">
        <v>179</v>
      </c>
      <c r="C136" s="59" t="s">
        <v>1</v>
      </c>
      <c r="D136" s="115" t="s">
        <v>192</v>
      </c>
      <c r="E136" s="59" t="s">
        <v>198</v>
      </c>
      <c r="F136" s="115" t="s">
        <v>194</v>
      </c>
      <c r="G136" s="59" t="s">
        <v>58</v>
      </c>
      <c r="H136" s="59" t="s">
        <v>59</v>
      </c>
      <c r="I136" s="115" t="s">
        <v>199</v>
      </c>
      <c r="J136" s="125" t="s">
        <v>26</v>
      </c>
      <c r="K136" s="70">
        <v>779</v>
      </c>
      <c r="L136" s="139">
        <f>VLOOKUP(E136,'[1]MASTER WORKFILE MY26.2'!$H:$AC,22,0)</f>
        <v>412.40000000000003</v>
      </c>
      <c r="M136" s="116">
        <f>VLOOKUP(E136,'North Kite &amp; Foils '!E:M,9,0)</f>
        <v>0</v>
      </c>
      <c r="N136" s="71">
        <f t="shared" si="1"/>
        <v>0</v>
      </c>
      <c r="O136" s="61" t="s">
        <v>1751</v>
      </c>
      <c r="P136" s="61" t="s">
        <v>1751</v>
      </c>
      <c r="Q136" s="61" t="s">
        <v>1625</v>
      </c>
    </row>
    <row r="137" spans="1:17" ht="15" customHeight="1" x14ac:dyDescent="0.3">
      <c r="A137" s="124">
        <v>125</v>
      </c>
      <c r="B137" s="59" t="s">
        <v>260</v>
      </c>
      <c r="C137" s="59" t="s">
        <v>1</v>
      </c>
      <c r="D137" s="115" t="s">
        <v>293</v>
      </c>
      <c r="E137" s="59" t="s">
        <v>294</v>
      </c>
      <c r="F137" s="115" t="s">
        <v>295</v>
      </c>
      <c r="G137" s="59" t="s">
        <v>133</v>
      </c>
      <c r="H137" s="59" t="s">
        <v>134</v>
      </c>
      <c r="I137" s="115" t="s">
        <v>270</v>
      </c>
      <c r="J137" s="125" t="s">
        <v>26</v>
      </c>
      <c r="K137" s="70">
        <v>245</v>
      </c>
      <c r="L137" s="139">
        <f>VLOOKUP(E137,'[1]MASTER WORKFILE MY26.2'!$H:$AC,22,0)</f>
        <v>138.4</v>
      </c>
      <c r="M137" s="116">
        <f>VLOOKUP(E137,'North Kite &amp; Foils '!E:M,9,0)</f>
        <v>0</v>
      </c>
      <c r="N137" s="71">
        <f t="shared" si="1"/>
        <v>0</v>
      </c>
      <c r="O137" s="61"/>
      <c r="P137" s="61"/>
      <c r="Q137" s="61" t="s">
        <v>1750</v>
      </c>
    </row>
    <row r="138" spans="1:17" ht="15" customHeight="1" x14ac:dyDescent="0.3">
      <c r="A138" s="124">
        <v>126</v>
      </c>
      <c r="B138" s="59" t="s">
        <v>260</v>
      </c>
      <c r="C138" s="59" t="s">
        <v>1</v>
      </c>
      <c r="D138" s="115" t="s">
        <v>293</v>
      </c>
      <c r="E138" s="59" t="s">
        <v>296</v>
      </c>
      <c r="F138" s="115" t="s">
        <v>295</v>
      </c>
      <c r="G138" s="59" t="s">
        <v>133</v>
      </c>
      <c r="H138" s="59" t="s">
        <v>134</v>
      </c>
      <c r="I138" s="115" t="s">
        <v>272</v>
      </c>
      <c r="J138" s="125" t="s">
        <v>26</v>
      </c>
      <c r="K138" s="70">
        <v>245</v>
      </c>
      <c r="L138" s="139">
        <f>VLOOKUP(E138,'[1]MASTER WORKFILE MY26.2'!$H:$AC,22,0)</f>
        <v>138.4</v>
      </c>
      <c r="M138" s="116">
        <f>VLOOKUP(E138,'North Kite &amp; Foils '!E:M,9,0)</f>
        <v>0</v>
      </c>
      <c r="N138" s="71">
        <f t="shared" si="1"/>
        <v>0</v>
      </c>
      <c r="O138" s="61"/>
      <c r="P138" s="61"/>
      <c r="Q138" s="61" t="s">
        <v>1750</v>
      </c>
    </row>
    <row r="139" spans="1:17" ht="15" customHeight="1" x14ac:dyDescent="0.3">
      <c r="A139" s="124">
        <v>127</v>
      </c>
      <c r="B139" s="59" t="s">
        <v>260</v>
      </c>
      <c r="C139" s="59" t="s">
        <v>1</v>
      </c>
      <c r="D139" s="115" t="s">
        <v>293</v>
      </c>
      <c r="E139" s="59" t="s">
        <v>297</v>
      </c>
      <c r="F139" s="115" t="s">
        <v>295</v>
      </c>
      <c r="G139" s="59" t="s">
        <v>133</v>
      </c>
      <c r="H139" s="59" t="s">
        <v>134</v>
      </c>
      <c r="I139" s="115" t="s">
        <v>274</v>
      </c>
      <c r="J139" s="125" t="s">
        <v>26</v>
      </c>
      <c r="K139" s="70">
        <v>245</v>
      </c>
      <c r="L139" s="139">
        <f>VLOOKUP(E139,'[1]MASTER WORKFILE MY26.2'!$H:$AC,22,0)</f>
        <v>138.4</v>
      </c>
      <c r="M139" s="116">
        <f>VLOOKUP(E139,'North Kite &amp; Foils '!E:M,9,0)</f>
        <v>0</v>
      </c>
      <c r="N139" s="71">
        <f t="shared" si="1"/>
        <v>0</v>
      </c>
      <c r="O139" s="61"/>
      <c r="P139" s="61"/>
      <c r="Q139" s="61" t="s">
        <v>1750</v>
      </c>
    </row>
    <row r="140" spans="1:17" ht="15" customHeight="1" x14ac:dyDescent="0.3">
      <c r="A140" s="124">
        <v>128</v>
      </c>
      <c r="B140" s="59" t="s">
        <v>260</v>
      </c>
      <c r="C140" s="59" t="s">
        <v>1</v>
      </c>
      <c r="D140" s="115" t="s">
        <v>293</v>
      </c>
      <c r="E140" s="59" t="s">
        <v>298</v>
      </c>
      <c r="F140" s="115" t="s">
        <v>295</v>
      </c>
      <c r="G140" s="59" t="s">
        <v>133</v>
      </c>
      <c r="H140" s="59" t="s">
        <v>134</v>
      </c>
      <c r="I140" s="115" t="s">
        <v>276</v>
      </c>
      <c r="J140" s="125" t="s">
        <v>26</v>
      </c>
      <c r="K140" s="70">
        <v>245</v>
      </c>
      <c r="L140" s="139">
        <f>VLOOKUP(E140,'[1]MASTER WORKFILE MY26.2'!$H:$AC,22,0)</f>
        <v>138.4</v>
      </c>
      <c r="M140" s="116">
        <f>VLOOKUP(E140,'North Kite &amp; Foils '!E:M,9,0)</f>
        <v>0</v>
      </c>
      <c r="N140" s="71">
        <f t="shared" si="1"/>
        <v>0</v>
      </c>
      <c r="O140" s="61"/>
      <c r="P140" s="61"/>
      <c r="Q140" s="61" t="s">
        <v>1750</v>
      </c>
    </row>
    <row r="141" spans="1:17" ht="15" customHeight="1" x14ac:dyDescent="0.3">
      <c r="A141" s="124">
        <v>129</v>
      </c>
      <c r="B141" s="59" t="s">
        <v>260</v>
      </c>
      <c r="C141" s="59" t="s">
        <v>1</v>
      </c>
      <c r="D141" s="115" t="s">
        <v>261</v>
      </c>
      <c r="E141" s="59" t="s">
        <v>262</v>
      </c>
      <c r="F141" s="115" t="s">
        <v>263</v>
      </c>
      <c r="G141" s="59" t="s">
        <v>133</v>
      </c>
      <c r="H141" s="59" t="s">
        <v>134</v>
      </c>
      <c r="I141" s="115" t="s">
        <v>264</v>
      </c>
      <c r="J141" s="125" t="s">
        <v>26</v>
      </c>
      <c r="K141" s="70">
        <v>132.5</v>
      </c>
      <c r="L141" s="139">
        <f>VLOOKUP(E141,'[1]MASTER WORKFILE MY26.2'!$H:$AC,22,0)</f>
        <v>74.899999999999991</v>
      </c>
      <c r="M141" s="116">
        <f>VLOOKUP(E141,'North Kite &amp; Foils '!E:M,9,0)</f>
        <v>0</v>
      </c>
      <c r="N141" s="71">
        <f t="shared" ref="N141:N204" si="2">L141*M141</f>
        <v>0</v>
      </c>
      <c r="O141" s="61" t="s">
        <v>1752</v>
      </c>
      <c r="P141" s="61" t="s">
        <v>1752</v>
      </c>
      <c r="Q141" s="61" t="s">
        <v>1625</v>
      </c>
    </row>
    <row r="142" spans="1:17" ht="15" customHeight="1" x14ac:dyDescent="0.3">
      <c r="A142" s="124">
        <v>130</v>
      </c>
      <c r="B142" s="59" t="s">
        <v>260</v>
      </c>
      <c r="C142" s="59" t="s">
        <v>1</v>
      </c>
      <c r="D142" s="115" t="s">
        <v>261</v>
      </c>
      <c r="E142" s="59" t="s">
        <v>265</v>
      </c>
      <c r="F142" s="115" t="s">
        <v>263</v>
      </c>
      <c r="G142" s="59" t="s">
        <v>133</v>
      </c>
      <c r="H142" s="59" t="s">
        <v>134</v>
      </c>
      <c r="I142" s="115" t="s">
        <v>266</v>
      </c>
      <c r="J142" s="125" t="s">
        <v>26</v>
      </c>
      <c r="K142" s="70">
        <v>132.5</v>
      </c>
      <c r="L142" s="139">
        <f>VLOOKUP(E142,'[1]MASTER WORKFILE MY26.2'!$H:$AC,22,0)</f>
        <v>74.899999999999991</v>
      </c>
      <c r="M142" s="116">
        <f>VLOOKUP(E142,'North Kite &amp; Foils '!E:M,9,0)</f>
        <v>0</v>
      </c>
      <c r="N142" s="71">
        <f t="shared" si="2"/>
        <v>0</v>
      </c>
      <c r="O142" s="61" t="s">
        <v>1752</v>
      </c>
      <c r="P142" s="61" t="s">
        <v>1752</v>
      </c>
      <c r="Q142" s="61" t="s">
        <v>1625</v>
      </c>
    </row>
    <row r="143" spans="1:17" ht="15" customHeight="1" x14ac:dyDescent="0.3">
      <c r="A143" s="124">
        <v>131</v>
      </c>
      <c r="B143" s="59" t="s">
        <v>260</v>
      </c>
      <c r="C143" s="59" t="s">
        <v>1</v>
      </c>
      <c r="D143" s="115" t="s">
        <v>267</v>
      </c>
      <c r="E143" s="59" t="s">
        <v>268</v>
      </c>
      <c r="F143" s="115" t="s">
        <v>269</v>
      </c>
      <c r="G143" s="59" t="s">
        <v>133</v>
      </c>
      <c r="H143" s="59" t="s">
        <v>134</v>
      </c>
      <c r="I143" s="115" t="s">
        <v>270</v>
      </c>
      <c r="J143" s="125" t="s">
        <v>26</v>
      </c>
      <c r="K143" s="70">
        <v>409</v>
      </c>
      <c r="L143" s="139">
        <f>VLOOKUP(E143,'[1]MASTER WORKFILE MY26.2'!$H:$AC,22,0)</f>
        <v>231</v>
      </c>
      <c r="M143" s="116">
        <f>VLOOKUP(E143,'North Kite &amp; Foils '!E:M,9,0)</f>
        <v>0</v>
      </c>
      <c r="N143" s="71">
        <f t="shared" si="2"/>
        <v>0</v>
      </c>
      <c r="O143" s="61" t="s">
        <v>1753</v>
      </c>
      <c r="P143" s="61" t="s">
        <v>1753</v>
      </c>
      <c r="Q143" s="61" t="s">
        <v>1625</v>
      </c>
    </row>
    <row r="144" spans="1:17" ht="15" customHeight="1" x14ac:dyDescent="0.3">
      <c r="A144" s="124">
        <v>132</v>
      </c>
      <c r="B144" s="59" t="s">
        <v>260</v>
      </c>
      <c r="C144" s="59" t="s">
        <v>1</v>
      </c>
      <c r="D144" s="115" t="s">
        <v>267</v>
      </c>
      <c r="E144" s="59" t="s">
        <v>271</v>
      </c>
      <c r="F144" s="115" t="s">
        <v>269</v>
      </c>
      <c r="G144" s="59" t="s">
        <v>133</v>
      </c>
      <c r="H144" s="59" t="s">
        <v>134</v>
      </c>
      <c r="I144" s="115" t="s">
        <v>272</v>
      </c>
      <c r="J144" s="125" t="s">
        <v>26</v>
      </c>
      <c r="K144" s="70">
        <v>409</v>
      </c>
      <c r="L144" s="139">
        <f>VLOOKUP(E144,'[1]MASTER WORKFILE MY26.2'!$H:$AC,22,0)</f>
        <v>231</v>
      </c>
      <c r="M144" s="116">
        <f>VLOOKUP(E144,'North Kite &amp; Foils '!E:M,9,0)</f>
        <v>0</v>
      </c>
      <c r="N144" s="71">
        <f t="shared" si="2"/>
        <v>0</v>
      </c>
      <c r="O144" s="61" t="s">
        <v>1753</v>
      </c>
      <c r="P144" s="61" t="s">
        <v>1753</v>
      </c>
      <c r="Q144" s="61" t="s">
        <v>1625</v>
      </c>
    </row>
    <row r="145" spans="1:17" ht="14.4" x14ac:dyDescent="0.3">
      <c r="A145" s="124">
        <v>133</v>
      </c>
      <c r="B145" s="59" t="s">
        <v>260</v>
      </c>
      <c r="C145" s="59" t="s">
        <v>1</v>
      </c>
      <c r="D145" s="115" t="s">
        <v>267</v>
      </c>
      <c r="E145" s="59" t="s">
        <v>273</v>
      </c>
      <c r="F145" s="115" t="s">
        <v>269</v>
      </c>
      <c r="G145" s="59" t="s">
        <v>133</v>
      </c>
      <c r="H145" s="59" t="s">
        <v>134</v>
      </c>
      <c r="I145" s="115" t="s">
        <v>274</v>
      </c>
      <c r="J145" s="125" t="s">
        <v>26</v>
      </c>
      <c r="K145" s="70">
        <v>409</v>
      </c>
      <c r="L145" s="139">
        <f>VLOOKUP(E145,'[1]MASTER WORKFILE MY26.2'!$H:$AC,22,0)</f>
        <v>231</v>
      </c>
      <c r="M145" s="116">
        <f>VLOOKUP(E145,'North Kite &amp; Foils '!E:M,9,0)</f>
        <v>0</v>
      </c>
      <c r="N145" s="71">
        <f t="shared" si="2"/>
        <v>0</v>
      </c>
      <c r="O145" s="61" t="s">
        <v>1753</v>
      </c>
      <c r="P145" s="61" t="s">
        <v>1753</v>
      </c>
      <c r="Q145" s="61" t="s">
        <v>1625</v>
      </c>
    </row>
    <row r="146" spans="1:17" ht="14.4" x14ac:dyDescent="0.3">
      <c r="A146" s="124">
        <v>134</v>
      </c>
      <c r="B146" s="59" t="s">
        <v>260</v>
      </c>
      <c r="C146" s="59" t="s">
        <v>1</v>
      </c>
      <c r="D146" s="115" t="s">
        <v>267</v>
      </c>
      <c r="E146" s="59" t="s">
        <v>275</v>
      </c>
      <c r="F146" s="115" t="s">
        <v>269</v>
      </c>
      <c r="G146" s="59" t="s">
        <v>133</v>
      </c>
      <c r="H146" s="59" t="s">
        <v>134</v>
      </c>
      <c r="I146" s="115" t="s">
        <v>276</v>
      </c>
      <c r="J146" s="125" t="s">
        <v>26</v>
      </c>
      <c r="K146" s="70">
        <v>409</v>
      </c>
      <c r="L146" s="139">
        <f>VLOOKUP(E146,'[1]MASTER WORKFILE MY26.2'!$H:$AC,22,0)</f>
        <v>231</v>
      </c>
      <c r="M146" s="116">
        <f>VLOOKUP(E146,'North Kite &amp; Foils '!E:M,9,0)</f>
        <v>0</v>
      </c>
      <c r="N146" s="71">
        <f t="shared" si="2"/>
        <v>0</v>
      </c>
      <c r="O146" s="61" t="s">
        <v>1753</v>
      </c>
      <c r="P146" s="61" t="s">
        <v>1753</v>
      </c>
      <c r="Q146" s="61" t="s">
        <v>1625</v>
      </c>
    </row>
    <row r="147" spans="1:17" ht="14.4" x14ac:dyDescent="0.3">
      <c r="A147" s="124">
        <v>135</v>
      </c>
      <c r="B147" s="59" t="s">
        <v>260</v>
      </c>
      <c r="C147" s="59" t="s">
        <v>1</v>
      </c>
      <c r="D147" s="115" t="s">
        <v>277</v>
      </c>
      <c r="E147" s="59" t="s">
        <v>278</v>
      </c>
      <c r="F147" s="115" t="s">
        <v>279</v>
      </c>
      <c r="G147" s="59" t="s">
        <v>133</v>
      </c>
      <c r="H147" s="59" t="s">
        <v>134</v>
      </c>
      <c r="I147" s="115" t="s">
        <v>280</v>
      </c>
      <c r="J147" s="125" t="s">
        <v>26</v>
      </c>
      <c r="K147" s="70">
        <v>86</v>
      </c>
      <c r="L147" s="139">
        <f>VLOOKUP(E147,'[1]MASTER WORKFILE MY26.2'!$H:$AC,22,0)</f>
        <v>48.6</v>
      </c>
      <c r="M147" s="116">
        <f>VLOOKUP(E147,'North Kite &amp; Foils '!E:M,9,0)</f>
        <v>0</v>
      </c>
      <c r="N147" s="71">
        <f t="shared" si="2"/>
        <v>0</v>
      </c>
      <c r="O147" s="61" t="s">
        <v>270</v>
      </c>
      <c r="P147" s="61" t="s">
        <v>270</v>
      </c>
      <c r="Q147" s="61" t="s">
        <v>1625</v>
      </c>
    </row>
    <row r="148" spans="1:17" ht="14.4" x14ac:dyDescent="0.3">
      <c r="A148" s="124">
        <v>136</v>
      </c>
      <c r="B148" s="59" t="s">
        <v>260</v>
      </c>
      <c r="C148" s="59" t="s">
        <v>1</v>
      </c>
      <c r="D148" s="115" t="s">
        <v>281</v>
      </c>
      <c r="E148" s="59" t="s">
        <v>282</v>
      </c>
      <c r="F148" s="115" t="s">
        <v>283</v>
      </c>
      <c r="G148" s="59" t="s">
        <v>133</v>
      </c>
      <c r="H148" s="59" t="s">
        <v>134</v>
      </c>
      <c r="I148" s="115" t="s">
        <v>280</v>
      </c>
      <c r="J148" s="125" t="s">
        <v>26</v>
      </c>
      <c r="K148" s="70">
        <v>92</v>
      </c>
      <c r="L148" s="139">
        <f>VLOOKUP(E148,'[1]MASTER WORKFILE MY26.2'!$H:$AC,22,0)</f>
        <v>52</v>
      </c>
      <c r="M148" s="116">
        <f>VLOOKUP(E148,'North Kite &amp; Foils '!E:M,9,0)</f>
        <v>0</v>
      </c>
      <c r="N148" s="71">
        <f t="shared" si="2"/>
        <v>0</v>
      </c>
      <c r="O148" s="61" t="s">
        <v>1754</v>
      </c>
      <c r="P148" s="61" t="s">
        <v>1754</v>
      </c>
      <c r="Q148" s="61" t="s">
        <v>1625</v>
      </c>
    </row>
    <row r="149" spans="1:17" ht="14.4" x14ac:dyDescent="0.3">
      <c r="A149" s="124">
        <v>137</v>
      </c>
      <c r="B149" s="59" t="s">
        <v>260</v>
      </c>
      <c r="C149" s="59" t="s">
        <v>1</v>
      </c>
      <c r="D149" s="115" t="s">
        <v>284</v>
      </c>
      <c r="E149" s="59" t="s">
        <v>285</v>
      </c>
      <c r="F149" s="115" t="s">
        <v>286</v>
      </c>
      <c r="G149" s="59" t="s">
        <v>133</v>
      </c>
      <c r="H149" s="59" t="s">
        <v>134</v>
      </c>
      <c r="I149" s="115" t="s">
        <v>280</v>
      </c>
      <c r="J149" s="125" t="s">
        <v>26</v>
      </c>
      <c r="K149" s="70">
        <v>122.5</v>
      </c>
      <c r="L149" s="139">
        <f>VLOOKUP(E149,'[1]MASTER WORKFILE MY26.2'!$H:$AC,22,0)</f>
        <v>69.199999999999989</v>
      </c>
      <c r="M149" s="116">
        <f>VLOOKUP(E149,'North Kite &amp; Foils '!E:M,9,0)</f>
        <v>0</v>
      </c>
      <c r="N149" s="71">
        <f t="shared" si="2"/>
        <v>0</v>
      </c>
      <c r="O149" s="61" t="s">
        <v>270</v>
      </c>
      <c r="P149" s="61" t="s">
        <v>270</v>
      </c>
      <c r="Q149" s="61" t="s">
        <v>1625</v>
      </c>
    </row>
    <row r="150" spans="1:17" ht="14.4" x14ac:dyDescent="0.3">
      <c r="A150" s="124">
        <v>138</v>
      </c>
      <c r="B150" s="59" t="s">
        <v>260</v>
      </c>
      <c r="C150" s="59" t="s">
        <v>1</v>
      </c>
      <c r="D150" s="115" t="s">
        <v>287</v>
      </c>
      <c r="E150" s="59" t="s">
        <v>288</v>
      </c>
      <c r="F150" s="115" t="s">
        <v>289</v>
      </c>
      <c r="G150" s="59" t="s">
        <v>133</v>
      </c>
      <c r="H150" s="59" t="s">
        <v>134</v>
      </c>
      <c r="I150" s="115" t="s">
        <v>280</v>
      </c>
      <c r="J150" s="125" t="s">
        <v>26</v>
      </c>
      <c r="K150" s="70">
        <v>61.5</v>
      </c>
      <c r="L150" s="139">
        <f>VLOOKUP(E150,'[1]MASTER WORKFILE MY26.2'!$H:$AC,22,0)</f>
        <v>34.800000000000004</v>
      </c>
      <c r="M150" s="116">
        <f>VLOOKUP(E150,'North Kite &amp; Foils '!E:M,9,0)</f>
        <v>0</v>
      </c>
      <c r="N150" s="71">
        <f t="shared" si="2"/>
        <v>0</v>
      </c>
      <c r="O150" s="61" t="s">
        <v>1751</v>
      </c>
      <c r="P150" s="61" t="s">
        <v>1751</v>
      </c>
      <c r="Q150" s="61" t="s">
        <v>1625</v>
      </c>
    </row>
    <row r="151" spans="1:17" ht="14.4" x14ac:dyDescent="0.3">
      <c r="A151" s="124">
        <v>139</v>
      </c>
      <c r="B151" s="59" t="s">
        <v>260</v>
      </c>
      <c r="C151" s="59" t="s">
        <v>1</v>
      </c>
      <c r="D151" s="115" t="s">
        <v>290</v>
      </c>
      <c r="E151" s="59" t="s">
        <v>291</v>
      </c>
      <c r="F151" s="115" t="s">
        <v>292</v>
      </c>
      <c r="G151" s="59" t="s">
        <v>133</v>
      </c>
      <c r="H151" s="59" t="s">
        <v>134</v>
      </c>
      <c r="I151" s="115" t="s">
        <v>280</v>
      </c>
      <c r="J151" s="125" t="s">
        <v>26</v>
      </c>
      <c r="K151" s="70">
        <v>81.5</v>
      </c>
      <c r="L151" s="139">
        <f>VLOOKUP(E151,'[1]MASTER WORKFILE MY26.2'!$H:$AC,22,0)</f>
        <v>46.1</v>
      </c>
      <c r="M151" s="116">
        <f>VLOOKUP(E151,'North Kite &amp; Foils '!E:M,9,0)</f>
        <v>0</v>
      </c>
      <c r="N151" s="71">
        <f t="shared" si="2"/>
        <v>0</v>
      </c>
      <c r="O151" s="61" t="s">
        <v>1751</v>
      </c>
      <c r="P151" s="61" t="s">
        <v>1751</v>
      </c>
      <c r="Q151" s="61" t="s">
        <v>1625</v>
      </c>
    </row>
    <row r="152" spans="1:17" ht="14.4" x14ac:dyDescent="0.3">
      <c r="A152" s="124">
        <v>140</v>
      </c>
      <c r="B152" s="59" t="s">
        <v>299</v>
      </c>
      <c r="C152" s="59" t="s">
        <v>1</v>
      </c>
      <c r="D152" s="115" t="s">
        <v>308</v>
      </c>
      <c r="E152" s="59" t="s">
        <v>309</v>
      </c>
      <c r="F152" s="115" t="s">
        <v>310</v>
      </c>
      <c r="G152" s="59" t="s">
        <v>58</v>
      </c>
      <c r="H152" s="59" t="s">
        <v>59</v>
      </c>
      <c r="I152" s="115" t="s">
        <v>307</v>
      </c>
      <c r="J152" s="125" t="s">
        <v>26</v>
      </c>
      <c r="K152" s="70">
        <v>1329</v>
      </c>
      <c r="L152" s="139">
        <f>VLOOKUP(E152,'[1]MASTER WORKFILE MY26.2'!$H:$AC,22,0)</f>
        <v>843.5</v>
      </c>
      <c r="M152" s="116">
        <f>VLOOKUP(E152,'North Kite &amp; Foils '!E:M,9,0)</f>
        <v>0</v>
      </c>
      <c r="N152" s="71">
        <f t="shared" si="2"/>
        <v>0</v>
      </c>
      <c r="O152" s="61" t="s">
        <v>1751</v>
      </c>
      <c r="P152" s="61" t="s">
        <v>1751</v>
      </c>
      <c r="Q152" s="61" t="s">
        <v>1625</v>
      </c>
    </row>
    <row r="153" spans="1:17" ht="14.4" x14ac:dyDescent="0.3">
      <c r="A153" s="124">
        <v>141</v>
      </c>
      <c r="B153" s="59" t="s">
        <v>299</v>
      </c>
      <c r="C153" s="59" t="s">
        <v>1</v>
      </c>
      <c r="D153" s="115" t="s">
        <v>308</v>
      </c>
      <c r="E153" s="59" t="s">
        <v>311</v>
      </c>
      <c r="F153" s="115" t="s">
        <v>310</v>
      </c>
      <c r="G153" s="59" t="s">
        <v>58</v>
      </c>
      <c r="H153" s="59" t="s">
        <v>59</v>
      </c>
      <c r="I153" s="115" t="s">
        <v>312</v>
      </c>
      <c r="J153" s="125" t="s">
        <v>26</v>
      </c>
      <c r="K153" s="70">
        <v>1329</v>
      </c>
      <c r="L153" s="139">
        <f>VLOOKUP(E153,'[1]MASTER WORKFILE MY26.2'!$H:$AC,22,0)</f>
        <v>843.5</v>
      </c>
      <c r="M153" s="116">
        <f>VLOOKUP(E153,'North Kite &amp; Foils '!E:M,9,0)</f>
        <v>0</v>
      </c>
      <c r="N153" s="71">
        <f t="shared" si="2"/>
        <v>0</v>
      </c>
      <c r="O153" s="61" t="s">
        <v>1751</v>
      </c>
      <c r="P153" s="61" t="s">
        <v>1751</v>
      </c>
      <c r="Q153" s="61" t="s">
        <v>1625</v>
      </c>
    </row>
    <row r="154" spans="1:17" ht="14.4" x14ac:dyDescent="0.3">
      <c r="A154" s="124">
        <v>142</v>
      </c>
      <c r="B154" s="59" t="s">
        <v>299</v>
      </c>
      <c r="C154" s="59" t="s">
        <v>1</v>
      </c>
      <c r="D154" s="115" t="s">
        <v>308</v>
      </c>
      <c r="E154" s="59" t="s">
        <v>313</v>
      </c>
      <c r="F154" s="115" t="s">
        <v>310</v>
      </c>
      <c r="G154" s="59" t="s">
        <v>58</v>
      </c>
      <c r="H154" s="59" t="s">
        <v>59</v>
      </c>
      <c r="I154" s="115" t="s">
        <v>314</v>
      </c>
      <c r="J154" s="125" t="s">
        <v>26</v>
      </c>
      <c r="K154" s="70">
        <v>1329</v>
      </c>
      <c r="L154" s="139">
        <f>VLOOKUP(E154,'[1]MASTER WORKFILE MY26.2'!$H:$AC,22,0)</f>
        <v>843.5</v>
      </c>
      <c r="M154" s="116">
        <f>VLOOKUP(E154,'North Kite &amp; Foils '!E:M,9,0)</f>
        <v>0</v>
      </c>
      <c r="N154" s="71">
        <f t="shared" si="2"/>
        <v>0</v>
      </c>
      <c r="O154" s="61" t="s">
        <v>1751</v>
      </c>
      <c r="P154" s="61" t="s">
        <v>1751</v>
      </c>
      <c r="Q154" s="61" t="s">
        <v>1625</v>
      </c>
    </row>
    <row r="155" spans="1:17" ht="14.4" x14ac:dyDescent="0.3">
      <c r="A155" s="124">
        <v>143</v>
      </c>
      <c r="B155" s="59" t="s">
        <v>299</v>
      </c>
      <c r="C155" s="59" t="s">
        <v>1</v>
      </c>
      <c r="D155" s="115" t="s">
        <v>308</v>
      </c>
      <c r="E155" s="59" t="s">
        <v>315</v>
      </c>
      <c r="F155" s="115" t="s">
        <v>310</v>
      </c>
      <c r="G155" s="59" t="s">
        <v>58</v>
      </c>
      <c r="H155" s="59" t="s">
        <v>59</v>
      </c>
      <c r="I155" s="115" t="s">
        <v>316</v>
      </c>
      <c r="J155" s="125" t="s">
        <v>26</v>
      </c>
      <c r="K155" s="70">
        <v>1329</v>
      </c>
      <c r="L155" s="139">
        <f>VLOOKUP(E155,'[1]MASTER WORKFILE MY26.2'!$H:$AC,22,0)</f>
        <v>843.5</v>
      </c>
      <c r="M155" s="116">
        <f>VLOOKUP(E155,'North Kite &amp; Foils '!E:M,9,0)</f>
        <v>0</v>
      </c>
      <c r="N155" s="71">
        <f t="shared" si="2"/>
        <v>0</v>
      </c>
      <c r="O155" s="61" t="s">
        <v>1751</v>
      </c>
      <c r="P155" s="61" t="s">
        <v>1751</v>
      </c>
      <c r="Q155" s="61" t="s">
        <v>1625</v>
      </c>
    </row>
    <row r="156" spans="1:17" ht="14.4" x14ac:dyDescent="0.3">
      <c r="A156" s="124">
        <v>144</v>
      </c>
      <c r="B156" s="59" t="s">
        <v>299</v>
      </c>
      <c r="C156" s="59" t="s">
        <v>1</v>
      </c>
      <c r="D156" s="115" t="s">
        <v>317</v>
      </c>
      <c r="E156" s="59" t="s">
        <v>318</v>
      </c>
      <c r="F156" s="115" t="s">
        <v>319</v>
      </c>
      <c r="G156" s="59" t="s">
        <v>320</v>
      </c>
      <c r="H156" s="59" t="s">
        <v>321</v>
      </c>
      <c r="I156" s="115" t="s">
        <v>303</v>
      </c>
      <c r="J156" s="125" t="s">
        <v>26</v>
      </c>
      <c r="K156" s="70">
        <v>1429</v>
      </c>
      <c r="L156" s="139">
        <f>VLOOKUP(E156,'[1]MASTER WORKFILE MY26.2'!$H:$AC,22,0)</f>
        <v>906.9</v>
      </c>
      <c r="M156" s="116">
        <f>VLOOKUP(E156,'North Kite &amp; Foils '!E:M,9,0)</f>
        <v>0</v>
      </c>
      <c r="N156" s="71">
        <f t="shared" si="2"/>
        <v>0</v>
      </c>
      <c r="O156" s="61" t="s">
        <v>1751</v>
      </c>
      <c r="P156" s="61" t="s">
        <v>1751</v>
      </c>
      <c r="Q156" s="61" t="s">
        <v>1625</v>
      </c>
    </row>
    <row r="157" spans="1:17" ht="14.4" x14ac:dyDescent="0.3">
      <c r="A157" s="124">
        <v>145</v>
      </c>
      <c r="B157" s="59" t="s">
        <v>299</v>
      </c>
      <c r="C157" s="59" t="s">
        <v>1</v>
      </c>
      <c r="D157" s="115" t="s">
        <v>317</v>
      </c>
      <c r="E157" s="59" t="s">
        <v>322</v>
      </c>
      <c r="F157" s="115" t="s">
        <v>319</v>
      </c>
      <c r="G157" s="59" t="s">
        <v>320</v>
      </c>
      <c r="H157" s="59" t="s">
        <v>321</v>
      </c>
      <c r="I157" s="115" t="s">
        <v>305</v>
      </c>
      <c r="J157" s="125" t="s">
        <v>26</v>
      </c>
      <c r="K157" s="70">
        <v>1429</v>
      </c>
      <c r="L157" s="139">
        <f>VLOOKUP(E157,'[1]MASTER WORKFILE MY26.2'!$H:$AC,22,0)</f>
        <v>906.9</v>
      </c>
      <c r="M157" s="116">
        <f>VLOOKUP(E157,'North Kite &amp; Foils '!E:M,9,0)</f>
        <v>0</v>
      </c>
      <c r="N157" s="71">
        <f t="shared" si="2"/>
        <v>0</v>
      </c>
      <c r="O157" s="61" t="s">
        <v>1751</v>
      </c>
      <c r="P157" s="61" t="s">
        <v>1751</v>
      </c>
      <c r="Q157" s="61" t="s">
        <v>1625</v>
      </c>
    </row>
    <row r="158" spans="1:17" ht="14.4" x14ac:dyDescent="0.3">
      <c r="A158" s="124">
        <v>146</v>
      </c>
      <c r="B158" s="59" t="s">
        <v>299</v>
      </c>
      <c r="C158" s="59" t="s">
        <v>1</v>
      </c>
      <c r="D158" s="115" t="s">
        <v>317</v>
      </c>
      <c r="E158" s="59" t="s">
        <v>323</v>
      </c>
      <c r="F158" s="115" t="s">
        <v>319</v>
      </c>
      <c r="G158" s="59" t="s">
        <v>320</v>
      </c>
      <c r="H158" s="59" t="s">
        <v>321</v>
      </c>
      <c r="I158" s="115" t="s">
        <v>307</v>
      </c>
      <c r="J158" s="125" t="s">
        <v>26</v>
      </c>
      <c r="K158" s="70">
        <v>1429</v>
      </c>
      <c r="L158" s="139">
        <f>VLOOKUP(E158,'[1]MASTER WORKFILE MY26.2'!$H:$AC,22,0)</f>
        <v>906.9</v>
      </c>
      <c r="M158" s="116">
        <f>VLOOKUP(E158,'North Kite &amp; Foils '!E:M,9,0)</f>
        <v>0</v>
      </c>
      <c r="N158" s="71">
        <f t="shared" si="2"/>
        <v>0</v>
      </c>
      <c r="O158" s="61" t="s">
        <v>1751</v>
      </c>
      <c r="P158" s="61" t="s">
        <v>1751</v>
      </c>
      <c r="Q158" s="61" t="s">
        <v>1625</v>
      </c>
    </row>
    <row r="159" spans="1:17" ht="14.4" x14ac:dyDescent="0.3">
      <c r="A159" s="124">
        <v>147</v>
      </c>
      <c r="B159" s="59" t="s">
        <v>299</v>
      </c>
      <c r="C159" s="59" t="s">
        <v>1</v>
      </c>
      <c r="D159" s="115" t="s">
        <v>300</v>
      </c>
      <c r="E159" s="59" t="s">
        <v>301</v>
      </c>
      <c r="F159" s="115" t="s">
        <v>302</v>
      </c>
      <c r="G159" s="59" t="s">
        <v>58</v>
      </c>
      <c r="H159" s="59" t="s">
        <v>59</v>
      </c>
      <c r="I159" s="115" t="s">
        <v>303</v>
      </c>
      <c r="J159" s="125" t="s">
        <v>26</v>
      </c>
      <c r="K159" s="70">
        <v>1229</v>
      </c>
      <c r="L159" s="139">
        <f>VLOOKUP(E159,'[1]MASTER WORKFILE MY26.2'!$H:$AC,22,0)</f>
        <v>780</v>
      </c>
      <c r="M159" s="116">
        <f>VLOOKUP(E159,'North Kite &amp; Foils '!E:M,9,0)</f>
        <v>0</v>
      </c>
      <c r="N159" s="71">
        <f t="shared" si="2"/>
        <v>0</v>
      </c>
      <c r="O159" s="61" t="s">
        <v>1751</v>
      </c>
      <c r="P159" s="61" t="s">
        <v>1751</v>
      </c>
      <c r="Q159" s="61" t="s">
        <v>1625</v>
      </c>
    </row>
    <row r="160" spans="1:17" ht="14.4" x14ac:dyDescent="0.3">
      <c r="A160" s="124">
        <v>148</v>
      </c>
      <c r="B160" s="59" t="s">
        <v>299</v>
      </c>
      <c r="C160" s="59" t="s">
        <v>1</v>
      </c>
      <c r="D160" s="115" t="s">
        <v>300</v>
      </c>
      <c r="E160" s="59" t="s">
        <v>304</v>
      </c>
      <c r="F160" s="115" t="s">
        <v>302</v>
      </c>
      <c r="G160" s="59" t="s">
        <v>58</v>
      </c>
      <c r="H160" s="59" t="s">
        <v>59</v>
      </c>
      <c r="I160" s="115" t="s">
        <v>305</v>
      </c>
      <c r="J160" s="125" t="s">
        <v>26</v>
      </c>
      <c r="K160" s="70">
        <v>1229</v>
      </c>
      <c r="L160" s="139">
        <f>VLOOKUP(E160,'[1]MASTER WORKFILE MY26.2'!$H:$AC,22,0)</f>
        <v>780</v>
      </c>
      <c r="M160" s="116">
        <f>VLOOKUP(E160,'North Kite &amp; Foils '!E:M,9,0)</f>
        <v>0</v>
      </c>
      <c r="N160" s="71">
        <f t="shared" si="2"/>
        <v>0</v>
      </c>
      <c r="O160" s="61" t="s">
        <v>1751</v>
      </c>
      <c r="P160" s="61" t="s">
        <v>1751</v>
      </c>
      <c r="Q160" s="61" t="s">
        <v>1625</v>
      </c>
    </row>
    <row r="161" spans="1:17" ht="14.4" x14ac:dyDescent="0.3">
      <c r="A161" s="124">
        <v>149</v>
      </c>
      <c r="B161" s="59" t="s">
        <v>299</v>
      </c>
      <c r="C161" s="59" t="s">
        <v>1</v>
      </c>
      <c r="D161" s="115" t="s">
        <v>300</v>
      </c>
      <c r="E161" s="59" t="s">
        <v>306</v>
      </c>
      <c r="F161" s="115" t="s">
        <v>302</v>
      </c>
      <c r="G161" s="59" t="s">
        <v>58</v>
      </c>
      <c r="H161" s="59" t="s">
        <v>59</v>
      </c>
      <c r="I161" s="115" t="s">
        <v>307</v>
      </c>
      <c r="J161" s="125" t="s">
        <v>26</v>
      </c>
      <c r="K161" s="70">
        <v>1229</v>
      </c>
      <c r="L161" s="139">
        <f>VLOOKUP(E161,'[1]MASTER WORKFILE MY26.2'!$H:$AC,22,0)</f>
        <v>780</v>
      </c>
      <c r="M161" s="116">
        <f>VLOOKUP(E161,'North Kite &amp; Foils '!E:M,9,0)</f>
        <v>0</v>
      </c>
      <c r="N161" s="71">
        <f t="shared" si="2"/>
        <v>0</v>
      </c>
      <c r="O161" s="61" t="s">
        <v>1751</v>
      </c>
      <c r="P161" s="61" t="s">
        <v>1751</v>
      </c>
      <c r="Q161" s="61" t="s">
        <v>1625</v>
      </c>
    </row>
    <row r="162" spans="1:17" ht="14.4" x14ac:dyDescent="0.3">
      <c r="A162" s="124">
        <v>150</v>
      </c>
      <c r="B162" s="59" t="s">
        <v>324</v>
      </c>
      <c r="C162" s="59" t="s">
        <v>1</v>
      </c>
      <c r="D162" s="115" t="s">
        <v>325</v>
      </c>
      <c r="E162" s="59" t="s">
        <v>326</v>
      </c>
      <c r="F162" s="115" t="s">
        <v>327</v>
      </c>
      <c r="G162" s="59" t="s">
        <v>320</v>
      </c>
      <c r="H162" s="59" t="s">
        <v>321</v>
      </c>
      <c r="I162" s="115" t="s">
        <v>328</v>
      </c>
      <c r="J162" s="125" t="s">
        <v>26</v>
      </c>
      <c r="K162" s="70">
        <v>819</v>
      </c>
      <c r="L162" s="139">
        <f>VLOOKUP(E162,'[1]MASTER WORKFILE MY26.2'!$H:$AC,22,0)</f>
        <v>519.80000000000007</v>
      </c>
      <c r="M162" s="116">
        <f>VLOOKUP(E162,'North Kite &amp; Foils '!E:M,9,0)</f>
        <v>0</v>
      </c>
      <c r="N162" s="71">
        <f t="shared" si="2"/>
        <v>0</v>
      </c>
      <c r="O162" s="61" t="s">
        <v>1751</v>
      </c>
      <c r="P162" s="61" t="s">
        <v>1751</v>
      </c>
      <c r="Q162" s="61" t="s">
        <v>1625</v>
      </c>
    </row>
    <row r="163" spans="1:17" ht="14.4" x14ac:dyDescent="0.3">
      <c r="A163" s="124">
        <v>151</v>
      </c>
      <c r="B163" s="59" t="s">
        <v>324</v>
      </c>
      <c r="C163" s="59" t="s">
        <v>1</v>
      </c>
      <c r="D163" s="115" t="s">
        <v>372</v>
      </c>
      <c r="E163" s="59" t="s">
        <v>373</v>
      </c>
      <c r="F163" s="115" t="s">
        <v>1762</v>
      </c>
      <c r="G163" s="59" t="s">
        <v>367</v>
      </c>
      <c r="H163" s="59" t="s">
        <v>368</v>
      </c>
      <c r="I163" s="115" t="s">
        <v>374</v>
      </c>
      <c r="J163" s="125" t="s">
        <v>101</v>
      </c>
      <c r="K163" s="70">
        <v>1699</v>
      </c>
      <c r="L163" s="139">
        <f>VLOOKUP(E163,'[1]MASTER WORKFILE MY26.2'!$H:$AC,22,0)</f>
        <v>1078.3</v>
      </c>
      <c r="M163" s="116">
        <f>VLOOKUP(E163,'North Kite &amp; Foils '!E:M,9,0)</f>
        <v>0</v>
      </c>
      <c r="N163" s="71">
        <f t="shared" si="2"/>
        <v>0</v>
      </c>
      <c r="O163" s="61" t="s">
        <v>1751</v>
      </c>
      <c r="P163" s="61" t="s">
        <v>1751</v>
      </c>
      <c r="Q163" s="61" t="s">
        <v>1625</v>
      </c>
    </row>
    <row r="164" spans="1:17" ht="14.4" x14ac:dyDescent="0.3">
      <c r="A164" s="124">
        <v>152</v>
      </c>
      <c r="B164" s="59" t="s">
        <v>324</v>
      </c>
      <c r="C164" s="59" t="s">
        <v>1</v>
      </c>
      <c r="D164" s="115" t="s">
        <v>372</v>
      </c>
      <c r="E164" s="59" t="s">
        <v>375</v>
      </c>
      <c r="F164" s="115" t="s">
        <v>1762</v>
      </c>
      <c r="G164" s="59" t="s">
        <v>367</v>
      </c>
      <c r="H164" s="59" t="s">
        <v>368</v>
      </c>
      <c r="I164" s="115" t="s">
        <v>361</v>
      </c>
      <c r="J164" s="125" t="s">
        <v>101</v>
      </c>
      <c r="K164" s="70">
        <v>1749</v>
      </c>
      <c r="L164" s="139">
        <f>VLOOKUP(E164,'[1]MASTER WORKFILE MY26.2'!$H:$AC,22,0)</f>
        <v>1110</v>
      </c>
      <c r="M164" s="116">
        <f>VLOOKUP(E164,'North Kite &amp; Foils '!E:M,9,0)</f>
        <v>0</v>
      </c>
      <c r="N164" s="71">
        <f t="shared" si="2"/>
        <v>0</v>
      </c>
      <c r="O164" s="61" t="s">
        <v>1751</v>
      </c>
      <c r="P164" s="61" t="s">
        <v>1751</v>
      </c>
      <c r="Q164" s="61" t="s">
        <v>1625</v>
      </c>
    </row>
    <row r="165" spans="1:17" ht="14.4" x14ac:dyDescent="0.3">
      <c r="A165" s="124">
        <v>153</v>
      </c>
      <c r="B165" s="59" t="s">
        <v>324</v>
      </c>
      <c r="C165" s="59" t="s">
        <v>1</v>
      </c>
      <c r="D165" s="115" t="s">
        <v>372</v>
      </c>
      <c r="E165" s="59" t="s">
        <v>376</v>
      </c>
      <c r="F165" s="115" t="s">
        <v>1762</v>
      </c>
      <c r="G165" s="59" t="s">
        <v>367</v>
      </c>
      <c r="H165" s="59" t="s">
        <v>368</v>
      </c>
      <c r="I165" s="115" t="s">
        <v>377</v>
      </c>
      <c r="J165" s="125" t="s">
        <v>101</v>
      </c>
      <c r="K165" s="70">
        <v>1799</v>
      </c>
      <c r="L165" s="139">
        <f>VLOOKUP(E165,'[1]MASTER WORKFILE MY26.2'!$H:$AC,22,0)</f>
        <v>1141.6999999999998</v>
      </c>
      <c r="M165" s="116">
        <f>VLOOKUP(E165,'North Kite &amp; Foils '!E:M,9,0)</f>
        <v>0</v>
      </c>
      <c r="N165" s="71">
        <f t="shared" si="2"/>
        <v>0</v>
      </c>
      <c r="O165" s="61" t="s">
        <v>1751</v>
      </c>
      <c r="P165" s="61" t="s">
        <v>1751</v>
      </c>
      <c r="Q165" s="61" t="s">
        <v>1625</v>
      </c>
    </row>
    <row r="166" spans="1:17" ht="14.4" x14ac:dyDescent="0.3">
      <c r="A166" s="124">
        <v>154</v>
      </c>
      <c r="B166" s="59" t="s">
        <v>324</v>
      </c>
      <c r="C166" s="59" t="s">
        <v>1</v>
      </c>
      <c r="D166" s="115" t="s">
        <v>372</v>
      </c>
      <c r="E166" s="59" t="s">
        <v>378</v>
      </c>
      <c r="F166" s="115" t="s">
        <v>1762</v>
      </c>
      <c r="G166" s="59" t="s">
        <v>367</v>
      </c>
      <c r="H166" s="59" t="s">
        <v>368</v>
      </c>
      <c r="I166" s="115" t="s">
        <v>363</v>
      </c>
      <c r="J166" s="125" t="s">
        <v>101</v>
      </c>
      <c r="K166" s="70">
        <v>1849</v>
      </c>
      <c r="L166" s="139">
        <f>VLOOKUP(E166,'[1]MASTER WORKFILE MY26.2'!$H:$AC,22,0)</f>
        <v>1173.5</v>
      </c>
      <c r="M166" s="116">
        <f>VLOOKUP(E166,'North Kite &amp; Foils '!E:M,9,0)</f>
        <v>0</v>
      </c>
      <c r="N166" s="71">
        <f t="shared" si="2"/>
        <v>0</v>
      </c>
      <c r="O166" s="61" t="s">
        <v>1751</v>
      </c>
      <c r="P166" s="61" t="s">
        <v>1751</v>
      </c>
      <c r="Q166" s="61" t="s">
        <v>1625</v>
      </c>
    </row>
    <row r="167" spans="1:17" ht="14.4" x14ac:dyDescent="0.3">
      <c r="A167" s="124">
        <v>155</v>
      </c>
      <c r="B167" s="59" t="s">
        <v>324</v>
      </c>
      <c r="C167" s="59" t="s">
        <v>1</v>
      </c>
      <c r="D167" s="115" t="s">
        <v>379</v>
      </c>
      <c r="E167" s="59" t="s">
        <v>380</v>
      </c>
      <c r="F167" s="115" t="s">
        <v>1761</v>
      </c>
      <c r="G167" s="59" t="s">
        <v>367</v>
      </c>
      <c r="H167" s="59" t="s">
        <v>368</v>
      </c>
      <c r="I167" s="115" t="s">
        <v>381</v>
      </c>
      <c r="J167" s="125" t="s">
        <v>101</v>
      </c>
      <c r="K167" s="70">
        <v>1749</v>
      </c>
      <c r="L167" s="139">
        <f>VLOOKUP(E167,'[1]MASTER WORKFILE MY26.2'!$H:$AC,22,0)</f>
        <v>1110</v>
      </c>
      <c r="M167" s="116">
        <f>VLOOKUP(E167,'North Kite &amp; Foils '!E:M,9,0)</f>
        <v>0</v>
      </c>
      <c r="N167" s="71">
        <f t="shared" si="2"/>
        <v>0</v>
      </c>
      <c r="O167" s="61" t="s">
        <v>1751</v>
      </c>
      <c r="P167" s="61" t="s">
        <v>1751</v>
      </c>
      <c r="Q167" s="61" t="s">
        <v>1625</v>
      </c>
    </row>
    <row r="168" spans="1:17" ht="14.4" x14ac:dyDescent="0.3">
      <c r="A168" s="124">
        <v>156</v>
      </c>
      <c r="B168" s="59" t="s">
        <v>324</v>
      </c>
      <c r="C168" s="59" t="s">
        <v>1</v>
      </c>
      <c r="D168" s="115" t="s">
        <v>379</v>
      </c>
      <c r="E168" s="59" t="s">
        <v>382</v>
      </c>
      <c r="F168" s="115" t="s">
        <v>1761</v>
      </c>
      <c r="G168" s="59" t="s">
        <v>367</v>
      </c>
      <c r="H168" s="59" t="s">
        <v>368</v>
      </c>
      <c r="I168" s="115" t="s">
        <v>383</v>
      </c>
      <c r="J168" s="125" t="s">
        <v>101</v>
      </c>
      <c r="K168" s="70">
        <v>1799</v>
      </c>
      <c r="L168" s="139">
        <f>VLOOKUP(E168,'[1]MASTER WORKFILE MY26.2'!$H:$AC,22,0)</f>
        <v>1141.6999999999998</v>
      </c>
      <c r="M168" s="116">
        <f>VLOOKUP(E168,'North Kite &amp; Foils '!E:M,9,0)</f>
        <v>0</v>
      </c>
      <c r="N168" s="71">
        <f t="shared" si="2"/>
        <v>0</v>
      </c>
      <c r="O168" s="61" t="s">
        <v>1751</v>
      </c>
      <c r="P168" s="61" t="s">
        <v>1751</v>
      </c>
      <c r="Q168" s="61" t="s">
        <v>1625</v>
      </c>
    </row>
    <row r="169" spans="1:17" ht="14.4" x14ac:dyDescent="0.3">
      <c r="A169" s="124">
        <v>157</v>
      </c>
      <c r="B169" s="59" t="s">
        <v>324</v>
      </c>
      <c r="C169" s="59" t="s">
        <v>1</v>
      </c>
      <c r="D169" s="115" t="s">
        <v>379</v>
      </c>
      <c r="E169" s="59" t="s">
        <v>384</v>
      </c>
      <c r="F169" s="115" t="s">
        <v>1761</v>
      </c>
      <c r="G169" s="59" t="s">
        <v>367</v>
      </c>
      <c r="H169" s="59" t="s">
        <v>368</v>
      </c>
      <c r="I169" s="115" t="s">
        <v>303</v>
      </c>
      <c r="J169" s="125" t="s">
        <v>101</v>
      </c>
      <c r="K169" s="70">
        <v>1849</v>
      </c>
      <c r="L169" s="139">
        <f>VLOOKUP(E169,'[1]MASTER WORKFILE MY26.2'!$H:$AC,22,0)</f>
        <v>1173.5</v>
      </c>
      <c r="M169" s="116">
        <f>VLOOKUP(E169,'North Kite &amp; Foils '!E:M,9,0)</f>
        <v>0</v>
      </c>
      <c r="N169" s="71">
        <f t="shared" si="2"/>
        <v>0</v>
      </c>
      <c r="O169" s="61" t="s">
        <v>1751</v>
      </c>
      <c r="P169" s="61" t="s">
        <v>1751</v>
      </c>
      <c r="Q169" s="61" t="s">
        <v>1625</v>
      </c>
    </row>
    <row r="170" spans="1:17" ht="14.4" x14ac:dyDescent="0.3">
      <c r="A170" s="124">
        <v>158</v>
      </c>
      <c r="B170" s="59" t="s">
        <v>324</v>
      </c>
      <c r="C170" s="59" t="s">
        <v>1</v>
      </c>
      <c r="D170" s="115" t="s">
        <v>379</v>
      </c>
      <c r="E170" s="59" t="s">
        <v>385</v>
      </c>
      <c r="F170" s="115" t="s">
        <v>1761</v>
      </c>
      <c r="G170" s="59" t="s">
        <v>367</v>
      </c>
      <c r="H170" s="59" t="s">
        <v>368</v>
      </c>
      <c r="I170" s="115" t="s">
        <v>305</v>
      </c>
      <c r="J170" s="125" t="s">
        <v>101</v>
      </c>
      <c r="K170" s="70">
        <v>1899</v>
      </c>
      <c r="L170" s="139">
        <f>VLOOKUP(E170,'[1]MASTER WORKFILE MY26.2'!$H:$AC,22,0)</f>
        <v>1205.1999999999998</v>
      </c>
      <c r="M170" s="116">
        <f>VLOOKUP(E170,'North Kite &amp; Foils '!E:M,9,0)</f>
        <v>0</v>
      </c>
      <c r="N170" s="71">
        <f t="shared" si="2"/>
        <v>0</v>
      </c>
      <c r="O170" s="61" t="s">
        <v>1751</v>
      </c>
      <c r="P170" s="61" t="s">
        <v>1751</v>
      </c>
      <c r="Q170" s="61" t="s">
        <v>1625</v>
      </c>
    </row>
    <row r="171" spans="1:17" ht="14.4" x14ac:dyDescent="0.3">
      <c r="A171" s="124">
        <v>159</v>
      </c>
      <c r="B171" s="59" t="s">
        <v>324</v>
      </c>
      <c r="C171" s="59" t="s">
        <v>1</v>
      </c>
      <c r="D171" s="115" t="s">
        <v>379</v>
      </c>
      <c r="E171" s="59" t="s">
        <v>386</v>
      </c>
      <c r="F171" s="115" t="s">
        <v>1761</v>
      </c>
      <c r="G171" s="59" t="s">
        <v>367</v>
      </c>
      <c r="H171" s="59" t="s">
        <v>368</v>
      </c>
      <c r="I171" s="115" t="s">
        <v>307</v>
      </c>
      <c r="J171" s="125" t="s">
        <v>101</v>
      </c>
      <c r="K171" s="70">
        <v>1949</v>
      </c>
      <c r="L171" s="139">
        <f>VLOOKUP(E171,'[1]MASTER WORKFILE MY26.2'!$H:$AC,22,0)</f>
        <v>1236.8999999999999</v>
      </c>
      <c r="M171" s="116">
        <f>VLOOKUP(E171,'North Kite &amp; Foils '!E:M,9,0)</f>
        <v>0</v>
      </c>
      <c r="N171" s="71">
        <f t="shared" si="2"/>
        <v>0</v>
      </c>
      <c r="O171" s="61" t="s">
        <v>1751</v>
      </c>
      <c r="P171" s="61" t="s">
        <v>1751</v>
      </c>
      <c r="Q171" s="61" t="s">
        <v>1625</v>
      </c>
    </row>
    <row r="172" spans="1:17" ht="14.4" x14ac:dyDescent="0.3">
      <c r="A172" s="124">
        <v>160</v>
      </c>
      <c r="B172" s="59" t="s">
        <v>324</v>
      </c>
      <c r="C172" s="59" t="s">
        <v>1</v>
      </c>
      <c r="D172" s="115" t="s">
        <v>387</v>
      </c>
      <c r="E172" s="59" t="s">
        <v>388</v>
      </c>
      <c r="F172" s="115" t="s">
        <v>389</v>
      </c>
      <c r="G172" s="59" t="s">
        <v>367</v>
      </c>
      <c r="H172" s="59" t="s">
        <v>368</v>
      </c>
      <c r="I172" s="115" t="s">
        <v>307</v>
      </c>
      <c r="J172" s="125" t="s">
        <v>101</v>
      </c>
      <c r="K172" s="70">
        <v>1599</v>
      </c>
      <c r="L172" s="139">
        <f>VLOOKUP(E172,'[1]MASTER WORKFILE MY26.2'!$H:$AC,22,0)</f>
        <v>1014.8000000000001</v>
      </c>
      <c r="M172" s="116">
        <f>VLOOKUP(E172,'North Kite &amp; Foils '!E:M,9,0)</f>
        <v>0</v>
      </c>
      <c r="N172" s="71">
        <f t="shared" si="2"/>
        <v>0</v>
      </c>
      <c r="O172" s="61" t="s">
        <v>1751</v>
      </c>
      <c r="P172" s="61" t="s">
        <v>1751</v>
      </c>
      <c r="Q172" s="61" t="s">
        <v>1625</v>
      </c>
    </row>
    <row r="173" spans="1:17" ht="14.4" x14ac:dyDescent="0.3">
      <c r="A173" s="124">
        <v>161</v>
      </c>
      <c r="B173" s="59" t="s">
        <v>324</v>
      </c>
      <c r="C173" s="59" t="s">
        <v>1</v>
      </c>
      <c r="D173" s="115" t="s">
        <v>387</v>
      </c>
      <c r="E173" s="59" t="s">
        <v>390</v>
      </c>
      <c r="F173" s="115" t="s">
        <v>389</v>
      </c>
      <c r="G173" s="59" t="s">
        <v>367</v>
      </c>
      <c r="H173" s="59" t="s">
        <v>368</v>
      </c>
      <c r="I173" s="115" t="s">
        <v>312</v>
      </c>
      <c r="J173" s="125" t="s">
        <v>101</v>
      </c>
      <c r="K173" s="70">
        <v>1629</v>
      </c>
      <c r="L173" s="139">
        <f>VLOOKUP(E173,'[1]MASTER WORKFILE MY26.2'!$H:$AC,22,0)</f>
        <v>1033.8</v>
      </c>
      <c r="M173" s="116">
        <f>VLOOKUP(E173,'North Kite &amp; Foils '!E:M,9,0)</f>
        <v>0</v>
      </c>
      <c r="N173" s="71">
        <f t="shared" si="2"/>
        <v>0</v>
      </c>
      <c r="O173" s="61" t="s">
        <v>1751</v>
      </c>
      <c r="P173" s="61" t="s">
        <v>1751</v>
      </c>
      <c r="Q173" s="61" t="s">
        <v>1625</v>
      </c>
    </row>
    <row r="174" spans="1:17" ht="14.4" x14ac:dyDescent="0.3">
      <c r="A174" s="124">
        <v>162</v>
      </c>
      <c r="B174" s="59" t="s">
        <v>324</v>
      </c>
      <c r="C174" s="59" t="s">
        <v>1</v>
      </c>
      <c r="D174" s="115" t="s">
        <v>387</v>
      </c>
      <c r="E174" s="59" t="s">
        <v>391</v>
      </c>
      <c r="F174" s="115" t="s">
        <v>389</v>
      </c>
      <c r="G174" s="59" t="s">
        <v>367</v>
      </c>
      <c r="H174" s="59" t="s">
        <v>368</v>
      </c>
      <c r="I174" s="115" t="s">
        <v>314</v>
      </c>
      <c r="J174" s="125" t="s">
        <v>101</v>
      </c>
      <c r="K174" s="70">
        <v>1659</v>
      </c>
      <c r="L174" s="139">
        <f>VLOOKUP(E174,'[1]MASTER WORKFILE MY26.2'!$H:$AC,22,0)</f>
        <v>1052.8999999999999</v>
      </c>
      <c r="M174" s="116">
        <f>VLOOKUP(E174,'North Kite &amp; Foils '!E:M,9,0)</f>
        <v>0</v>
      </c>
      <c r="N174" s="71">
        <f t="shared" si="2"/>
        <v>0</v>
      </c>
      <c r="O174" s="61" t="s">
        <v>1751</v>
      </c>
      <c r="P174" s="61" t="s">
        <v>1751</v>
      </c>
      <c r="Q174" s="61" t="s">
        <v>1625</v>
      </c>
    </row>
    <row r="175" spans="1:17" ht="14.4" x14ac:dyDescent="0.3">
      <c r="A175" s="124">
        <v>163</v>
      </c>
      <c r="B175" s="122" t="s">
        <v>324</v>
      </c>
      <c r="C175" s="122" t="s">
        <v>1</v>
      </c>
      <c r="D175" s="123" t="s">
        <v>387</v>
      </c>
      <c r="E175" s="122" t="s">
        <v>392</v>
      </c>
      <c r="F175" s="123" t="s">
        <v>389</v>
      </c>
      <c r="G175" s="122" t="s">
        <v>367</v>
      </c>
      <c r="H175" s="122" t="s">
        <v>368</v>
      </c>
      <c r="I175" s="123" t="s">
        <v>316</v>
      </c>
      <c r="J175" s="125" t="s">
        <v>101</v>
      </c>
      <c r="K175" s="70">
        <v>1689</v>
      </c>
      <c r="L175" s="139">
        <f>VLOOKUP(E175,'[1]MASTER WORKFILE MY26.2'!$H:$AC,22,0)</f>
        <v>1071.8999999999999</v>
      </c>
      <c r="M175" s="116">
        <f>VLOOKUP(E175,'North Kite &amp; Foils '!E:M,9,0)</f>
        <v>0</v>
      </c>
      <c r="N175" s="71">
        <f t="shared" si="2"/>
        <v>0</v>
      </c>
      <c r="O175" s="61" t="s">
        <v>1751</v>
      </c>
      <c r="P175" s="61" t="s">
        <v>1751</v>
      </c>
      <c r="Q175" s="61" t="s">
        <v>1625</v>
      </c>
    </row>
    <row r="176" spans="1:17" ht="14.4" x14ac:dyDescent="0.3">
      <c r="A176" s="124">
        <v>164</v>
      </c>
      <c r="B176" s="59" t="s">
        <v>324</v>
      </c>
      <c r="C176" s="59" t="s">
        <v>1</v>
      </c>
      <c r="D176" s="115" t="s">
        <v>329</v>
      </c>
      <c r="E176" s="59" t="s">
        <v>330</v>
      </c>
      <c r="F176" s="115" t="s">
        <v>331</v>
      </c>
      <c r="G176" s="59" t="s">
        <v>320</v>
      </c>
      <c r="H176" s="59" t="s">
        <v>321</v>
      </c>
      <c r="I176" s="115" t="s">
        <v>332</v>
      </c>
      <c r="J176" s="125" t="s">
        <v>26</v>
      </c>
      <c r="K176" s="70">
        <v>1125</v>
      </c>
      <c r="L176" s="139">
        <f>VLOOKUP(E176,'[1]MASTER WORKFILE MY26.2'!$H:$AC,22,0)</f>
        <v>714</v>
      </c>
      <c r="M176" s="116">
        <f>VLOOKUP(E176,'North Kite &amp; Foils '!E:M,9,0)</f>
        <v>0</v>
      </c>
      <c r="N176" s="71">
        <f t="shared" si="2"/>
        <v>0</v>
      </c>
      <c r="O176" s="61" t="s">
        <v>1751</v>
      </c>
      <c r="P176" s="61" t="s">
        <v>1751</v>
      </c>
      <c r="Q176" s="61" t="s">
        <v>1625</v>
      </c>
    </row>
    <row r="177" spans="1:18" ht="14.4" x14ac:dyDescent="0.3">
      <c r="A177" s="124">
        <v>165</v>
      </c>
      <c r="B177" s="59" t="s">
        <v>324</v>
      </c>
      <c r="C177" s="59" t="s">
        <v>1</v>
      </c>
      <c r="D177" s="115" t="s">
        <v>329</v>
      </c>
      <c r="E177" s="59" t="s">
        <v>333</v>
      </c>
      <c r="F177" s="115" t="s">
        <v>331</v>
      </c>
      <c r="G177" s="59" t="s">
        <v>320</v>
      </c>
      <c r="H177" s="59" t="s">
        <v>321</v>
      </c>
      <c r="I177" s="115" t="s">
        <v>303</v>
      </c>
      <c r="J177" s="125" t="s">
        <v>26</v>
      </c>
      <c r="K177" s="70">
        <v>1179</v>
      </c>
      <c r="L177" s="139">
        <f>VLOOKUP(E177,'[1]MASTER WORKFILE MY26.2'!$H:$AC,22,0)</f>
        <v>748.30000000000007</v>
      </c>
      <c r="M177" s="116">
        <f>VLOOKUP(E177,'North Kite &amp; Foils '!E:M,9,0)</f>
        <v>0</v>
      </c>
      <c r="N177" s="71">
        <f t="shared" si="2"/>
        <v>0</v>
      </c>
      <c r="O177" s="61" t="s">
        <v>1751</v>
      </c>
      <c r="P177" s="61" t="s">
        <v>1751</v>
      </c>
      <c r="Q177" s="61" t="s">
        <v>1625</v>
      </c>
    </row>
    <row r="178" spans="1:18" ht="14.4" x14ac:dyDescent="0.3">
      <c r="A178" s="124">
        <v>166</v>
      </c>
      <c r="B178" s="59" t="s">
        <v>324</v>
      </c>
      <c r="C178" s="59" t="s">
        <v>1</v>
      </c>
      <c r="D178" s="115" t="s">
        <v>329</v>
      </c>
      <c r="E178" s="59" t="s">
        <v>334</v>
      </c>
      <c r="F178" s="115" t="s">
        <v>331</v>
      </c>
      <c r="G178" s="59" t="s">
        <v>320</v>
      </c>
      <c r="H178" s="59" t="s">
        <v>321</v>
      </c>
      <c r="I178" s="115" t="s">
        <v>307</v>
      </c>
      <c r="J178" s="125" t="s">
        <v>26</v>
      </c>
      <c r="K178" s="70">
        <v>1229</v>
      </c>
      <c r="L178" s="139">
        <f>VLOOKUP(E178,'[1]MASTER WORKFILE MY26.2'!$H:$AC,22,0)</f>
        <v>780</v>
      </c>
      <c r="M178" s="116">
        <f>VLOOKUP(E178,'North Kite &amp; Foils '!E:M,9,0)</f>
        <v>0</v>
      </c>
      <c r="N178" s="71">
        <f t="shared" si="2"/>
        <v>0</v>
      </c>
      <c r="O178" s="61" t="s">
        <v>1751</v>
      </c>
      <c r="P178" s="61" t="s">
        <v>1751</v>
      </c>
      <c r="Q178" s="61" t="s">
        <v>1625</v>
      </c>
    </row>
    <row r="179" spans="1:18" ht="14.4" x14ac:dyDescent="0.3">
      <c r="A179" s="124">
        <v>167</v>
      </c>
      <c r="B179" s="59" t="s">
        <v>324</v>
      </c>
      <c r="C179" s="59" t="s">
        <v>1</v>
      </c>
      <c r="D179" s="115" t="s">
        <v>329</v>
      </c>
      <c r="E179" s="59" t="s">
        <v>335</v>
      </c>
      <c r="F179" s="115" t="s">
        <v>331</v>
      </c>
      <c r="G179" s="59" t="s">
        <v>320</v>
      </c>
      <c r="H179" s="59" t="s">
        <v>321</v>
      </c>
      <c r="I179" s="115" t="s">
        <v>314</v>
      </c>
      <c r="J179" s="125" t="s">
        <v>26</v>
      </c>
      <c r="K179" s="70">
        <v>1279</v>
      </c>
      <c r="L179" s="139">
        <f>VLOOKUP(E179,'[1]MASTER WORKFILE MY26.2'!$H:$AC,22,0)</f>
        <v>811.7</v>
      </c>
      <c r="M179" s="116">
        <f>VLOOKUP(E179,'North Kite &amp; Foils '!E:M,9,0)</f>
        <v>0</v>
      </c>
      <c r="N179" s="71">
        <f t="shared" si="2"/>
        <v>0</v>
      </c>
      <c r="O179" s="61" t="s">
        <v>1751</v>
      </c>
      <c r="P179" s="61" t="s">
        <v>1751</v>
      </c>
      <c r="Q179" s="61" t="s">
        <v>1625</v>
      </c>
    </row>
    <row r="180" spans="1:18" ht="14.4" x14ac:dyDescent="0.3">
      <c r="A180" s="124">
        <v>168</v>
      </c>
      <c r="B180" s="59" t="s">
        <v>324</v>
      </c>
      <c r="C180" s="59" t="s">
        <v>1</v>
      </c>
      <c r="D180" s="115" t="s">
        <v>329</v>
      </c>
      <c r="E180" s="59" t="s">
        <v>336</v>
      </c>
      <c r="F180" s="115" t="s">
        <v>331</v>
      </c>
      <c r="G180" s="59" t="s">
        <v>320</v>
      </c>
      <c r="H180" s="115" t="s">
        <v>321</v>
      </c>
      <c r="I180" s="115" t="s">
        <v>337</v>
      </c>
      <c r="J180" s="125" t="s">
        <v>26</v>
      </c>
      <c r="K180" s="70">
        <v>1329</v>
      </c>
      <c r="L180" s="139">
        <f>VLOOKUP(E180,'[1]MASTER WORKFILE MY26.2'!$H:$AC,22,0)</f>
        <v>843.5</v>
      </c>
      <c r="M180" s="116">
        <f>VLOOKUP(E180,'North Kite &amp; Foils '!E:M,9,0)</f>
        <v>0</v>
      </c>
      <c r="N180" s="71">
        <f t="shared" si="2"/>
        <v>0</v>
      </c>
      <c r="O180" s="61" t="s">
        <v>1751</v>
      </c>
      <c r="P180" s="61" t="s">
        <v>1751</v>
      </c>
      <c r="Q180" s="61" t="s">
        <v>1625</v>
      </c>
    </row>
    <row r="181" spans="1:18" ht="14.4" x14ac:dyDescent="0.3">
      <c r="A181" s="124">
        <v>169</v>
      </c>
      <c r="B181" s="59" t="s">
        <v>324</v>
      </c>
      <c r="C181" s="59" t="s">
        <v>1</v>
      </c>
      <c r="D181" s="115" t="s">
        <v>338</v>
      </c>
      <c r="E181" s="59" t="s">
        <v>339</v>
      </c>
      <c r="F181" s="115" t="s">
        <v>340</v>
      </c>
      <c r="G181" s="59" t="s">
        <v>320</v>
      </c>
      <c r="H181" s="115" t="s">
        <v>321</v>
      </c>
      <c r="I181" s="115" t="s">
        <v>341</v>
      </c>
      <c r="J181" s="125" t="s">
        <v>26</v>
      </c>
      <c r="K181" s="70">
        <v>1379</v>
      </c>
      <c r="L181" s="139">
        <f>VLOOKUP(E181,'[1]MASTER WORKFILE MY26.2'!$H:$AC,22,0)</f>
        <v>875.2</v>
      </c>
      <c r="M181" s="116">
        <f>VLOOKUP(E181,'North Kite &amp; Foils '!E:M,9,0)</f>
        <v>0</v>
      </c>
      <c r="N181" s="71">
        <f t="shared" si="2"/>
        <v>0</v>
      </c>
      <c r="O181" s="61" t="s">
        <v>1751</v>
      </c>
      <c r="P181" s="61" t="s">
        <v>1751</v>
      </c>
      <c r="Q181" s="61" t="s">
        <v>1625</v>
      </c>
    </row>
    <row r="182" spans="1:18" s="72" customFormat="1" ht="14.4" x14ac:dyDescent="0.3">
      <c r="A182" s="124">
        <v>170</v>
      </c>
      <c r="B182" s="59" t="s">
        <v>324</v>
      </c>
      <c r="C182" s="59" t="s">
        <v>1</v>
      </c>
      <c r="D182" s="115" t="s">
        <v>338</v>
      </c>
      <c r="E182" s="59" t="s">
        <v>342</v>
      </c>
      <c r="F182" s="115" t="s">
        <v>340</v>
      </c>
      <c r="G182" s="59" t="s">
        <v>320</v>
      </c>
      <c r="H182" s="115" t="s">
        <v>321</v>
      </c>
      <c r="I182" s="115" t="s">
        <v>343</v>
      </c>
      <c r="J182" s="125" t="s">
        <v>26</v>
      </c>
      <c r="K182" s="70">
        <v>1429</v>
      </c>
      <c r="L182" s="139">
        <f>VLOOKUP(E182,'[1]MASTER WORKFILE MY26.2'!$H:$AC,22,0)</f>
        <v>906.9</v>
      </c>
      <c r="M182" s="116">
        <f>VLOOKUP(E182,'North Kite &amp; Foils '!E:M,9,0)</f>
        <v>0</v>
      </c>
      <c r="N182" s="71">
        <f t="shared" si="2"/>
        <v>0</v>
      </c>
      <c r="O182" s="61" t="s">
        <v>1751</v>
      </c>
      <c r="P182" s="61" t="s">
        <v>1751</v>
      </c>
      <c r="Q182" s="61" t="s">
        <v>1625</v>
      </c>
      <c r="R182" s="53"/>
    </row>
    <row r="183" spans="1:18" ht="14.4" x14ac:dyDescent="0.3">
      <c r="A183" s="124">
        <v>171</v>
      </c>
      <c r="B183" s="59" t="s">
        <v>324</v>
      </c>
      <c r="C183" s="59" t="s">
        <v>1</v>
      </c>
      <c r="D183" s="115" t="s">
        <v>354</v>
      </c>
      <c r="E183" s="59" t="s">
        <v>355</v>
      </c>
      <c r="F183" s="115" t="s">
        <v>356</v>
      </c>
      <c r="G183" s="59" t="s">
        <v>357</v>
      </c>
      <c r="H183" s="59" t="s">
        <v>358</v>
      </c>
      <c r="I183" s="115" t="s">
        <v>359</v>
      </c>
      <c r="J183" s="125" t="s">
        <v>26</v>
      </c>
      <c r="K183" s="70">
        <v>1789</v>
      </c>
      <c r="L183" s="139">
        <f>VLOOKUP(E183,'[1]MASTER WORKFILE MY26.2'!$H:$AC,22,0)</f>
        <v>1135.3999999999999</v>
      </c>
      <c r="M183" s="116">
        <f>VLOOKUP(E183,'North Kite &amp; Foils '!E:M,9,0)</f>
        <v>0</v>
      </c>
      <c r="N183" s="71">
        <f t="shared" si="2"/>
        <v>0</v>
      </c>
      <c r="O183" s="61" t="s">
        <v>1751</v>
      </c>
      <c r="P183" s="61" t="s">
        <v>1751</v>
      </c>
      <c r="Q183" s="61" t="s">
        <v>1625</v>
      </c>
    </row>
    <row r="184" spans="1:18" ht="14.4" x14ac:dyDescent="0.3">
      <c r="A184" s="124">
        <v>172</v>
      </c>
      <c r="B184" s="59" t="s">
        <v>324</v>
      </c>
      <c r="C184" s="59" t="s">
        <v>1</v>
      </c>
      <c r="D184" s="115" t="s">
        <v>354</v>
      </c>
      <c r="E184" s="59" t="s">
        <v>360</v>
      </c>
      <c r="F184" s="115" t="s">
        <v>356</v>
      </c>
      <c r="G184" s="59" t="s">
        <v>357</v>
      </c>
      <c r="H184" s="59" t="s">
        <v>358</v>
      </c>
      <c r="I184" s="115" t="s">
        <v>361</v>
      </c>
      <c r="J184" s="125" t="s">
        <v>26</v>
      </c>
      <c r="K184" s="70">
        <v>1839</v>
      </c>
      <c r="L184" s="139">
        <f>VLOOKUP(E184,'[1]MASTER WORKFILE MY26.2'!$H:$AC,22,0)</f>
        <v>1167.0999999999999</v>
      </c>
      <c r="M184" s="116">
        <f>VLOOKUP(E184,'North Kite &amp; Foils '!E:M,9,0)</f>
        <v>0</v>
      </c>
      <c r="N184" s="71">
        <f t="shared" si="2"/>
        <v>0</v>
      </c>
      <c r="O184" s="61" t="s">
        <v>1751</v>
      </c>
      <c r="P184" s="61" t="s">
        <v>1751</v>
      </c>
      <c r="Q184" s="61" t="s">
        <v>1625</v>
      </c>
    </row>
    <row r="185" spans="1:18" ht="14.4" x14ac:dyDescent="0.3">
      <c r="A185" s="124">
        <v>173</v>
      </c>
      <c r="B185" s="59" t="s">
        <v>324</v>
      </c>
      <c r="C185" s="59" t="s">
        <v>1</v>
      </c>
      <c r="D185" s="115" t="s">
        <v>354</v>
      </c>
      <c r="E185" s="59" t="s">
        <v>362</v>
      </c>
      <c r="F185" s="115" t="s">
        <v>356</v>
      </c>
      <c r="G185" s="59" t="s">
        <v>357</v>
      </c>
      <c r="H185" s="59" t="s">
        <v>358</v>
      </c>
      <c r="I185" s="115" t="s">
        <v>363</v>
      </c>
      <c r="J185" s="125" t="s">
        <v>26</v>
      </c>
      <c r="K185" s="70">
        <v>1895</v>
      </c>
      <c r="L185" s="139">
        <f>VLOOKUP(E185,'[1]MASTER WORKFILE MY26.2'!$H:$AC,22,0)</f>
        <v>1202.5999999999999</v>
      </c>
      <c r="M185" s="116">
        <f>VLOOKUP(E185,'North Kite &amp; Foils '!E:M,9,0)</f>
        <v>0</v>
      </c>
      <c r="N185" s="71">
        <f t="shared" si="2"/>
        <v>0</v>
      </c>
      <c r="O185" s="61" t="s">
        <v>1751</v>
      </c>
      <c r="P185" s="61" t="s">
        <v>1751</v>
      </c>
      <c r="Q185" s="61" t="s">
        <v>1625</v>
      </c>
    </row>
    <row r="186" spans="1:18" ht="14.4" x14ac:dyDescent="0.3">
      <c r="A186" s="124">
        <v>174</v>
      </c>
      <c r="B186" s="59" t="s">
        <v>324</v>
      </c>
      <c r="C186" s="59" t="s">
        <v>1</v>
      </c>
      <c r="D186" s="115" t="s">
        <v>393</v>
      </c>
      <c r="E186" s="59" t="s">
        <v>394</v>
      </c>
      <c r="F186" s="115" t="s">
        <v>395</v>
      </c>
      <c r="G186" s="59" t="s">
        <v>367</v>
      </c>
      <c r="H186" s="59" t="s">
        <v>368</v>
      </c>
      <c r="I186" s="115" t="s">
        <v>381</v>
      </c>
      <c r="J186" s="125" t="s">
        <v>353</v>
      </c>
      <c r="K186" s="70">
        <v>1439</v>
      </c>
      <c r="L186" s="139">
        <f>VLOOKUP(E186,'[1]MASTER WORKFILE MY26.2'!$H:$AC,22,0)</f>
        <v>913.30000000000007</v>
      </c>
      <c r="M186" s="116">
        <f>VLOOKUP(E186,'North Kite &amp; Foils '!E:M,9,0)</f>
        <v>0</v>
      </c>
      <c r="N186" s="71">
        <f t="shared" si="2"/>
        <v>0</v>
      </c>
      <c r="O186" s="61" t="s">
        <v>1751</v>
      </c>
      <c r="P186" s="61" t="s">
        <v>1751</v>
      </c>
      <c r="Q186" s="61" t="s">
        <v>1625</v>
      </c>
    </row>
    <row r="187" spans="1:18" ht="14.4" x14ac:dyDescent="0.3">
      <c r="A187" s="124">
        <v>175</v>
      </c>
      <c r="B187" s="59" t="s">
        <v>324</v>
      </c>
      <c r="C187" s="59" t="s">
        <v>1</v>
      </c>
      <c r="D187" s="115" t="s">
        <v>393</v>
      </c>
      <c r="E187" s="59" t="s">
        <v>396</v>
      </c>
      <c r="F187" s="115" t="s">
        <v>395</v>
      </c>
      <c r="G187" s="59" t="s">
        <v>367</v>
      </c>
      <c r="H187" s="59" t="s">
        <v>368</v>
      </c>
      <c r="I187" s="115" t="s">
        <v>361</v>
      </c>
      <c r="J187" s="125" t="s">
        <v>353</v>
      </c>
      <c r="K187" s="70">
        <v>1459</v>
      </c>
      <c r="L187" s="139">
        <f>VLOOKUP(E187,'[1]MASTER WORKFILE MY26.2'!$H:$AC,22,0)</f>
        <v>926</v>
      </c>
      <c r="M187" s="116">
        <f>VLOOKUP(E187,'North Kite &amp; Foils '!E:M,9,0)</f>
        <v>0</v>
      </c>
      <c r="N187" s="71">
        <f t="shared" si="2"/>
        <v>0</v>
      </c>
      <c r="O187" s="61" t="s">
        <v>1751</v>
      </c>
      <c r="P187" s="61" t="s">
        <v>1751</v>
      </c>
      <c r="Q187" s="61" t="s">
        <v>1625</v>
      </c>
    </row>
    <row r="188" spans="1:18" ht="14.4" x14ac:dyDescent="0.3">
      <c r="A188" s="124">
        <v>176</v>
      </c>
      <c r="B188" s="59" t="s">
        <v>324</v>
      </c>
      <c r="C188" s="59" t="s">
        <v>1</v>
      </c>
      <c r="D188" s="115" t="s">
        <v>393</v>
      </c>
      <c r="E188" s="59" t="s">
        <v>397</v>
      </c>
      <c r="F188" s="115" t="s">
        <v>395</v>
      </c>
      <c r="G188" s="59" t="s">
        <v>367</v>
      </c>
      <c r="H188" s="59" t="s">
        <v>368</v>
      </c>
      <c r="I188" s="115" t="s">
        <v>305</v>
      </c>
      <c r="J188" s="125" t="s">
        <v>26</v>
      </c>
      <c r="K188" s="70">
        <v>1479</v>
      </c>
      <c r="L188" s="139">
        <f>VLOOKUP(E188,'[1]MASTER WORKFILE MY26.2'!$H:$AC,22,0)</f>
        <v>938.6</v>
      </c>
      <c r="M188" s="116">
        <f>VLOOKUP(E188,'North Kite &amp; Foils '!E:M,9,0)</f>
        <v>0</v>
      </c>
      <c r="N188" s="71">
        <f t="shared" si="2"/>
        <v>0</v>
      </c>
      <c r="O188" s="61" t="s">
        <v>1751</v>
      </c>
      <c r="P188" s="61" t="s">
        <v>1751</v>
      </c>
      <c r="Q188" s="61" t="s">
        <v>1625</v>
      </c>
    </row>
    <row r="189" spans="1:18" ht="14.4" x14ac:dyDescent="0.3">
      <c r="A189" s="124">
        <v>177</v>
      </c>
      <c r="B189" s="59" t="s">
        <v>324</v>
      </c>
      <c r="C189" s="59" t="s">
        <v>1</v>
      </c>
      <c r="D189" s="115" t="s">
        <v>393</v>
      </c>
      <c r="E189" s="59" t="s">
        <v>398</v>
      </c>
      <c r="F189" s="115" t="s">
        <v>395</v>
      </c>
      <c r="G189" s="59" t="s">
        <v>367</v>
      </c>
      <c r="H189" s="59" t="s">
        <v>368</v>
      </c>
      <c r="I189" s="115" t="s">
        <v>399</v>
      </c>
      <c r="J189" s="125" t="s">
        <v>26</v>
      </c>
      <c r="K189" s="70">
        <v>1499</v>
      </c>
      <c r="L189" s="139">
        <f>VLOOKUP(E189,'[1]MASTER WORKFILE MY26.2'!$H:$AC,22,0)</f>
        <v>951.30000000000007</v>
      </c>
      <c r="M189" s="116">
        <f>VLOOKUP(E189,'North Kite &amp; Foils '!E:M,9,0)</f>
        <v>0</v>
      </c>
      <c r="N189" s="71">
        <f t="shared" si="2"/>
        <v>0</v>
      </c>
      <c r="O189" s="61" t="s">
        <v>1751</v>
      </c>
      <c r="P189" s="61" t="s">
        <v>1751</v>
      </c>
      <c r="Q189" s="61" t="s">
        <v>1625</v>
      </c>
    </row>
    <row r="190" spans="1:18" ht="14.4" x14ac:dyDescent="0.3">
      <c r="A190" s="124">
        <v>178</v>
      </c>
      <c r="B190" s="59" t="s">
        <v>324</v>
      </c>
      <c r="C190" s="59" t="s">
        <v>1</v>
      </c>
      <c r="D190" s="115" t="s">
        <v>344</v>
      </c>
      <c r="E190" s="59" t="s">
        <v>345</v>
      </c>
      <c r="F190" s="115" t="s">
        <v>346</v>
      </c>
      <c r="G190" s="59" t="s">
        <v>320</v>
      </c>
      <c r="H190" s="115" t="s">
        <v>321</v>
      </c>
      <c r="I190" s="115" t="s">
        <v>347</v>
      </c>
      <c r="J190" s="125" t="s">
        <v>26</v>
      </c>
      <c r="K190" s="70">
        <v>1229</v>
      </c>
      <c r="L190" s="139">
        <f>VLOOKUP(E190,'[1]MASTER WORKFILE MY26.2'!$H:$AC,22,0)</f>
        <v>780</v>
      </c>
      <c r="M190" s="116">
        <f>VLOOKUP(E190,'North Kite &amp; Foils '!E:M,9,0)</f>
        <v>0</v>
      </c>
      <c r="N190" s="71">
        <f t="shared" si="2"/>
        <v>0</v>
      </c>
      <c r="O190" s="61" t="s">
        <v>1751</v>
      </c>
      <c r="P190" s="61" t="s">
        <v>1751</v>
      </c>
      <c r="Q190" s="61" t="s">
        <v>1625</v>
      </c>
    </row>
    <row r="191" spans="1:18" ht="14.4" x14ac:dyDescent="0.3">
      <c r="A191" s="124">
        <v>179</v>
      </c>
      <c r="B191" s="59" t="s">
        <v>324</v>
      </c>
      <c r="C191" s="59" t="s">
        <v>1</v>
      </c>
      <c r="D191" s="115" t="s">
        <v>344</v>
      </c>
      <c r="E191" s="59" t="s">
        <v>348</v>
      </c>
      <c r="F191" s="115" t="s">
        <v>346</v>
      </c>
      <c r="G191" s="59" t="s">
        <v>320</v>
      </c>
      <c r="H191" s="115" t="s">
        <v>321</v>
      </c>
      <c r="I191" s="115" t="s">
        <v>349</v>
      </c>
      <c r="J191" s="125" t="s">
        <v>26</v>
      </c>
      <c r="K191" s="70">
        <v>1279</v>
      </c>
      <c r="L191" s="139">
        <f>VLOOKUP(E191,'[1]MASTER WORKFILE MY26.2'!$H:$AC,22,0)</f>
        <v>811.7</v>
      </c>
      <c r="M191" s="116">
        <f>VLOOKUP(E191,'North Kite &amp; Foils '!E:M,9,0)</f>
        <v>0</v>
      </c>
      <c r="N191" s="71">
        <f t="shared" si="2"/>
        <v>0</v>
      </c>
      <c r="O191" s="61" t="s">
        <v>1751</v>
      </c>
      <c r="P191" s="61" t="s">
        <v>1751</v>
      </c>
      <c r="Q191" s="61" t="s">
        <v>1625</v>
      </c>
    </row>
    <row r="192" spans="1:18" ht="14.4" x14ac:dyDescent="0.3">
      <c r="A192" s="124">
        <v>180</v>
      </c>
      <c r="B192" s="59" t="s">
        <v>324</v>
      </c>
      <c r="C192" s="59" t="s">
        <v>1</v>
      </c>
      <c r="D192" s="115" t="s">
        <v>344</v>
      </c>
      <c r="E192" s="59" t="s">
        <v>350</v>
      </c>
      <c r="F192" s="115" t="s">
        <v>346</v>
      </c>
      <c r="G192" s="59" t="s">
        <v>320</v>
      </c>
      <c r="H192" s="115" t="s">
        <v>321</v>
      </c>
      <c r="I192" s="115" t="s">
        <v>351</v>
      </c>
      <c r="J192" s="125" t="s">
        <v>26</v>
      </c>
      <c r="K192" s="70">
        <v>1329</v>
      </c>
      <c r="L192" s="139">
        <f>VLOOKUP(E192,'[1]MASTER WORKFILE MY26.2'!$H:$AC,22,0)</f>
        <v>843.5</v>
      </c>
      <c r="M192" s="116">
        <f>VLOOKUP(E192,'North Kite &amp; Foils '!E:M,9,0)</f>
        <v>0</v>
      </c>
      <c r="N192" s="71">
        <f t="shared" si="2"/>
        <v>0</v>
      </c>
      <c r="O192" s="61" t="s">
        <v>1751</v>
      </c>
      <c r="P192" s="61" t="s">
        <v>1751</v>
      </c>
      <c r="Q192" s="61" t="s">
        <v>1625</v>
      </c>
    </row>
    <row r="193" spans="1:17" ht="14.4" x14ac:dyDescent="0.3">
      <c r="A193" s="124">
        <v>181</v>
      </c>
      <c r="B193" s="59" t="s">
        <v>324</v>
      </c>
      <c r="C193" s="59" t="s">
        <v>1</v>
      </c>
      <c r="D193" s="115" t="s">
        <v>344</v>
      </c>
      <c r="E193" s="59" t="s">
        <v>352</v>
      </c>
      <c r="F193" s="115" t="s">
        <v>346</v>
      </c>
      <c r="G193" s="59" t="s">
        <v>320</v>
      </c>
      <c r="H193" s="59" t="s">
        <v>321</v>
      </c>
      <c r="I193" s="115" t="s">
        <v>332</v>
      </c>
      <c r="J193" s="125" t="s">
        <v>353</v>
      </c>
      <c r="K193" s="70">
        <v>1379</v>
      </c>
      <c r="L193" s="139">
        <f>VLOOKUP(E193,'[1]MASTER WORKFILE MY26.2'!$H:$AC,22,0)</f>
        <v>875.2</v>
      </c>
      <c r="M193" s="116">
        <f>VLOOKUP(E193,'North Kite &amp; Foils '!E:M,9,0)</f>
        <v>0</v>
      </c>
      <c r="N193" s="71">
        <f t="shared" si="2"/>
        <v>0</v>
      </c>
      <c r="O193" s="61" t="s">
        <v>1751</v>
      </c>
      <c r="P193" s="61" t="s">
        <v>1751</v>
      </c>
      <c r="Q193" s="61" t="s">
        <v>1625</v>
      </c>
    </row>
    <row r="194" spans="1:17" ht="14.4" x14ac:dyDescent="0.3">
      <c r="A194" s="124">
        <v>182</v>
      </c>
      <c r="B194" s="59" t="s">
        <v>324</v>
      </c>
      <c r="C194" s="59" t="s">
        <v>1</v>
      </c>
      <c r="D194" s="115" t="s">
        <v>364</v>
      </c>
      <c r="E194" s="59" t="s">
        <v>365</v>
      </c>
      <c r="F194" s="115" t="s">
        <v>366</v>
      </c>
      <c r="G194" s="59" t="s">
        <v>367</v>
      </c>
      <c r="H194" s="59" t="s">
        <v>368</v>
      </c>
      <c r="I194" s="115" t="s">
        <v>369</v>
      </c>
      <c r="J194" s="125" t="s">
        <v>101</v>
      </c>
      <c r="K194" s="70">
        <v>1249</v>
      </c>
      <c r="L194" s="139">
        <f>VLOOKUP(E194,'[1]MASTER WORKFILE MY26.2'!$H:$AC,22,0)</f>
        <v>792.7</v>
      </c>
      <c r="M194" s="116">
        <f>VLOOKUP(E194,'North Kite &amp; Foils '!E:M,9,0)</f>
        <v>0</v>
      </c>
      <c r="N194" s="71">
        <f t="shared" si="2"/>
        <v>0</v>
      </c>
      <c r="O194" s="61" t="s">
        <v>1751</v>
      </c>
      <c r="P194" s="61" t="s">
        <v>1751</v>
      </c>
      <c r="Q194" s="61" t="s">
        <v>1625</v>
      </c>
    </row>
    <row r="195" spans="1:17" ht="14.4" x14ac:dyDescent="0.3">
      <c r="A195" s="124">
        <v>183</v>
      </c>
      <c r="B195" s="59" t="s">
        <v>324</v>
      </c>
      <c r="C195" s="59" t="s">
        <v>1</v>
      </c>
      <c r="D195" s="115" t="s">
        <v>364</v>
      </c>
      <c r="E195" s="59" t="s">
        <v>370</v>
      </c>
      <c r="F195" s="115" t="s">
        <v>366</v>
      </c>
      <c r="G195" s="59" t="s">
        <v>367</v>
      </c>
      <c r="H195" s="59" t="s">
        <v>368</v>
      </c>
      <c r="I195" s="115" t="s">
        <v>371</v>
      </c>
      <c r="J195" s="125" t="s">
        <v>101</v>
      </c>
      <c r="K195" s="70">
        <v>1299</v>
      </c>
      <c r="L195" s="139">
        <f>VLOOKUP(E195,'[1]MASTER WORKFILE MY26.2'!$H:$AC,22,0)</f>
        <v>824.4</v>
      </c>
      <c r="M195" s="116">
        <f>VLOOKUP(E195,'North Kite &amp; Foils '!E:M,9,0)</f>
        <v>0</v>
      </c>
      <c r="N195" s="71">
        <f t="shared" si="2"/>
        <v>0</v>
      </c>
      <c r="O195" s="61" t="s">
        <v>1751</v>
      </c>
      <c r="P195" s="61" t="s">
        <v>1751</v>
      </c>
      <c r="Q195" s="61" t="s">
        <v>1625</v>
      </c>
    </row>
    <row r="196" spans="1:17" ht="14.4" x14ac:dyDescent="0.3">
      <c r="A196" s="124">
        <v>184</v>
      </c>
      <c r="B196" s="59" t="s">
        <v>400</v>
      </c>
      <c r="C196" s="59" t="s">
        <v>1</v>
      </c>
      <c r="D196" s="115" t="s">
        <v>437</v>
      </c>
      <c r="E196" s="59" t="s">
        <v>438</v>
      </c>
      <c r="F196" s="115" t="s">
        <v>439</v>
      </c>
      <c r="G196" s="59" t="s">
        <v>58</v>
      </c>
      <c r="H196" s="59" t="s">
        <v>59</v>
      </c>
      <c r="I196" s="115" t="s">
        <v>440</v>
      </c>
      <c r="J196" s="125" t="s">
        <v>101</v>
      </c>
      <c r="K196" s="70">
        <v>1129</v>
      </c>
      <c r="L196" s="139">
        <f>VLOOKUP(E196,'[1]MASTER WORKFILE MY26.2'!$H:$AC,22,0)</f>
        <v>572.9</v>
      </c>
      <c r="M196" s="116">
        <f>VLOOKUP(E196,'North Kite &amp; Foils '!E:M,9,0)</f>
        <v>0</v>
      </c>
      <c r="N196" s="71">
        <f t="shared" si="2"/>
        <v>0</v>
      </c>
      <c r="O196" s="61" t="s">
        <v>1717</v>
      </c>
      <c r="P196" s="61" t="s">
        <v>1717</v>
      </c>
      <c r="Q196" s="61" t="s">
        <v>1625</v>
      </c>
    </row>
    <row r="197" spans="1:17" ht="14.4" x14ac:dyDescent="0.3">
      <c r="A197" s="124">
        <v>185</v>
      </c>
      <c r="B197" s="59" t="s">
        <v>400</v>
      </c>
      <c r="C197" s="59" t="s">
        <v>1</v>
      </c>
      <c r="D197" s="115" t="s">
        <v>437</v>
      </c>
      <c r="E197" s="59" t="s">
        <v>441</v>
      </c>
      <c r="F197" s="115" t="s">
        <v>439</v>
      </c>
      <c r="G197" s="59" t="s">
        <v>58</v>
      </c>
      <c r="H197" s="59" t="s">
        <v>59</v>
      </c>
      <c r="I197" s="115" t="s">
        <v>424</v>
      </c>
      <c r="J197" s="125" t="s">
        <v>101</v>
      </c>
      <c r="K197" s="70">
        <v>1179</v>
      </c>
      <c r="L197" s="139">
        <f>VLOOKUP(E197,'[1]MASTER WORKFILE MY26.2'!$H:$AC,22,0)</f>
        <v>598.30000000000007</v>
      </c>
      <c r="M197" s="116">
        <f>VLOOKUP(E197,'North Kite &amp; Foils '!E:M,9,0)</f>
        <v>0</v>
      </c>
      <c r="N197" s="71">
        <f t="shared" si="2"/>
        <v>0</v>
      </c>
      <c r="O197" s="61" t="s">
        <v>1717</v>
      </c>
      <c r="P197" s="61" t="s">
        <v>1717</v>
      </c>
      <c r="Q197" s="61" t="s">
        <v>1625</v>
      </c>
    </row>
    <row r="198" spans="1:17" ht="14.4" x14ac:dyDescent="0.3">
      <c r="A198" s="124">
        <v>186</v>
      </c>
      <c r="B198" s="59" t="s">
        <v>400</v>
      </c>
      <c r="C198" s="59" t="s">
        <v>1</v>
      </c>
      <c r="D198" s="115" t="s">
        <v>437</v>
      </c>
      <c r="E198" s="59" t="s">
        <v>442</v>
      </c>
      <c r="F198" s="115" t="s">
        <v>439</v>
      </c>
      <c r="G198" s="59" t="s">
        <v>58</v>
      </c>
      <c r="H198" s="59" t="s">
        <v>59</v>
      </c>
      <c r="I198" s="115" t="s">
        <v>60</v>
      </c>
      <c r="J198" s="125" t="s">
        <v>101</v>
      </c>
      <c r="K198" s="70">
        <v>1279</v>
      </c>
      <c r="L198" s="139">
        <f>VLOOKUP(E198,'[1]MASTER WORKFILE MY26.2'!$H:$AC,22,0)</f>
        <v>649</v>
      </c>
      <c r="M198" s="116">
        <f>VLOOKUP(E198,'North Kite &amp; Foils '!E:M,9,0)</f>
        <v>0</v>
      </c>
      <c r="N198" s="71">
        <f t="shared" si="2"/>
        <v>0</v>
      </c>
      <c r="O198" s="61" t="s">
        <v>1717</v>
      </c>
      <c r="P198" s="61" t="s">
        <v>1717</v>
      </c>
      <c r="Q198" s="61" t="s">
        <v>1625</v>
      </c>
    </row>
    <row r="199" spans="1:17" ht="14.4" x14ac:dyDescent="0.3">
      <c r="A199" s="124">
        <v>187</v>
      </c>
      <c r="B199" s="59" t="s">
        <v>400</v>
      </c>
      <c r="C199" s="59" t="s">
        <v>1</v>
      </c>
      <c r="D199" s="115" t="s">
        <v>437</v>
      </c>
      <c r="E199" s="59" t="s">
        <v>443</v>
      </c>
      <c r="F199" s="115" t="s">
        <v>439</v>
      </c>
      <c r="G199" s="59" t="s">
        <v>58</v>
      </c>
      <c r="H199" s="59" t="s">
        <v>59</v>
      </c>
      <c r="I199" s="115" t="s">
        <v>404</v>
      </c>
      <c r="J199" s="125" t="s">
        <v>101</v>
      </c>
      <c r="K199" s="70">
        <v>1379</v>
      </c>
      <c r="L199" s="139">
        <f>VLOOKUP(E199,'[1]MASTER WORKFILE MY26.2'!$H:$AC,22,0)</f>
        <v>699.80000000000007</v>
      </c>
      <c r="M199" s="116">
        <f>VLOOKUP(E199,'North Kite &amp; Foils '!E:M,9,0)</f>
        <v>0</v>
      </c>
      <c r="N199" s="71">
        <f t="shared" si="2"/>
        <v>0</v>
      </c>
      <c r="O199" s="61" t="s">
        <v>1717</v>
      </c>
      <c r="P199" s="61" t="s">
        <v>1717</v>
      </c>
      <c r="Q199" s="61" t="s">
        <v>1625</v>
      </c>
    </row>
    <row r="200" spans="1:17" ht="14.4" x14ac:dyDescent="0.3">
      <c r="A200" s="124">
        <v>188</v>
      </c>
      <c r="B200" s="59" t="s">
        <v>400</v>
      </c>
      <c r="C200" s="59" t="s">
        <v>1</v>
      </c>
      <c r="D200" s="115" t="s">
        <v>437</v>
      </c>
      <c r="E200" s="59" t="s">
        <v>444</v>
      </c>
      <c r="F200" s="115" t="s">
        <v>439</v>
      </c>
      <c r="G200" s="59" t="s">
        <v>58</v>
      </c>
      <c r="H200" s="59" t="s">
        <v>59</v>
      </c>
      <c r="I200" s="115" t="s">
        <v>406</v>
      </c>
      <c r="J200" s="125" t="s">
        <v>101</v>
      </c>
      <c r="K200" s="70">
        <v>1419</v>
      </c>
      <c r="L200" s="139">
        <f>VLOOKUP(E200,'[1]MASTER WORKFILE MY26.2'!$H:$AC,22,0)</f>
        <v>720.1</v>
      </c>
      <c r="M200" s="116">
        <f>VLOOKUP(E200,'North Kite &amp; Foils '!E:M,9,0)</f>
        <v>0</v>
      </c>
      <c r="N200" s="71">
        <f t="shared" si="2"/>
        <v>0</v>
      </c>
      <c r="O200" s="61" t="s">
        <v>1717</v>
      </c>
      <c r="P200" s="61" t="s">
        <v>1717</v>
      </c>
      <c r="Q200" s="61" t="s">
        <v>1625</v>
      </c>
    </row>
    <row r="201" spans="1:17" ht="14.4" x14ac:dyDescent="0.3">
      <c r="A201" s="124">
        <v>189</v>
      </c>
      <c r="B201" s="59" t="s">
        <v>400</v>
      </c>
      <c r="C201" s="59" t="s">
        <v>1</v>
      </c>
      <c r="D201" s="115" t="s">
        <v>437</v>
      </c>
      <c r="E201" s="59" t="s">
        <v>445</v>
      </c>
      <c r="F201" s="115" t="s">
        <v>439</v>
      </c>
      <c r="G201" s="59" t="s">
        <v>58</v>
      </c>
      <c r="H201" s="59" t="s">
        <v>59</v>
      </c>
      <c r="I201" s="115" t="s">
        <v>408</v>
      </c>
      <c r="J201" s="125" t="s">
        <v>101</v>
      </c>
      <c r="K201" s="70">
        <v>1429</v>
      </c>
      <c r="L201" s="139">
        <f>VLOOKUP(E201,'[1]MASTER WORKFILE MY26.2'!$H:$AC,22,0)</f>
        <v>725.2</v>
      </c>
      <c r="M201" s="116">
        <f>VLOOKUP(E201,'North Kite &amp; Foils '!E:M,9,0)</f>
        <v>0</v>
      </c>
      <c r="N201" s="71">
        <f t="shared" si="2"/>
        <v>0</v>
      </c>
      <c r="O201" s="61" t="s">
        <v>1717</v>
      </c>
      <c r="P201" s="61" t="s">
        <v>1717</v>
      </c>
      <c r="Q201" s="61" t="s">
        <v>1625</v>
      </c>
    </row>
    <row r="202" spans="1:17" ht="14.4" x14ac:dyDescent="0.3">
      <c r="A202" s="124">
        <v>190</v>
      </c>
      <c r="B202" s="59" t="s">
        <v>400</v>
      </c>
      <c r="C202" s="59" t="s">
        <v>1</v>
      </c>
      <c r="D202" s="115" t="s">
        <v>437</v>
      </c>
      <c r="E202" s="59" t="s">
        <v>446</v>
      </c>
      <c r="F202" s="115" t="s">
        <v>439</v>
      </c>
      <c r="G202" s="59" t="s">
        <v>58</v>
      </c>
      <c r="H202" s="59" t="s">
        <v>59</v>
      </c>
      <c r="I202" s="115" t="s">
        <v>410</v>
      </c>
      <c r="J202" s="125" t="s">
        <v>101</v>
      </c>
      <c r="K202" s="70">
        <v>1469</v>
      </c>
      <c r="L202" s="139">
        <f>VLOOKUP(E202,'[1]MASTER WORKFILE MY26.2'!$H:$AC,22,0)</f>
        <v>745.4</v>
      </c>
      <c r="M202" s="116">
        <f>VLOOKUP(E202,'North Kite &amp; Foils '!E:M,9,0)</f>
        <v>0</v>
      </c>
      <c r="N202" s="71">
        <f t="shared" si="2"/>
        <v>0</v>
      </c>
      <c r="O202" s="61" t="s">
        <v>1717</v>
      </c>
      <c r="P202" s="61" t="s">
        <v>1717</v>
      </c>
      <c r="Q202" s="61" t="s">
        <v>1625</v>
      </c>
    </row>
    <row r="203" spans="1:17" ht="14.4" x14ac:dyDescent="0.3">
      <c r="A203" s="124">
        <v>191</v>
      </c>
      <c r="B203" s="59" t="s">
        <v>400</v>
      </c>
      <c r="C203" s="59" t="s">
        <v>1</v>
      </c>
      <c r="D203" s="115" t="s">
        <v>401</v>
      </c>
      <c r="E203" s="59" t="s">
        <v>402</v>
      </c>
      <c r="F203" s="115" t="s">
        <v>403</v>
      </c>
      <c r="G203" s="59" t="s">
        <v>30</v>
      </c>
      <c r="H203" s="59" t="s">
        <v>31</v>
      </c>
      <c r="I203" s="115" t="s">
        <v>404</v>
      </c>
      <c r="J203" s="125" t="s">
        <v>101</v>
      </c>
      <c r="K203" s="70">
        <v>1199</v>
      </c>
      <c r="L203" s="139">
        <f>VLOOKUP(E203,'[1]MASTER WORKFILE MY26.2'!$H:$AC,22,0)</f>
        <v>608.4</v>
      </c>
      <c r="M203" s="116">
        <f>VLOOKUP(E203,'North Kite &amp; Foils '!E:M,9,0)</f>
        <v>0</v>
      </c>
      <c r="N203" s="71">
        <f t="shared" si="2"/>
        <v>0</v>
      </c>
      <c r="O203" s="61" t="s">
        <v>1717</v>
      </c>
      <c r="P203" s="61" t="s">
        <v>1717</v>
      </c>
      <c r="Q203" s="61" t="s">
        <v>1625</v>
      </c>
    </row>
    <row r="204" spans="1:17" ht="14.4" x14ac:dyDescent="0.3">
      <c r="A204" s="124">
        <v>192</v>
      </c>
      <c r="B204" s="59" t="s">
        <v>400</v>
      </c>
      <c r="C204" s="59" t="s">
        <v>1</v>
      </c>
      <c r="D204" s="115" t="s">
        <v>401</v>
      </c>
      <c r="E204" s="59" t="s">
        <v>405</v>
      </c>
      <c r="F204" s="115" t="s">
        <v>403</v>
      </c>
      <c r="G204" s="59" t="s">
        <v>30</v>
      </c>
      <c r="H204" s="59" t="s">
        <v>31</v>
      </c>
      <c r="I204" s="115" t="s">
        <v>406</v>
      </c>
      <c r="J204" s="125" t="s">
        <v>101</v>
      </c>
      <c r="K204" s="70">
        <v>1249</v>
      </c>
      <c r="L204" s="139">
        <f>VLOOKUP(E204,'[1]MASTER WORKFILE MY26.2'!$H:$AC,22,0)</f>
        <v>633.80000000000007</v>
      </c>
      <c r="M204" s="116">
        <f>VLOOKUP(E204,'North Kite &amp; Foils '!E:M,9,0)</f>
        <v>0</v>
      </c>
      <c r="N204" s="71">
        <f t="shared" si="2"/>
        <v>0</v>
      </c>
      <c r="O204" s="61" t="s">
        <v>1717</v>
      </c>
      <c r="P204" s="61" t="s">
        <v>1717</v>
      </c>
      <c r="Q204" s="61" t="s">
        <v>1625</v>
      </c>
    </row>
    <row r="205" spans="1:17" ht="14.4" x14ac:dyDescent="0.3">
      <c r="A205" s="124">
        <v>193</v>
      </c>
      <c r="B205" s="59" t="s">
        <v>400</v>
      </c>
      <c r="C205" s="59" t="s">
        <v>1</v>
      </c>
      <c r="D205" s="115" t="s">
        <v>401</v>
      </c>
      <c r="E205" s="59" t="s">
        <v>407</v>
      </c>
      <c r="F205" s="115" t="s">
        <v>403</v>
      </c>
      <c r="G205" s="59" t="s">
        <v>30</v>
      </c>
      <c r="H205" s="59" t="s">
        <v>31</v>
      </c>
      <c r="I205" s="115" t="s">
        <v>408</v>
      </c>
      <c r="J205" s="125" t="s">
        <v>101</v>
      </c>
      <c r="K205" s="70">
        <v>1299</v>
      </c>
      <c r="L205" s="139">
        <f>VLOOKUP(E205,'[1]MASTER WORKFILE MY26.2'!$H:$AC,22,0)</f>
        <v>659.2</v>
      </c>
      <c r="M205" s="116">
        <f>VLOOKUP(E205,'North Kite &amp; Foils '!E:M,9,0)</f>
        <v>0</v>
      </c>
      <c r="N205" s="71">
        <f t="shared" ref="N205:N268" si="3">L205*M205</f>
        <v>0</v>
      </c>
      <c r="O205" s="61" t="s">
        <v>1717</v>
      </c>
      <c r="P205" s="61" t="s">
        <v>1717</v>
      </c>
      <c r="Q205" s="61" t="s">
        <v>1625</v>
      </c>
    </row>
    <row r="206" spans="1:17" ht="14.4" x14ac:dyDescent="0.3">
      <c r="A206" s="124">
        <v>194</v>
      </c>
      <c r="B206" s="59" t="s">
        <v>400</v>
      </c>
      <c r="C206" s="59" t="s">
        <v>1</v>
      </c>
      <c r="D206" s="115" t="s">
        <v>401</v>
      </c>
      <c r="E206" s="59" t="s">
        <v>409</v>
      </c>
      <c r="F206" s="115" t="s">
        <v>403</v>
      </c>
      <c r="G206" s="59" t="s">
        <v>30</v>
      </c>
      <c r="H206" s="59" t="s">
        <v>31</v>
      </c>
      <c r="I206" s="115" t="s">
        <v>410</v>
      </c>
      <c r="J206" s="125" t="s">
        <v>101</v>
      </c>
      <c r="K206" s="70">
        <v>1349</v>
      </c>
      <c r="L206" s="139">
        <f>VLOOKUP(E206,'[1]MASTER WORKFILE MY26.2'!$H:$AC,22,0)</f>
        <v>684.6</v>
      </c>
      <c r="M206" s="116">
        <f>VLOOKUP(E206,'North Kite &amp; Foils '!E:M,9,0)</f>
        <v>0</v>
      </c>
      <c r="N206" s="71">
        <f t="shared" si="3"/>
        <v>0</v>
      </c>
      <c r="O206" s="61" t="s">
        <v>1717</v>
      </c>
      <c r="P206" s="61" t="s">
        <v>1717</v>
      </c>
      <c r="Q206" s="61" t="s">
        <v>1625</v>
      </c>
    </row>
    <row r="207" spans="1:17" ht="14.4" x14ac:dyDescent="0.3">
      <c r="A207" s="124">
        <v>195</v>
      </c>
      <c r="B207" s="59" t="s">
        <v>400</v>
      </c>
      <c r="C207" s="59" t="s">
        <v>1</v>
      </c>
      <c r="D207" s="115" t="s">
        <v>401</v>
      </c>
      <c r="E207" s="59" t="s">
        <v>411</v>
      </c>
      <c r="F207" s="115" t="s">
        <v>403</v>
      </c>
      <c r="G207" s="59" t="s">
        <v>81</v>
      </c>
      <c r="H207" s="59" t="s">
        <v>82</v>
      </c>
      <c r="I207" s="115" t="s">
        <v>60</v>
      </c>
      <c r="J207" s="125" t="s">
        <v>101</v>
      </c>
      <c r="K207" s="70">
        <v>1149</v>
      </c>
      <c r="L207" s="139">
        <f>VLOOKUP(E207,'[1]MASTER WORKFILE MY26.2'!$H:$AC,22,0)</f>
        <v>583.1</v>
      </c>
      <c r="M207" s="116">
        <f>VLOOKUP(E207,'North Kite &amp; Foils '!E:M,9,0)</f>
        <v>0</v>
      </c>
      <c r="N207" s="71">
        <f t="shared" si="3"/>
        <v>0</v>
      </c>
      <c r="O207" s="61" t="s">
        <v>1717</v>
      </c>
      <c r="P207" s="61" t="s">
        <v>1717</v>
      </c>
      <c r="Q207" s="61" t="s">
        <v>1625</v>
      </c>
    </row>
    <row r="208" spans="1:17" ht="14.4" x14ac:dyDescent="0.3">
      <c r="A208" s="124">
        <v>196</v>
      </c>
      <c r="B208" s="59" t="s">
        <v>400</v>
      </c>
      <c r="C208" s="59" t="s">
        <v>1</v>
      </c>
      <c r="D208" s="115" t="s">
        <v>401</v>
      </c>
      <c r="E208" s="59" t="s">
        <v>412</v>
      </c>
      <c r="F208" s="115" t="s">
        <v>403</v>
      </c>
      <c r="G208" s="59" t="s">
        <v>81</v>
      </c>
      <c r="H208" s="59" t="s">
        <v>82</v>
      </c>
      <c r="I208" s="115" t="s">
        <v>404</v>
      </c>
      <c r="J208" s="125" t="s">
        <v>101</v>
      </c>
      <c r="K208" s="70">
        <v>1199</v>
      </c>
      <c r="L208" s="139">
        <f>VLOOKUP(E208,'[1]MASTER WORKFILE MY26.2'!$H:$AC,22,0)</f>
        <v>608.4</v>
      </c>
      <c r="M208" s="116">
        <f>VLOOKUP(E208,'North Kite &amp; Foils '!E:M,9,0)</f>
        <v>0</v>
      </c>
      <c r="N208" s="71">
        <f t="shared" si="3"/>
        <v>0</v>
      </c>
      <c r="O208" s="61" t="s">
        <v>1717</v>
      </c>
      <c r="P208" s="61" t="s">
        <v>1717</v>
      </c>
      <c r="Q208" s="61" t="s">
        <v>1625</v>
      </c>
    </row>
    <row r="209" spans="1:17" ht="14.4" x14ac:dyDescent="0.3">
      <c r="A209" s="124">
        <v>197</v>
      </c>
      <c r="B209" s="59" t="s">
        <v>400</v>
      </c>
      <c r="C209" s="59" t="s">
        <v>1</v>
      </c>
      <c r="D209" s="115" t="s">
        <v>401</v>
      </c>
      <c r="E209" s="59" t="s">
        <v>413</v>
      </c>
      <c r="F209" s="115" t="s">
        <v>403</v>
      </c>
      <c r="G209" s="59" t="s">
        <v>81</v>
      </c>
      <c r="H209" s="59" t="s">
        <v>82</v>
      </c>
      <c r="I209" s="115" t="s">
        <v>406</v>
      </c>
      <c r="J209" s="125" t="s">
        <v>101</v>
      </c>
      <c r="K209" s="70">
        <v>1249</v>
      </c>
      <c r="L209" s="139">
        <f>VLOOKUP(E209,'[1]MASTER WORKFILE MY26.2'!$H:$AC,22,0)</f>
        <v>633.80000000000007</v>
      </c>
      <c r="M209" s="116">
        <f>VLOOKUP(E209,'North Kite &amp; Foils '!E:M,9,0)</f>
        <v>0</v>
      </c>
      <c r="N209" s="71">
        <f t="shared" si="3"/>
        <v>0</v>
      </c>
      <c r="O209" s="61" t="s">
        <v>1717</v>
      </c>
      <c r="P209" s="61" t="s">
        <v>1717</v>
      </c>
      <c r="Q209" s="61" t="s">
        <v>1625</v>
      </c>
    </row>
    <row r="210" spans="1:17" ht="14.4" x14ac:dyDescent="0.3">
      <c r="A210" s="124">
        <v>198</v>
      </c>
      <c r="B210" s="59" t="s">
        <v>400</v>
      </c>
      <c r="C210" s="59" t="s">
        <v>1</v>
      </c>
      <c r="D210" s="115" t="s">
        <v>401</v>
      </c>
      <c r="E210" s="59" t="s">
        <v>414</v>
      </c>
      <c r="F210" s="115" t="s">
        <v>403</v>
      </c>
      <c r="G210" s="59" t="s">
        <v>81</v>
      </c>
      <c r="H210" s="59" t="s">
        <v>82</v>
      </c>
      <c r="I210" s="115" t="s">
        <v>408</v>
      </c>
      <c r="J210" s="125" t="s">
        <v>101</v>
      </c>
      <c r="K210" s="70">
        <v>1299</v>
      </c>
      <c r="L210" s="139">
        <f>VLOOKUP(E210,'[1]MASTER WORKFILE MY26.2'!$H:$AC,22,0)</f>
        <v>659.2</v>
      </c>
      <c r="M210" s="116">
        <f>VLOOKUP(E210,'North Kite &amp; Foils '!E:M,9,0)</f>
        <v>0</v>
      </c>
      <c r="N210" s="71">
        <f t="shared" si="3"/>
        <v>0</v>
      </c>
      <c r="O210" s="61" t="s">
        <v>1717</v>
      </c>
      <c r="P210" s="61" t="s">
        <v>1717</v>
      </c>
      <c r="Q210" s="61" t="s">
        <v>1625</v>
      </c>
    </row>
    <row r="211" spans="1:17" ht="14.4" x14ac:dyDescent="0.3">
      <c r="A211" s="124">
        <v>199</v>
      </c>
      <c r="B211" s="59" t="s">
        <v>400</v>
      </c>
      <c r="C211" s="59" t="s">
        <v>1</v>
      </c>
      <c r="D211" s="115" t="s">
        <v>401</v>
      </c>
      <c r="E211" s="59" t="s">
        <v>415</v>
      </c>
      <c r="F211" s="115" t="s">
        <v>403</v>
      </c>
      <c r="G211" s="59" t="s">
        <v>81</v>
      </c>
      <c r="H211" s="59" t="s">
        <v>82</v>
      </c>
      <c r="I211" s="115" t="s">
        <v>410</v>
      </c>
      <c r="J211" s="125" t="s">
        <v>101</v>
      </c>
      <c r="K211" s="70">
        <v>1349</v>
      </c>
      <c r="L211" s="139">
        <f>VLOOKUP(E211,'[1]MASTER WORKFILE MY26.2'!$H:$AC,22,0)</f>
        <v>684.6</v>
      </c>
      <c r="M211" s="116">
        <f>VLOOKUP(E211,'North Kite &amp; Foils '!E:M,9,0)</f>
        <v>0</v>
      </c>
      <c r="N211" s="71">
        <f t="shared" si="3"/>
        <v>0</v>
      </c>
      <c r="O211" s="61" t="s">
        <v>1717</v>
      </c>
      <c r="P211" s="61" t="s">
        <v>1717</v>
      </c>
      <c r="Q211" s="61" t="s">
        <v>1625</v>
      </c>
    </row>
    <row r="212" spans="1:17" ht="14.4" x14ac:dyDescent="0.3">
      <c r="A212" s="124">
        <v>200</v>
      </c>
      <c r="B212" s="59" t="s">
        <v>400</v>
      </c>
      <c r="C212" s="59" t="s">
        <v>1</v>
      </c>
      <c r="D212" s="115" t="s">
        <v>401</v>
      </c>
      <c r="E212" s="59" t="s">
        <v>416</v>
      </c>
      <c r="F212" s="115" t="s">
        <v>403</v>
      </c>
      <c r="G212" s="59" t="s">
        <v>81</v>
      </c>
      <c r="H212" s="59" t="s">
        <v>82</v>
      </c>
      <c r="I212" s="115" t="s">
        <v>36</v>
      </c>
      <c r="J212" s="125" t="s">
        <v>101</v>
      </c>
      <c r="K212" s="70">
        <v>1399</v>
      </c>
      <c r="L212" s="139">
        <f>VLOOKUP(E212,'[1]MASTER WORKFILE MY26.2'!$H:$AC,22,0)</f>
        <v>709.9</v>
      </c>
      <c r="M212" s="116">
        <f>VLOOKUP(E212,'North Kite &amp; Foils '!E:M,9,0)</f>
        <v>0</v>
      </c>
      <c r="N212" s="71">
        <f t="shared" si="3"/>
        <v>0</v>
      </c>
      <c r="O212" s="61" t="s">
        <v>1717</v>
      </c>
      <c r="P212" s="61" t="s">
        <v>1717</v>
      </c>
      <c r="Q212" s="61" t="s">
        <v>1625</v>
      </c>
    </row>
    <row r="213" spans="1:17" ht="14.4" x14ac:dyDescent="0.3">
      <c r="A213" s="124">
        <v>201</v>
      </c>
      <c r="B213" s="59" t="s">
        <v>400</v>
      </c>
      <c r="C213" s="59" t="s">
        <v>1</v>
      </c>
      <c r="D213" s="115" t="s">
        <v>401</v>
      </c>
      <c r="E213" s="59" t="s">
        <v>417</v>
      </c>
      <c r="F213" s="115" t="s">
        <v>403</v>
      </c>
      <c r="G213" s="59" t="s">
        <v>91</v>
      </c>
      <c r="H213" s="59" t="s">
        <v>92</v>
      </c>
      <c r="I213" s="115" t="s">
        <v>404</v>
      </c>
      <c r="J213" s="125" t="s">
        <v>101</v>
      </c>
      <c r="K213" s="70">
        <v>1199</v>
      </c>
      <c r="L213" s="139">
        <f>VLOOKUP(E213,'[1]MASTER WORKFILE MY26.2'!$H:$AC,22,0)</f>
        <v>608.4</v>
      </c>
      <c r="M213" s="116">
        <f>VLOOKUP(E213,'North Kite &amp; Foils '!E:M,9,0)</f>
        <v>0</v>
      </c>
      <c r="N213" s="71">
        <f t="shared" si="3"/>
        <v>0</v>
      </c>
      <c r="O213" s="61" t="s">
        <v>1717</v>
      </c>
      <c r="P213" s="61" t="s">
        <v>1717</v>
      </c>
      <c r="Q213" s="61" t="s">
        <v>1625</v>
      </c>
    </row>
    <row r="214" spans="1:17" ht="14.4" x14ac:dyDescent="0.3">
      <c r="A214" s="124">
        <v>202</v>
      </c>
      <c r="B214" s="59" t="s">
        <v>400</v>
      </c>
      <c r="C214" s="59" t="s">
        <v>1</v>
      </c>
      <c r="D214" s="115" t="s">
        <v>401</v>
      </c>
      <c r="E214" s="59" t="s">
        <v>418</v>
      </c>
      <c r="F214" s="115" t="s">
        <v>403</v>
      </c>
      <c r="G214" s="59" t="s">
        <v>91</v>
      </c>
      <c r="H214" s="59" t="s">
        <v>92</v>
      </c>
      <c r="I214" s="115" t="s">
        <v>406</v>
      </c>
      <c r="J214" s="125" t="s">
        <v>101</v>
      </c>
      <c r="K214" s="70">
        <v>1249</v>
      </c>
      <c r="L214" s="139">
        <f>VLOOKUP(E214,'[1]MASTER WORKFILE MY26.2'!$H:$AC,22,0)</f>
        <v>633.80000000000007</v>
      </c>
      <c r="M214" s="116">
        <f>VLOOKUP(E214,'North Kite &amp; Foils '!E:M,9,0)</f>
        <v>0</v>
      </c>
      <c r="N214" s="71">
        <f t="shared" si="3"/>
        <v>0</v>
      </c>
      <c r="O214" s="61" t="s">
        <v>1717</v>
      </c>
      <c r="P214" s="61" t="s">
        <v>1717</v>
      </c>
      <c r="Q214" s="61" t="s">
        <v>1625</v>
      </c>
    </row>
    <row r="215" spans="1:17" ht="14.4" x14ac:dyDescent="0.3">
      <c r="A215" s="124">
        <v>203</v>
      </c>
      <c r="B215" s="59" t="s">
        <v>400</v>
      </c>
      <c r="C215" s="59" t="s">
        <v>1</v>
      </c>
      <c r="D215" s="115" t="s">
        <v>401</v>
      </c>
      <c r="E215" s="59" t="s">
        <v>419</v>
      </c>
      <c r="F215" s="115" t="s">
        <v>403</v>
      </c>
      <c r="G215" s="59" t="s">
        <v>91</v>
      </c>
      <c r="H215" s="59" t="s">
        <v>92</v>
      </c>
      <c r="I215" s="115" t="s">
        <v>408</v>
      </c>
      <c r="J215" s="125" t="s">
        <v>101</v>
      </c>
      <c r="K215" s="70">
        <v>1299</v>
      </c>
      <c r="L215" s="139">
        <f>VLOOKUP(E215,'[1]MASTER WORKFILE MY26.2'!$H:$AC,22,0)</f>
        <v>659.2</v>
      </c>
      <c r="M215" s="116">
        <f>VLOOKUP(E215,'North Kite &amp; Foils '!E:M,9,0)</f>
        <v>0</v>
      </c>
      <c r="N215" s="71">
        <f t="shared" si="3"/>
        <v>0</v>
      </c>
      <c r="O215" s="61" t="s">
        <v>1717</v>
      </c>
      <c r="P215" s="61" t="s">
        <v>1717</v>
      </c>
      <c r="Q215" s="61" t="s">
        <v>1625</v>
      </c>
    </row>
    <row r="216" spans="1:17" ht="14.4" x14ac:dyDescent="0.3">
      <c r="A216" s="124">
        <v>204</v>
      </c>
      <c r="B216" s="59" t="s">
        <v>400</v>
      </c>
      <c r="C216" s="59" t="s">
        <v>1</v>
      </c>
      <c r="D216" s="115" t="s">
        <v>401</v>
      </c>
      <c r="E216" s="59" t="s">
        <v>420</v>
      </c>
      <c r="F216" s="115" t="s">
        <v>403</v>
      </c>
      <c r="G216" s="59" t="s">
        <v>91</v>
      </c>
      <c r="H216" s="59" t="s">
        <v>92</v>
      </c>
      <c r="I216" s="115" t="s">
        <v>410</v>
      </c>
      <c r="J216" s="125" t="s">
        <v>101</v>
      </c>
      <c r="K216" s="70">
        <v>1349</v>
      </c>
      <c r="L216" s="139">
        <f>VLOOKUP(E216,'[1]MASTER WORKFILE MY26.2'!$H:$AC,22,0)</f>
        <v>684.6</v>
      </c>
      <c r="M216" s="116">
        <f>VLOOKUP(E216,'North Kite &amp; Foils '!E:M,9,0)</f>
        <v>0</v>
      </c>
      <c r="N216" s="71">
        <f t="shared" si="3"/>
        <v>0</v>
      </c>
      <c r="O216" s="61" t="s">
        <v>1717</v>
      </c>
      <c r="P216" s="61" t="s">
        <v>1717</v>
      </c>
      <c r="Q216" s="61" t="s">
        <v>1625</v>
      </c>
    </row>
    <row r="217" spans="1:17" ht="14.4" x14ac:dyDescent="0.3">
      <c r="A217" s="124">
        <v>205</v>
      </c>
      <c r="B217" s="59" t="s">
        <v>400</v>
      </c>
      <c r="C217" s="59" t="s">
        <v>1</v>
      </c>
      <c r="D217" s="115" t="s">
        <v>447</v>
      </c>
      <c r="E217" s="59" t="s">
        <v>448</v>
      </c>
      <c r="F217" s="115" t="s">
        <v>449</v>
      </c>
      <c r="G217" s="59" t="s">
        <v>58</v>
      </c>
      <c r="H217" s="59" t="s">
        <v>59</v>
      </c>
      <c r="I217" s="115" t="s">
        <v>404</v>
      </c>
      <c r="J217" s="125" t="s">
        <v>101</v>
      </c>
      <c r="K217" s="70">
        <v>1749</v>
      </c>
      <c r="L217" s="139">
        <f>VLOOKUP(E217,'[1]MASTER WORKFILE MY26.2'!$H:$AC,22,0)</f>
        <v>887.5</v>
      </c>
      <c r="M217" s="116">
        <f>VLOOKUP(E217,'North Kite &amp; Foils '!E:M,9,0)</f>
        <v>0</v>
      </c>
      <c r="N217" s="71">
        <f t="shared" si="3"/>
        <v>0</v>
      </c>
      <c r="O217" s="61" t="s">
        <v>1717</v>
      </c>
      <c r="P217" s="61" t="s">
        <v>1717</v>
      </c>
      <c r="Q217" s="61" t="s">
        <v>1625</v>
      </c>
    </row>
    <row r="218" spans="1:17" ht="14.4" x14ac:dyDescent="0.3">
      <c r="A218" s="124">
        <v>206</v>
      </c>
      <c r="B218" s="59" t="s">
        <v>400</v>
      </c>
      <c r="C218" s="59" t="s">
        <v>1</v>
      </c>
      <c r="D218" s="115" t="s">
        <v>447</v>
      </c>
      <c r="E218" s="59" t="s">
        <v>450</v>
      </c>
      <c r="F218" s="115" t="s">
        <v>449</v>
      </c>
      <c r="G218" s="59" t="s">
        <v>58</v>
      </c>
      <c r="H218" s="59" t="s">
        <v>59</v>
      </c>
      <c r="I218" s="115" t="s">
        <v>406</v>
      </c>
      <c r="J218" s="125" t="s">
        <v>101</v>
      </c>
      <c r="K218" s="70">
        <v>1849</v>
      </c>
      <c r="L218" s="139">
        <f>VLOOKUP(E218,'[1]MASTER WORKFILE MY26.2'!$H:$AC,22,0)</f>
        <v>938.30000000000007</v>
      </c>
      <c r="M218" s="116">
        <f>VLOOKUP(E218,'North Kite &amp; Foils '!E:M,9,0)</f>
        <v>0</v>
      </c>
      <c r="N218" s="71">
        <f t="shared" si="3"/>
        <v>0</v>
      </c>
      <c r="O218" s="61" t="s">
        <v>1717</v>
      </c>
      <c r="P218" s="61" t="s">
        <v>1717</v>
      </c>
      <c r="Q218" s="61" t="s">
        <v>1625</v>
      </c>
    </row>
    <row r="219" spans="1:17" ht="14.4" x14ac:dyDescent="0.3">
      <c r="A219" s="124">
        <v>207</v>
      </c>
      <c r="B219" s="59" t="s">
        <v>400</v>
      </c>
      <c r="C219" s="59" t="s">
        <v>1</v>
      </c>
      <c r="D219" s="115" t="s">
        <v>447</v>
      </c>
      <c r="E219" s="59" t="s">
        <v>451</v>
      </c>
      <c r="F219" s="115" t="s">
        <v>449</v>
      </c>
      <c r="G219" s="59" t="s">
        <v>58</v>
      </c>
      <c r="H219" s="59" t="s">
        <v>59</v>
      </c>
      <c r="I219" s="115" t="s">
        <v>408</v>
      </c>
      <c r="J219" s="125" t="s">
        <v>101</v>
      </c>
      <c r="K219" s="70">
        <v>1949</v>
      </c>
      <c r="L219" s="139">
        <f>VLOOKUP(E219,'[1]MASTER WORKFILE MY26.2'!$H:$AC,22,0)</f>
        <v>989</v>
      </c>
      <c r="M219" s="116">
        <f>VLOOKUP(E219,'North Kite &amp; Foils '!E:M,9,0)</f>
        <v>0</v>
      </c>
      <c r="N219" s="71">
        <f t="shared" si="3"/>
        <v>0</v>
      </c>
      <c r="O219" s="61" t="s">
        <v>1717</v>
      </c>
      <c r="P219" s="61" t="s">
        <v>1717</v>
      </c>
      <c r="Q219" s="61" t="s">
        <v>1625</v>
      </c>
    </row>
    <row r="220" spans="1:17" ht="14.4" x14ac:dyDescent="0.3">
      <c r="A220" s="124">
        <v>208</v>
      </c>
      <c r="B220" s="59" t="s">
        <v>400</v>
      </c>
      <c r="C220" s="59" t="s">
        <v>1</v>
      </c>
      <c r="D220" s="115" t="s">
        <v>447</v>
      </c>
      <c r="E220" s="59" t="s">
        <v>452</v>
      </c>
      <c r="F220" s="115" t="s">
        <v>449</v>
      </c>
      <c r="G220" s="59" t="s">
        <v>58</v>
      </c>
      <c r="H220" s="59" t="s">
        <v>59</v>
      </c>
      <c r="I220" s="115" t="s">
        <v>410</v>
      </c>
      <c r="J220" s="125" t="s">
        <v>101</v>
      </c>
      <c r="K220" s="70">
        <v>2049</v>
      </c>
      <c r="L220" s="139">
        <f>VLOOKUP(E220,'[1]MASTER WORKFILE MY26.2'!$H:$AC,22,0)</f>
        <v>1039.8</v>
      </c>
      <c r="M220" s="116">
        <f>VLOOKUP(E220,'North Kite &amp; Foils '!E:M,9,0)</f>
        <v>0</v>
      </c>
      <c r="N220" s="71">
        <f t="shared" si="3"/>
        <v>0</v>
      </c>
      <c r="O220" s="61" t="s">
        <v>1717</v>
      </c>
      <c r="P220" s="61" t="s">
        <v>1717</v>
      </c>
      <c r="Q220" s="61" t="s">
        <v>1625</v>
      </c>
    </row>
    <row r="221" spans="1:17" ht="14.4" x14ac:dyDescent="0.3">
      <c r="A221" s="124">
        <v>209</v>
      </c>
      <c r="B221" s="59" t="s">
        <v>400</v>
      </c>
      <c r="C221" s="59" t="s">
        <v>1</v>
      </c>
      <c r="D221" s="115" t="s">
        <v>447</v>
      </c>
      <c r="E221" s="59" t="s">
        <v>453</v>
      </c>
      <c r="F221" s="115" t="s">
        <v>449</v>
      </c>
      <c r="G221" s="59" t="s">
        <v>58</v>
      </c>
      <c r="H221" s="59" t="s">
        <v>59</v>
      </c>
      <c r="I221" s="115" t="s">
        <v>431</v>
      </c>
      <c r="J221" s="125" t="s">
        <v>101</v>
      </c>
      <c r="K221" s="70">
        <v>2099</v>
      </c>
      <c r="L221" s="139">
        <f>VLOOKUP(E221,'[1]MASTER WORKFILE MY26.2'!$H:$AC,22,0)</f>
        <v>1065.0999999999999</v>
      </c>
      <c r="M221" s="116">
        <f>VLOOKUP(E221,'North Kite &amp; Foils '!E:M,9,0)</f>
        <v>0</v>
      </c>
      <c r="N221" s="71">
        <f t="shared" si="3"/>
        <v>0</v>
      </c>
      <c r="O221" s="61" t="s">
        <v>1717</v>
      </c>
      <c r="P221" s="61" t="s">
        <v>1717</v>
      </c>
      <c r="Q221" s="61" t="s">
        <v>1625</v>
      </c>
    </row>
    <row r="222" spans="1:17" ht="14.4" x14ac:dyDescent="0.3">
      <c r="A222" s="124">
        <v>210</v>
      </c>
      <c r="B222" s="59" t="s">
        <v>400</v>
      </c>
      <c r="C222" s="59" t="s">
        <v>1</v>
      </c>
      <c r="D222" s="115" t="s">
        <v>447</v>
      </c>
      <c r="E222" s="59" t="s">
        <v>454</v>
      </c>
      <c r="F222" s="115" t="s">
        <v>449</v>
      </c>
      <c r="G222" s="59" t="s">
        <v>58</v>
      </c>
      <c r="H222" s="59" t="s">
        <v>59</v>
      </c>
      <c r="I222" s="115" t="s">
        <v>36</v>
      </c>
      <c r="J222" s="125" t="s">
        <v>101</v>
      </c>
      <c r="K222" s="70">
        <v>2149</v>
      </c>
      <c r="L222" s="139">
        <f>VLOOKUP(E222,'[1]MASTER WORKFILE MY26.2'!$H:$AC,22,0)</f>
        <v>1090.5</v>
      </c>
      <c r="M222" s="116">
        <f>VLOOKUP(E222,'North Kite &amp; Foils '!E:M,9,0)</f>
        <v>0</v>
      </c>
      <c r="N222" s="71">
        <f t="shared" si="3"/>
        <v>0</v>
      </c>
      <c r="O222" s="61" t="s">
        <v>1717</v>
      </c>
      <c r="P222" s="61" t="s">
        <v>1717</v>
      </c>
      <c r="Q222" s="61" t="s">
        <v>1625</v>
      </c>
    </row>
    <row r="223" spans="1:17" ht="14.4" x14ac:dyDescent="0.3">
      <c r="A223" s="124">
        <v>211</v>
      </c>
      <c r="B223" s="59" t="s">
        <v>400</v>
      </c>
      <c r="C223" s="59" t="s">
        <v>1</v>
      </c>
      <c r="D223" s="115" t="s">
        <v>421</v>
      </c>
      <c r="E223" s="59" t="s">
        <v>422</v>
      </c>
      <c r="F223" s="115" t="s">
        <v>423</v>
      </c>
      <c r="G223" s="59" t="s">
        <v>58</v>
      </c>
      <c r="H223" s="59" t="s">
        <v>59</v>
      </c>
      <c r="I223" s="115" t="s">
        <v>424</v>
      </c>
      <c r="J223" s="125" t="s">
        <v>26</v>
      </c>
      <c r="K223" s="70">
        <v>1299</v>
      </c>
      <c r="L223" s="139">
        <f>VLOOKUP(E223,'[1]MASTER WORKFILE MY26.2'!$H:$AC,22,0)</f>
        <v>659.2</v>
      </c>
      <c r="M223" s="116">
        <f>VLOOKUP(E223,'North Kite &amp; Foils '!E:M,9,0)</f>
        <v>0</v>
      </c>
      <c r="N223" s="71">
        <f t="shared" si="3"/>
        <v>0</v>
      </c>
      <c r="O223" s="61" t="s">
        <v>1717</v>
      </c>
      <c r="P223" s="61" t="s">
        <v>1717</v>
      </c>
      <c r="Q223" s="61" t="s">
        <v>1625</v>
      </c>
    </row>
    <row r="224" spans="1:17" ht="14.4" x14ac:dyDescent="0.3">
      <c r="A224" s="124">
        <v>212</v>
      </c>
      <c r="B224" s="59" t="s">
        <v>400</v>
      </c>
      <c r="C224" s="59" t="s">
        <v>1</v>
      </c>
      <c r="D224" s="115" t="s">
        <v>421</v>
      </c>
      <c r="E224" s="59" t="s">
        <v>425</v>
      </c>
      <c r="F224" s="115" t="s">
        <v>423</v>
      </c>
      <c r="G224" s="59" t="s">
        <v>58</v>
      </c>
      <c r="H224" s="59" t="s">
        <v>59</v>
      </c>
      <c r="I224" s="115" t="s">
        <v>60</v>
      </c>
      <c r="J224" s="125" t="s">
        <v>26</v>
      </c>
      <c r="K224" s="70">
        <v>1399</v>
      </c>
      <c r="L224" s="139">
        <f>VLOOKUP(E224,'[1]MASTER WORKFILE MY26.2'!$H:$AC,22,0)</f>
        <v>709.9</v>
      </c>
      <c r="M224" s="116">
        <f>VLOOKUP(E224,'North Kite &amp; Foils '!E:M,9,0)</f>
        <v>0</v>
      </c>
      <c r="N224" s="71">
        <f t="shared" si="3"/>
        <v>0</v>
      </c>
      <c r="O224" s="61" t="s">
        <v>1717</v>
      </c>
      <c r="P224" s="61" t="s">
        <v>1717</v>
      </c>
      <c r="Q224" s="61" t="s">
        <v>1625</v>
      </c>
    </row>
    <row r="225" spans="1:17" ht="14.4" x14ac:dyDescent="0.3">
      <c r="A225" s="124">
        <v>213</v>
      </c>
      <c r="B225" s="59" t="s">
        <v>400</v>
      </c>
      <c r="C225" s="59" t="s">
        <v>1</v>
      </c>
      <c r="D225" s="115" t="s">
        <v>421</v>
      </c>
      <c r="E225" s="59" t="s">
        <v>426</v>
      </c>
      <c r="F225" s="115" t="s">
        <v>423</v>
      </c>
      <c r="G225" s="59" t="s">
        <v>58</v>
      </c>
      <c r="H225" s="59" t="s">
        <v>59</v>
      </c>
      <c r="I225" s="115" t="s">
        <v>404</v>
      </c>
      <c r="J225" s="125" t="s">
        <v>26</v>
      </c>
      <c r="K225" s="70">
        <v>1499</v>
      </c>
      <c r="L225" s="139">
        <f>VLOOKUP(E225,'[1]MASTER WORKFILE MY26.2'!$H:$AC,22,0)</f>
        <v>760.7</v>
      </c>
      <c r="M225" s="116">
        <f>VLOOKUP(E225,'North Kite &amp; Foils '!E:M,9,0)</f>
        <v>0</v>
      </c>
      <c r="N225" s="71">
        <f t="shared" si="3"/>
        <v>0</v>
      </c>
      <c r="O225" s="61" t="s">
        <v>1717</v>
      </c>
      <c r="P225" s="61" t="s">
        <v>1717</v>
      </c>
      <c r="Q225" s="61" t="s">
        <v>1625</v>
      </c>
    </row>
    <row r="226" spans="1:17" ht="14.4" x14ac:dyDescent="0.3">
      <c r="A226" s="124">
        <v>214</v>
      </c>
      <c r="B226" s="59" t="s">
        <v>400</v>
      </c>
      <c r="C226" s="59" t="s">
        <v>1</v>
      </c>
      <c r="D226" s="115" t="s">
        <v>421</v>
      </c>
      <c r="E226" s="59" t="s">
        <v>427</v>
      </c>
      <c r="F226" s="115" t="s">
        <v>423</v>
      </c>
      <c r="G226" s="59" t="s">
        <v>58</v>
      </c>
      <c r="H226" s="59" t="s">
        <v>59</v>
      </c>
      <c r="I226" s="115" t="s">
        <v>406</v>
      </c>
      <c r="J226" s="125" t="s">
        <v>26</v>
      </c>
      <c r="K226" s="70">
        <v>1549</v>
      </c>
      <c r="L226" s="139">
        <f>VLOOKUP(E226,'[1]MASTER WORKFILE MY26.2'!$H:$AC,22,0)</f>
        <v>786</v>
      </c>
      <c r="M226" s="116">
        <f>VLOOKUP(E226,'North Kite &amp; Foils '!E:M,9,0)</f>
        <v>0</v>
      </c>
      <c r="N226" s="71">
        <f t="shared" si="3"/>
        <v>0</v>
      </c>
      <c r="O226" s="61" t="s">
        <v>1717</v>
      </c>
      <c r="P226" s="61" t="s">
        <v>1717</v>
      </c>
      <c r="Q226" s="61" t="s">
        <v>1625</v>
      </c>
    </row>
    <row r="227" spans="1:17" ht="14.4" x14ac:dyDescent="0.3">
      <c r="A227" s="124">
        <v>215</v>
      </c>
      <c r="B227" s="59" t="s">
        <v>400</v>
      </c>
      <c r="C227" s="59" t="s">
        <v>1</v>
      </c>
      <c r="D227" s="115" t="s">
        <v>421</v>
      </c>
      <c r="E227" s="59" t="s">
        <v>428</v>
      </c>
      <c r="F227" s="115" t="s">
        <v>423</v>
      </c>
      <c r="G227" s="59" t="s">
        <v>58</v>
      </c>
      <c r="H227" s="59" t="s">
        <v>59</v>
      </c>
      <c r="I227" s="115" t="s">
        <v>429</v>
      </c>
      <c r="J227" s="125" t="s">
        <v>26</v>
      </c>
      <c r="K227" s="70">
        <v>1599</v>
      </c>
      <c r="L227" s="139">
        <f>VLOOKUP(E227,'[1]MASTER WORKFILE MY26.2'!$H:$AC,22,0)</f>
        <v>811.4</v>
      </c>
      <c r="M227" s="116">
        <f>VLOOKUP(E227,'North Kite &amp; Foils '!E:M,9,0)</f>
        <v>0</v>
      </c>
      <c r="N227" s="71">
        <f t="shared" si="3"/>
        <v>0</v>
      </c>
      <c r="O227" s="61" t="s">
        <v>1717</v>
      </c>
      <c r="P227" s="61" t="s">
        <v>1717</v>
      </c>
      <c r="Q227" s="61" t="s">
        <v>1625</v>
      </c>
    </row>
    <row r="228" spans="1:17" ht="14.4" x14ac:dyDescent="0.3">
      <c r="A228" s="124">
        <v>216</v>
      </c>
      <c r="B228" s="59" t="s">
        <v>400</v>
      </c>
      <c r="C228" s="59" t="s">
        <v>1</v>
      </c>
      <c r="D228" s="115" t="s">
        <v>421</v>
      </c>
      <c r="E228" s="59" t="s">
        <v>430</v>
      </c>
      <c r="F228" s="115" t="s">
        <v>423</v>
      </c>
      <c r="G228" s="59" t="s">
        <v>58</v>
      </c>
      <c r="H228" s="59" t="s">
        <v>59</v>
      </c>
      <c r="I228" s="115" t="s">
        <v>431</v>
      </c>
      <c r="J228" s="125" t="s">
        <v>26</v>
      </c>
      <c r="K228" s="70">
        <v>1649</v>
      </c>
      <c r="L228" s="139">
        <f>VLOOKUP(E228,'[1]MASTER WORKFILE MY26.2'!$H:$AC,22,0)</f>
        <v>836.80000000000007</v>
      </c>
      <c r="M228" s="116">
        <f>VLOOKUP(E228,'North Kite &amp; Foils '!E:M,9,0)</f>
        <v>0</v>
      </c>
      <c r="N228" s="71">
        <f t="shared" si="3"/>
        <v>0</v>
      </c>
      <c r="O228" s="61" t="s">
        <v>1717</v>
      </c>
      <c r="P228" s="61" t="s">
        <v>1717</v>
      </c>
      <c r="Q228" s="61" t="s">
        <v>1625</v>
      </c>
    </row>
    <row r="229" spans="1:17" ht="14.4" x14ac:dyDescent="0.3">
      <c r="A229" s="124">
        <v>217</v>
      </c>
      <c r="B229" s="59" t="s">
        <v>400</v>
      </c>
      <c r="C229" s="59" t="s">
        <v>1</v>
      </c>
      <c r="D229" s="115" t="s">
        <v>432</v>
      </c>
      <c r="E229" s="59" t="s">
        <v>433</v>
      </c>
      <c r="F229" s="115" t="s">
        <v>434</v>
      </c>
      <c r="G229" s="59" t="s">
        <v>58</v>
      </c>
      <c r="H229" s="59" t="s">
        <v>59</v>
      </c>
      <c r="I229" s="147" t="s">
        <v>34</v>
      </c>
      <c r="J229" s="125" t="s">
        <v>101</v>
      </c>
      <c r="K229" s="70">
        <v>1679</v>
      </c>
      <c r="L229" s="139">
        <f>VLOOKUP(E229,'[1]MASTER WORKFILE MY26.2'!$H:$AC,22,0)</f>
        <v>852</v>
      </c>
      <c r="M229" s="116">
        <f>VLOOKUP(E229,'North Kite &amp; Foils '!E:M,9,0)</f>
        <v>0</v>
      </c>
      <c r="N229" s="71">
        <f t="shared" si="3"/>
        <v>0</v>
      </c>
      <c r="O229" s="61" t="s">
        <v>1717</v>
      </c>
      <c r="P229" s="61" t="s">
        <v>1717</v>
      </c>
      <c r="Q229" s="61" t="s">
        <v>1625</v>
      </c>
    </row>
    <row r="230" spans="1:17" ht="14.4" x14ac:dyDescent="0.3">
      <c r="A230" s="124">
        <v>218</v>
      </c>
      <c r="B230" s="59" t="s">
        <v>400</v>
      </c>
      <c r="C230" s="59" t="s">
        <v>1</v>
      </c>
      <c r="D230" s="115" t="s">
        <v>432</v>
      </c>
      <c r="E230" s="59" t="s">
        <v>435</v>
      </c>
      <c r="F230" s="115" t="s">
        <v>434</v>
      </c>
      <c r="G230" s="59" t="s">
        <v>58</v>
      </c>
      <c r="H230" s="59" t="s">
        <v>59</v>
      </c>
      <c r="I230" s="115" t="s">
        <v>36</v>
      </c>
      <c r="J230" s="125" t="s">
        <v>101</v>
      </c>
      <c r="K230" s="70">
        <v>1739</v>
      </c>
      <c r="L230" s="139">
        <f>VLOOKUP(E230,'[1]MASTER WORKFILE MY26.2'!$H:$AC,22,0)</f>
        <v>882.5</v>
      </c>
      <c r="M230" s="116">
        <f>VLOOKUP(E230,'North Kite &amp; Foils '!E:M,9,0)</f>
        <v>0</v>
      </c>
      <c r="N230" s="71">
        <f t="shared" si="3"/>
        <v>0</v>
      </c>
      <c r="O230" s="61" t="s">
        <v>1717</v>
      </c>
      <c r="P230" s="61" t="s">
        <v>1717</v>
      </c>
      <c r="Q230" s="61" t="s">
        <v>1625</v>
      </c>
    </row>
    <row r="231" spans="1:17" ht="14.4" x14ac:dyDescent="0.3">
      <c r="A231" s="124">
        <v>219</v>
      </c>
      <c r="B231" s="59" t="s">
        <v>400</v>
      </c>
      <c r="C231" s="59" t="s">
        <v>1</v>
      </c>
      <c r="D231" s="115" t="s">
        <v>432</v>
      </c>
      <c r="E231" s="59" t="s">
        <v>436</v>
      </c>
      <c r="F231" s="115" t="s">
        <v>434</v>
      </c>
      <c r="G231" s="59" t="s">
        <v>58</v>
      </c>
      <c r="H231" s="59" t="s">
        <v>59</v>
      </c>
      <c r="I231" s="115" t="s">
        <v>38</v>
      </c>
      <c r="J231" s="125" t="s">
        <v>101</v>
      </c>
      <c r="K231" s="70">
        <v>1799</v>
      </c>
      <c r="L231" s="139">
        <f>VLOOKUP(E231,'[1]MASTER WORKFILE MY26.2'!$H:$AC,22,0)</f>
        <v>912.9</v>
      </c>
      <c r="M231" s="116">
        <f>VLOOKUP(E231,'North Kite &amp; Foils '!E:M,9,0)</f>
        <v>0</v>
      </c>
      <c r="N231" s="71">
        <f t="shared" si="3"/>
        <v>0</v>
      </c>
      <c r="O231" s="61" t="s">
        <v>1717</v>
      </c>
      <c r="P231" s="61" t="s">
        <v>1717</v>
      </c>
      <c r="Q231" s="61" t="s">
        <v>1625</v>
      </c>
    </row>
    <row r="232" spans="1:17" ht="14.4" x14ac:dyDescent="0.3">
      <c r="A232" s="124">
        <v>220</v>
      </c>
      <c r="B232" s="59" t="s">
        <v>400</v>
      </c>
      <c r="C232" s="59" t="s">
        <v>1</v>
      </c>
      <c r="D232" s="115" t="s">
        <v>465</v>
      </c>
      <c r="E232" s="59" t="s">
        <v>466</v>
      </c>
      <c r="F232" s="115" t="s">
        <v>467</v>
      </c>
      <c r="G232" s="59" t="s">
        <v>468</v>
      </c>
      <c r="H232" s="59" t="s">
        <v>469</v>
      </c>
      <c r="I232" s="115" t="s">
        <v>470</v>
      </c>
      <c r="J232" s="125" t="s">
        <v>101</v>
      </c>
      <c r="K232" s="70">
        <v>849</v>
      </c>
      <c r="L232" s="139">
        <f>VLOOKUP(E232,'[1]MASTER WORKFILE MY26.2'!$H:$AC,22,0)</f>
        <v>430.8</v>
      </c>
      <c r="M232" s="116">
        <f>VLOOKUP(E232,'North Kite &amp; Foils '!E:M,9,0)</f>
        <v>0</v>
      </c>
      <c r="N232" s="71">
        <f t="shared" si="3"/>
        <v>0</v>
      </c>
      <c r="O232" s="61" t="s">
        <v>1717</v>
      </c>
      <c r="P232" s="61" t="s">
        <v>1717</v>
      </c>
      <c r="Q232" s="61" t="s">
        <v>1625</v>
      </c>
    </row>
    <row r="233" spans="1:17" ht="14.4" x14ac:dyDescent="0.3">
      <c r="A233" s="124">
        <v>221</v>
      </c>
      <c r="B233" s="59" t="s">
        <v>400</v>
      </c>
      <c r="C233" s="59" t="s">
        <v>1</v>
      </c>
      <c r="D233" s="115" t="s">
        <v>465</v>
      </c>
      <c r="E233" s="59" t="s">
        <v>471</v>
      </c>
      <c r="F233" s="115" t="s">
        <v>467</v>
      </c>
      <c r="G233" s="59" t="s">
        <v>468</v>
      </c>
      <c r="H233" s="59" t="s">
        <v>469</v>
      </c>
      <c r="I233" s="115" t="s">
        <v>424</v>
      </c>
      <c r="J233" s="125" t="s">
        <v>101</v>
      </c>
      <c r="K233" s="70">
        <v>889</v>
      </c>
      <c r="L233" s="139">
        <f>VLOOKUP(E233,'[1]MASTER WORKFILE MY26.2'!$H:$AC,22,0)</f>
        <v>451.1</v>
      </c>
      <c r="M233" s="116">
        <f>VLOOKUP(E233,'North Kite &amp; Foils '!E:M,9,0)</f>
        <v>0</v>
      </c>
      <c r="N233" s="71">
        <f t="shared" si="3"/>
        <v>0</v>
      </c>
      <c r="O233" s="61" t="s">
        <v>1717</v>
      </c>
      <c r="P233" s="61" t="s">
        <v>1717</v>
      </c>
      <c r="Q233" s="61" t="s">
        <v>1625</v>
      </c>
    </row>
    <row r="234" spans="1:17" ht="14.4" x14ac:dyDescent="0.3">
      <c r="A234" s="124">
        <v>222</v>
      </c>
      <c r="B234" s="59" t="s">
        <v>400</v>
      </c>
      <c r="C234" s="59" t="s">
        <v>1</v>
      </c>
      <c r="D234" s="115" t="s">
        <v>465</v>
      </c>
      <c r="E234" s="59" t="s">
        <v>472</v>
      </c>
      <c r="F234" s="115" t="s">
        <v>467</v>
      </c>
      <c r="G234" s="59" t="s">
        <v>468</v>
      </c>
      <c r="H234" s="59" t="s">
        <v>469</v>
      </c>
      <c r="I234" s="115" t="s">
        <v>60</v>
      </c>
      <c r="J234" s="125" t="s">
        <v>101</v>
      </c>
      <c r="K234" s="70">
        <v>929</v>
      </c>
      <c r="L234" s="139">
        <f>VLOOKUP(E234,'[1]MASTER WORKFILE MY26.2'!$H:$AC,22,0)</f>
        <v>471.40000000000003</v>
      </c>
      <c r="M234" s="116">
        <f>VLOOKUP(E234,'North Kite &amp; Foils '!E:M,9,0)</f>
        <v>0</v>
      </c>
      <c r="N234" s="71">
        <f t="shared" si="3"/>
        <v>0</v>
      </c>
      <c r="O234" s="61" t="s">
        <v>1717</v>
      </c>
      <c r="P234" s="61" t="s">
        <v>1717</v>
      </c>
      <c r="Q234" s="61" t="s">
        <v>1625</v>
      </c>
    </row>
    <row r="235" spans="1:17" ht="14.4" x14ac:dyDescent="0.3">
      <c r="A235" s="124">
        <v>223</v>
      </c>
      <c r="B235" s="59" t="s">
        <v>400</v>
      </c>
      <c r="C235" s="59" t="s">
        <v>1</v>
      </c>
      <c r="D235" s="115" t="s">
        <v>465</v>
      </c>
      <c r="E235" s="59" t="s">
        <v>473</v>
      </c>
      <c r="F235" s="115" t="s">
        <v>467</v>
      </c>
      <c r="G235" s="59" t="s">
        <v>468</v>
      </c>
      <c r="H235" s="59" t="s">
        <v>469</v>
      </c>
      <c r="I235" s="115" t="s">
        <v>404</v>
      </c>
      <c r="J235" s="125" t="s">
        <v>101</v>
      </c>
      <c r="K235" s="70">
        <v>969</v>
      </c>
      <c r="L235" s="139">
        <f>VLOOKUP(E235,'[1]MASTER WORKFILE MY26.2'!$H:$AC,22,0)</f>
        <v>491.70000000000005</v>
      </c>
      <c r="M235" s="116">
        <f>VLOOKUP(E235,'North Kite &amp; Foils '!E:M,9,0)</f>
        <v>0</v>
      </c>
      <c r="N235" s="71">
        <f t="shared" si="3"/>
        <v>0</v>
      </c>
      <c r="O235" s="61" t="s">
        <v>1717</v>
      </c>
      <c r="P235" s="61" t="s">
        <v>1717</v>
      </c>
      <c r="Q235" s="61" t="s">
        <v>1625</v>
      </c>
    </row>
    <row r="236" spans="1:17" ht="14.4" x14ac:dyDescent="0.3">
      <c r="A236" s="124">
        <v>224</v>
      </c>
      <c r="B236" s="59" t="s">
        <v>400</v>
      </c>
      <c r="C236" s="59" t="s">
        <v>1</v>
      </c>
      <c r="D236" s="115" t="s">
        <v>465</v>
      </c>
      <c r="E236" s="59" t="s">
        <v>474</v>
      </c>
      <c r="F236" s="115" t="s">
        <v>467</v>
      </c>
      <c r="G236" s="59" t="s">
        <v>468</v>
      </c>
      <c r="H236" s="59" t="s">
        <v>469</v>
      </c>
      <c r="I236" s="115" t="s">
        <v>475</v>
      </c>
      <c r="J236" s="125" t="s">
        <v>101</v>
      </c>
      <c r="K236" s="70">
        <v>1009</v>
      </c>
      <c r="L236" s="139">
        <f>VLOOKUP(E236,'[1]MASTER WORKFILE MY26.2'!$H:$AC,22,0)</f>
        <v>512</v>
      </c>
      <c r="M236" s="116">
        <f>VLOOKUP(E236,'North Kite &amp; Foils '!E:M,9,0)</f>
        <v>0</v>
      </c>
      <c r="N236" s="71">
        <f t="shared" si="3"/>
        <v>0</v>
      </c>
      <c r="O236" s="61" t="s">
        <v>1717</v>
      </c>
      <c r="P236" s="61" t="s">
        <v>1717</v>
      </c>
      <c r="Q236" s="61" t="s">
        <v>1625</v>
      </c>
    </row>
    <row r="237" spans="1:17" ht="14.4" x14ac:dyDescent="0.3">
      <c r="A237" s="124">
        <v>225</v>
      </c>
      <c r="B237" s="59" t="s">
        <v>400</v>
      </c>
      <c r="C237" s="59" t="s">
        <v>1</v>
      </c>
      <c r="D237" s="115" t="s">
        <v>465</v>
      </c>
      <c r="E237" s="59" t="s">
        <v>476</v>
      </c>
      <c r="F237" s="115" t="s">
        <v>467</v>
      </c>
      <c r="G237" s="59" t="s">
        <v>468</v>
      </c>
      <c r="H237" s="59" t="s">
        <v>469</v>
      </c>
      <c r="I237" s="115" t="s">
        <v>34</v>
      </c>
      <c r="J237" s="125" t="s">
        <v>101</v>
      </c>
      <c r="K237" s="70">
        <v>1049</v>
      </c>
      <c r="L237" s="139">
        <f>VLOOKUP(E237,'[1]MASTER WORKFILE MY26.2'!$H:$AC,22,0)</f>
        <v>532.30000000000007</v>
      </c>
      <c r="M237" s="116">
        <f>VLOOKUP(E237,'North Kite &amp; Foils '!E:M,9,0)</f>
        <v>0</v>
      </c>
      <c r="N237" s="71">
        <f t="shared" si="3"/>
        <v>0</v>
      </c>
      <c r="O237" s="61" t="s">
        <v>1717</v>
      </c>
      <c r="P237" s="61" t="s">
        <v>1717</v>
      </c>
      <c r="Q237" s="61" t="s">
        <v>1625</v>
      </c>
    </row>
    <row r="238" spans="1:17" ht="14.4" x14ac:dyDescent="0.3">
      <c r="A238" s="124">
        <v>226</v>
      </c>
      <c r="B238" s="59" t="s">
        <v>400</v>
      </c>
      <c r="C238" s="59" t="s">
        <v>1</v>
      </c>
      <c r="D238" s="115" t="s">
        <v>455</v>
      </c>
      <c r="E238" s="59" t="s">
        <v>456</v>
      </c>
      <c r="F238" s="115" t="s">
        <v>457</v>
      </c>
      <c r="G238" s="59" t="s">
        <v>458</v>
      </c>
      <c r="H238" s="59" t="s">
        <v>459</v>
      </c>
      <c r="I238" s="115" t="s">
        <v>440</v>
      </c>
      <c r="J238" s="125" t="s">
        <v>26</v>
      </c>
      <c r="K238" s="70">
        <v>599</v>
      </c>
      <c r="L238" s="139">
        <f>VLOOKUP(E238,'[1]MASTER WORKFILE MY26.2'!$H:$AC,22,0)</f>
        <v>304</v>
      </c>
      <c r="M238" s="116">
        <f>VLOOKUP(E238,'North Kite &amp; Foils '!E:M,9,0)</f>
        <v>0</v>
      </c>
      <c r="N238" s="71">
        <f t="shared" si="3"/>
        <v>0</v>
      </c>
      <c r="O238" s="61" t="s">
        <v>1717</v>
      </c>
      <c r="P238" s="61" t="s">
        <v>1717</v>
      </c>
      <c r="Q238" s="61" t="s">
        <v>1625</v>
      </c>
    </row>
    <row r="239" spans="1:17" ht="14.4" x14ac:dyDescent="0.3">
      <c r="A239" s="124">
        <v>227</v>
      </c>
      <c r="B239" s="59" t="s">
        <v>400</v>
      </c>
      <c r="C239" s="59" t="s">
        <v>1</v>
      </c>
      <c r="D239" s="115" t="s">
        <v>455</v>
      </c>
      <c r="E239" s="59" t="s">
        <v>460</v>
      </c>
      <c r="F239" s="115" t="s">
        <v>457</v>
      </c>
      <c r="G239" s="59" t="s">
        <v>458</v>
      </c>
      <c r="H239" s="59" t="s">
        <v>459</v>
      </c>
      <c r="I239" s="115" t="s">
        <v>461</v>
      </c>
      <c r="J239" s="125" t="s">
        <v>26</v>
      </c>
      <c r="K239" s="70">
        <v>649</v>
      </c>
      <c r="L239" s="139">
        <f>VLOOKUP(E239,'[1]MASTER WORKFILE MY26.2'!$H:$AC,22,0)</f>
        <v>329.40000000000003</v>
      </c>
      <c r="M239" s="116">
        <f>VLOOKUP(E239,'North Kite &amp; Foils '!E:M,9,0)</f>
        <v>0</v>
      </c>
      <c r="N239" s="71">
        <f t="shared" si="3"/>
        <v>0</v>
      </c>
      <c r="O239" s="61" t="s">
        <v>1717</v>
      </c>
      <c r="P239" s="61" t="s">
        <v>1717</v>
      </c>
      <c r="Q239" s="61" t="s">
        <v>1625</v>
      </c>
    </row>
    <row r="240" spans="1:17" ht="14.4" x14ac:dyDescent="0.3">
      <c r="A240" s="124">
        <v>228</v>
      </c>
      <c r="B240" s="59" t="s">
        <v>400</v>
      </c>
      <c r="C240" s="59" t="s">
        <v>1</v>
      </c>
      <c r="D240" s="115" t="s">
        <v>455</v>
      </c>
      <c r="E240" s="59" t="s">
        <v>462</v>
      </c>
      <c r="F240" s="115" t="s">
        <v>457</v>
      </c>
      <c r="G240" s="59" t="s">
        <v>458</v>
      </c>
      <c r="H240" s="59" t="s">
        <v>459</v>
      </c>
      <c r="I240" s="115" t="s">
        <v>404</v>
      </c>
      <c r="J240" s="125" t="s">
        <v>26</v>
      </c>
      <c r="K240" s="70">
        <v>699</v>
      </c>
      <c r="L240" s="139">
        <f>VLOOKUP(E240,'[1]MASTER WORKFILE MY26.2'!$H:$AC,22,0)</f>
        <v>354.70000000000005</v>
      </c>
      <c r="M240" s="116">
        <f>VLOOKUP(E240,'North Kite &amp; Foils '!E:M,9,0)</f>
        <v>0</v>
      </c>
      <c r="N240" s="71">
        <f t="shared" si="3"/>
        <v>0</v>
      </c>
      <c r="O240" s="61" t="s">
        <v>1717</v>
      </c>
      <c r="P240" s="61" t="s">
        <v>1717</v>
      </c>
      <c r="Q240" s="61" t="s">
        <v>1625</v>
      </c>
    </row>
    <row r="241" spans="1:17" ht="14.4" x14ac:dyDescent="0.3">
      <c r="A241" s="124">
        <v>229</v>
      </c>
      <c r="B241" s="59" t="s">
        <v>400</v>
      </c>
      <c r="C241" s="59" t="s">
        <v>1</v>
      </c>
      <c r="D241" s="115" t="s">
        <v>455</v>
      </c>
      <c r="E241" s="59" t="s">
        <v>463</v>
      </c>
      <c r="F241" s="115" t="s">
        <v>457</v>
      </c>
      <c r="G241" s="59" t="s">
        <v>458</v>
      </c>
      <c r="H241" s="59" t="s">
        <v>459</v>
      </c>
      <c r="I241" s="115" t="s">
        <v>464</v>
      </c>
      <c r="J241" s="125" t="s">
        <v>26</v>
      </c>
      <c r="K241" s="70">
        <v>749</v>
      </c>
      <c r="L241" s="139">
        <f>VLOOKUP(E241,'[1]MASTER WORKFILE MY26.2'!$H:$AC,22,0)</f>
        <v>380.1</v>
      </c>
      <c r="M241" s="116">
        <f>VLOOKUP(E241,'North Kite &amp; Foils '!E:M,9,0)</f>
        <v>0</v>
      </c>
      <c r="N241" s="71">
        <f t="shared" si="3"/>
        <v>0</v>
      </c>
      <c r="O241" s="61" t="s">
        <v>1717</v>
      </c>
      <c r="P241" s="61" t="s">
        <v>1717</v>
      </c>
      <c r="Q241" s="61" t="s">
        <v>1625</v>
      </c>
    </row>
    <row r="242" spans="1:17" ht="14.4" x14ac:dyDescent="0.3">
      <c r="A242" s="124">
        <v>230</v>
      </c>
      <c r="B242" s="59" t="s">
        <v>492</v>
      </c>
      <c r="C242" s="59" t="s">
        <v>1</v>
      </c>
      <c r="D242" s="115" t="s">
        <v>493</v>
      </c>
      <c r="E242" s="59" t="s">
        <v>494</v>
      </c>
      <c r="F242" s="115" t="s">
        <v>495</v>
      </c>
      <c r="G242" s="59" t="s">
        <v>161</v>
      </c>
      <c r="H242" s="59" t="s">
        <v>162</v>
      </c>
      <c r="I242" s="115" t="s">
        <v>280</v>
      </c>
      <c r="J242" s="125" t="s">
        <v>26</v>
      </c>
      <c r="K242" s="70">
        <v>69</v>
      </c>
      <c r="L242" s="139">
        <f>VLOOKUP(E242,'[1]MASTER WORKFILE MY26.2'!$H:$AC,22,0)</f>
        <v>39</v>
      </c>
      <c r="M242" s="116">
        <f>VLOOKUP(E242,'North Kite &amp; Foils '!E:M,9,0)</f>
        <v>0</v>
      </c>
      <c r="N242" s="71">
        <f t="shared" si="3"/>
        <v>0</v>
      </c>
      <c r="O242" s="61"/>
      <c r="P242" s="61"/>
      <c r="Q242" s="61" t="s">
        <v>1750</v>
      </c>
    </row>
    <row r="243" spans="1:17" ht="14.4" x14ac:dyDescent="0.3">
      <c r="A243" s="124">
        <v>231</v>
      </c>
      <c r="B243" s="15" t="s">
        <v>492</v>
      </c>
      <c r="C243" s="15" t="s">
        <v>1</v>
      </c>
      <c r="D243" s="16" t="s">
        <v>1805</v>
      </c>
      <c r="E243" s="16" t="s">
        <v>1806</v>
      </c>
      <c r="F243" s="15" t="s">
        <v>1807</v>
      </c>
      <c r="G243" s="16" t="s">
        <v>161</v>
      </c>
      <c r="H243" s="15" t="s">
        <v>162</v>
      </c>
      <c r="I243" s="15" t="s">
        <v>280</v>
      </c>
      <c r="J243" s="125" t="s">
        <v>1808</v>
      </c>
      <c r="K243" s="70">
        <v>69</v>
      </c>
      <c r="L243" s="139">
        <f>VLOOKUP(E243,'[1]MASTER WORKFILE MY26.2'!$H:$AC,22,0)</f>
        <v>39</v>
      </c>
      <c r="M243" s="116">
        <f>VLOOKUP(E243,'North Kite &amp; Foils '!E:M,9,0)</f>
        <v>0</v>
      </c>
      <c r="N243" s="71">
        <f t="shared" si="3"/>
        <v>0</v>
      </c>
      <c r="O243" s="61"/>
      <c r="P243" s="61"/>
      <c r="Q243" s="61" t="s">
        <v>1750</v>
      </c>
    </row>
    <row r="244" spans="1:17" ht="14.4" x14ac:dyDescent="0.3">
      <c r="A244" s="124">
        <v>232</v>
      </c>
      <c r="B244" s="59" t="s">
        <v>477</v>
      </c>
      <c r="C244" s="59" t="s">
        <v>1</v>
      </c>
      <c r="D244" s="115" t="s">
        <v>478</v>
      </c>
      <c r="E244" s="59" t="s">
        <v>479</v>
      </c>
      <c r="F244" s="115" t="s">
        <v>480</v>
      </c>
      <c r="G244" s="59" t="s">
        <v>133</v>
      </c>
      <c r="H244" s="59" t="s">
        <v>134</v>
      </c>
      <c r="I244" s="115" t="s">
        <v>357</v>
      </c>
      <c r="J244" s="125" t="s">
        <v>26</v>
      </c>
      <c r="K244" s="70">
        <v>80</v>
      </c>
      <c r="L244" s="139">
        <f>VLOOKUP(E244,'[1]MASTER WORKFILE MY26.2'!$H:$AC,22,0)</f>
        <v>45.2</v>
      </c>
      <c r="M244" s="116">
        <f>VLOOKUP(E244,'North Kite &amp; Foils '!E:M,9,0)</f>
        <v>0</v>
      </c>
      <c r="N244" s="71">
        <f t="shared" si="3"/>
        <v>0</v>
      </c>
      <c r="O244" s="61" t="s">
        <v>13</v>
      </c>
      <c r="P244" s="61" t="s">
        <v>13</v>
      </c>
      <c r="Q244" s="61" t="s">
        <v>1625</v>
      </c>
    </row>
    <row r="245" spans="1:17" ht="14.4" x14ac:dyDescent="0.3">
      <c r="A245" s="124">
        <v>233</v>
      </c>
      <c r="B245" s="59" t="s">
        <v>477</v>
      </c>
      <c r="C245" s="59" t="s">
        <v>1</v>
      </c>
      <c r="D245" s="115" t="s">
        <v>478</v>
      </c>
      <c r="E245" s="59" t="s">
        <v>481</v>
      </c>
      <c r="F245" s="115" t="s">
        <v>480</v>
      </c>
      <c r="G245" s="59" t="s">
        <v>133</v>
      </c>
      <c r="H245" s="59" t="s">
        <v>134</v>
      </c>
      <c r="I245" s="115" t="s">
        <v>482</v>
      </c>
      <c r="J245" s="125" t="s">
        <v>26</v>
      </c>
      <c r="K245" s="70">
        <v>85</v>
      </c>
      <c r="L245" s="139">
        <f>VLOOKUP(E245,'[1]MASTER WORKFILE MY26.2'!$H:$AC,22,0)</f>
        <v>48</v>
      </c>
      <c r="M245" s="116">
        <f>VLOOKUP(E245,'North Kite &amp; Foils '!E:M,9,0)</f>
        <v>0</v>
      </c>
      <c r="N245" s="71">
        <f t="shared" si="3"/>
        <v>0</v>
      </c>
      <c r="O245" s="61" t="s">
        <v>13</v>
      </c>
      <c r="P245" s="61" t="s">
        <v>13</v>
      </c>
      <c r="Q245" s="61" t="s">
        <v>1625</v>
      </c>
    </row>
    <row r="246" spans="1:17" ht="14.4" x14ac:dyDescent="0.3">
      <c r="A246" s="124">
        <v>234</v>
      </c>
      <c r="B246" s="59" t="s">
        <v>477</v>
      </c>
      <c r="C246" s="59" t="s">
        <v>1</v>
      </c>
      <c r="D246" s="115" t="s">
        <v>478</v>
      </c>
      <c r="E246" s="59" t="s">
        <v>483</v>
      </c>
      <c r="F246" s="115" t="s">
        <v>480</v>
      </c>
      <c r="G246" s="59" t="s">
        <v>133</v>
      </c>
      <c r="H246" s="59" t="s">
        <v>134</v>
      </c>
      <c r="I246" s="115" t="s">
        <v>484</v>
      </c>
      <c r="J246" s="125" t="s">
        <v>26</v>
      </c>
      <c r="K246" s="70">
        <v>97.5</v>
      </c>
      <c r="L246" s="139">
        <f>VLOOKUP(E246,'[1]MASTER WORKFILE MY26.2'!$H:$AC,22,0)</f>
        <v>55.1</v>
      </c>
      <c r="M246" s="116">
        <f>VLOOKUP(E246,'North Kite &amp; Foils '!E:M,9,0)</f>
        <v>0</v>
      </c>
      <c r="N246" s="71">
        <f t="shared" si="3"/>
        <v>0</v>
      </c>
      <c r="O246" s="61" t="s">
        <v>13</v>
      </c>
      <c r="P246" s="61" t="s">
        <v>13</v>
      </c>
      <c r="Q246" s="61" t="s">
        <v>1625</v>
      </c>
    </row>
    <row r="247" spans="1:17" ht="14.4" x14ac:dyDescent="0.3">
      <c r="A247" s="124">
        <v>235</v>
      </c>
      <c r="B247" s="59" t="s">
        <v>477</v>
      </c>
      <c r="C247" s="59" t="s">
        <v>1</v>
      </c>
      <c r="D247" s="115" t="s">
        <v>478</v>
      </c>
      <c r="E247" s="59" t="s">
        <v>485</v>
      </c>
      <c r="F247" s="115" t="s">
        <v>480</v>
      </c>
      <c r="G247" s="59" t="s">
        <v>133</v>
      </c>
      <c r="H247" s="59" t="s">
        <v>134</v>
      </c>
      <c r="I247" s="115" t="s">
        <v>486</v>
      </c>
      <c r="J247" s="125" t="s">
        <v>26</v>
      </c>
      <c r="K247" s="70">
        <v>122.5</v>
      </c>
      <c r="L247" s="139">
        <f>VLOOKUP(E247,'[1]MASTER WORKFILE MY26.2'!$H:$AC,22,0)</f>
        <v>69.199999999999989</v>
      </c>
      <c r="M247" s="116">
        <f>VLOOKUP(E247,'North Kite &amp; Foils '!E:M,9,0)</f>
        <v>0</v>
      </c>
      <c r="N247" s="71">
        <f t="shared" si="3"/>
        <v>0</v>
      </c>
      <c r="O247" s="61" t="s">
        <v>13</v>
      </c>
      <c r="P247" s="61" t="s">
        <v>13</v>
      </c>
      <c r="Q247" s="61" t="s">
        <v>1625</v>
      </c>
    </row>
    <row r="248" spans="1:17" ht="14.4" x14ac:dyDescent="0.3">
      <c r="A248" s="124">
        <v>236</v>
      </c>
      <c r="B248" s="59" t="s">
        <v>477</v>
      </c>
      <c r="C248" s="59" t="s">
        <v>1</v>
      </c>
      <c r="D248" s="115" t="s">
        <v>478</v>
      </c>
      <c r="E248" s="59" t="s">
        <v>487</v>
      </c>
      <c r="F248" s="115" t="s">
        <v>480</v>
      </c>
      <c r="G248" s="59" t="s">
        <v>133</v>
      </c>
      <c r="H248" s="59" t="s">
        <v>134</v>
      </c>
      <c r="I248" s="115" t="s">
        <v>488</v>
      </c>
      <c r="J248" s="125" t="s">
        <v>26</v>
      </c>
      <c r="K248" s="70">
        <v>132.5</v>
      </c>
      <c r="L248" s="139">
        <f>VLOOKUP(E248,'[1]MASTER WORKFILE MY26.2'!$H:$AC,22,0)</f>
        <v>74.899999999999991</v>
      </c>
      <c r="M248" s="116">
        <f>VLOOKUP(E248,'North Kite &amp; Foils '!E:M,9,0)</f>
        <v>0</v>
      </c>
      <c r="N248" s="71">
        <f t="shared" si="3"/>
        <v>0</v>
      </c>
      <c r="O248" s="61" t="s">
        <v>13</v>
      </c>
      <c r="P248" s="61" t="s">
        <v>13</v>
      </c>
      <c r="Q248" s="61" t="s">
        <v>1625</v>
      </c>
    </row>
    <row r="249" spans="1:17" ht="14.4" x14ac:dyDescent="0.3">
      <c r="A249" s="124">
        <v>237</v>
      </c>
      <c r="B249" s="59" t="s">
        <v>477</v>
      </c>
      <c r="C249" s="59" t="s">
        <v>1</v>
      </c>
      <c r="D249" s="115" t="s">
        <v>489</v>
      </c>
      <c r="E249" s="59" t="s">
        <v>490</v>
      </c>
      <c r="F249" s="115" t="s">
        <v>491</v>
      </c>
      <c r="G249" s="59" t="s">
        <v>133</v>
      </c>
      <c r="H249" s="59" t="s">
        <v>134</v>
      </c>
      <c r="I249" s="115" t="s">
        <v>482</v>
      </c>
      <c r="J249" s="125" t="s">
        <v>26</v>
      </c>
      <c r="K249" s="70">
        <v>102.5</v>
      </c>
      <c r="L249" s="139">
        <f>VLOOKUP(E249,'[1]MASTER WORKFILE MY26.2'!$H:$AC,22,0)</f>
        <v>57.9</v>
      </c>
      <c r="M249" s="116">
        <f>VLOOKUP(E249,'North Kite &amp; Foils '!E:M,9,0)</f>
        <v>0</v>
      </c>
      <c r="N249" s="71">
        <f t="shared" si="3"/>
        <v>0</v>
      </c>
      <c r="O249" s="61" t="s">
        <v>13</v>
      </c>
      <c r="P249" s="61" t="s">
        <v>13</v>
      </c>
      <c r="Q249" s="61" t="s">
        <v>1625</v>
      </c>
    </row>
    <row r="250" spans="1:17" ht="14.4" x14ac:dyDescent="0.3">
      <c r="A250" s="124">
        <v>238</v>
      </c>
      <c r="B250" s="59" t="s">
        <v>496</v>
      </c>
      <c r="C250" s="59" t="s">
        <v>1</v>
      </c>
      <c r="D250" s="115" t="s">
        <v>684</v>
      </c>
      <c r="E250" s="59" t="s">
        <v>685</v>
      </c>
      <c r="F250" s="115" t="s">
        <v>686</v>
      </c>
      <c r="G250" s="59" t="s">
        <v>133</v>
      </c>
      <c r="H250" s="59" t="s">
        <v>134</v>
      </c>
      <c r="I250" s="115" t="s">
        <v>687</v>
      </c>
      <c r="J250" s="125" t="s">
        <v>26</v>
      </c>
      <c r="K250" s="70">
        <v>635</v>
      </c>
      <c r="L250" s="139">
        <f>VLOOKUP(E250,'[1]MASTER WORKFILE MY26.2'!$H:$AC,22,0)</f>
        <v>358.6</v>
      </c>
      <c r="M250" s="116">
        <f>VLOOKUP(E250,'North Kite &amp; Foils '!E:M,9,0)</f>
        <v>0</v>
      </c>
      <c r="N250" s="71">
        <f t="shared" si="3"/>
        <v>0</v>
      </c>
      <c r="O250" s="61" t="s">
        <v>13</v>
      </c>
      <c r="P250" s="61" t="s">
        <v>13</v>
      </c>
      <c r="Q250" s="61" t="s">
        <v>1625</v>
      </c>
    </row>
    <row r="251" spans="1:17" ht="14.4" x14ac:dyDescent="0.3">
      <c r="A251" s="124">
        <v>239</v>
      </c>
      <c r="B251" s="59" t="s">
        <v>496</v>
      </c>
      <c r="C251" s="59" t="s">
        <v>1</v>
      </c>
      <c r="D251" s="115" t="s">
        <v>646</v>
      </c>
      <c r="E251" s="59" t="s">
        <v>647</v>
      </c>
      <c r="F251" s="115" t="s">
        <v>648</v>
      </c>
      <c r="G251" s="59" t="s">
        <v>133</v>
      </c>
      <c r="H251" s="59" t="s">
        <v>134</v>
      </c>
      <c r="I251" s="115" t="s">
        <v>649</v>
      </c>
      <c r="J251" s="125" t="s">
        <v>26</v>
      </c>
      <c r="K251" s="70">
        <v>655</v>
      </c>
      <c r="L251" s="139">
        <f>VLOOKUP(E251,'[1]MASTER WORKFILE MY26.2'!$H:$AC,22,0)</f>
        <v>369.90000000000003</v>
      </c>
      <c r="M251" s="116">
        <f>VLOOKUP(E251,'North Kite &amp; Foils '!E:M,9,0)</f>
        <v>0</v>
      </c>
      <c r="N251" s="71">
        <f t="shared" si="3"/>
        <v>0</v>
      </c>
      <c r="O251" s="61" t="s">
        <v>13</v>
      </c>
      <c r="P251" s="61" t="s">
        <v>13</v>
      </c>
      <c r="Q251" s="61" t="s">
        <v>1625</v>
      </c>
    </row>
    <row r="252" spans="1:17" ht="14.4" x14ac:dyDescent="0.3">
      <c r="A252" s="124">
        <v>240</v>
      </c>
      <c r="B252" s="59" t="s">
        <v>496</v>
      </c>
      <c r="C252" s="59" t="s">
        <v>1</v>
      </c>
      <c r="D252" s="115" t="s">
        <v>650</v>
      </c>
      <c r="E252" s="59" t="s">
        <v>651</v>
      </c>
      <c r="F252" s="115" t="s">
        <v>652</v>
      </c>
      <c r="G252" s="59" t="s">
        <v>133</v>
      </c>
      <c r="H252" s="59" t="s">
        <v>134</v>
      </c>
      <c r="I252" s="115" t="s">
        <v>653</v>
      </c>
      <c r="J252" s="125" t="s">
        <v>26</v>
      </c>
      <c r="K252" s="70">
        <v>675</v>
      </c>
      <c r="L252" s="139">
        <f>VLOOKUP(E252,'[1]MASTER WORKFILE MY26.2'!$H:$AC,22,0)</f>
        <v>381.20000000000005</v>
      </c>
      <c r="M252" s="116">
        <f>VLOOKUP(E252,'North Kite &amp; Foils '!E:M,9,0)</f>
        <v>0</v>
      </c>
      <c r="N252" s="71">
        <f t="shared" si="3"/>
        <v>0</v>
      </c>
      <c r="O252" s="61" t="s">
        <v>13</v>
      </c>
      <c r="P252" s="61" t="s">
        <v>13</v>
      </c>
      <c r="Q252" s="61" t="s">
        <v>1625</v>
      </c>
    </row>
    <row r="253" spans="1:17" ht="14.4" x14ac:dyDescent="0.3">
      <c r="A253" s="124">
        <v>241</v>
      </c>
      <c r="B253" s="59" t="s">
        <v>496</v>
      </c>
      <c r="C253" s="59" t="s">
        <v>1</v>
      </c>
      <c r="D253" s="115" t="s">
        <v>509</v>
      </c>
      <c r="E253" s="59" t="s">
        <v>510</v>
      </c>
      <c r="F253" s="115" t="s">
        <v>511</v>
      </c>
      <c r="G253" s="59" t="s">
        <v>133</v>
      </c>
      <c r="H253" s="59" t="s">
        <v>134</v>
      </c>
      <c r="I253" s="115" t="s">
        <v>512</v>
      </c>
      <c r="J253" s="125" t="s">
        <v>26</v>
      </c>
      <c r="K253" s="70">
        <v>695</v>
      </c>
      <c r="L253" s="139">
        <f>VLOOKUP(E253,'[1]MASTER WORKFILE MY26.2'!$H:$AC,22,0)</f>
        <v>392.5</v>
      </c>
      <c r="M253" s="116">
        <f>VLOOKUP(E253,'North Kite &amp; Foils '!E:M,9,0)</f>
        <v>0</v>
      </c>
      <c r="N253" s="71">
        <f t="shared" si="3"/>
        <v>0</v>
      </c>
      <c r="O253" s="61" t="s">
        <v>13</v>
      </c>
      <c r="P253" s="61" t="s">
        <v>13</v>
      </c>
      <c r="Q253" s="61" t="s">
        <v>1625</v>
      </c>
    </row>
    <row r="254" spans="1:17" ht="14.4" x14ac:dyDescent="0.3">
      <c r="A254" s="124">
        <v>242</v>
      </c>
      <c r="B254" s="59" t="s">
        <v>496</v>
      </c>
      <c r="C254" s="59" t="s">
        <v>1</v>
      </c>
      <c r="D254" s="115" t="s">
        <v>513</v>
      </c>
      <c r="E254" s="59" t="s">
        <v>514</v>
      </c>
      <c r="F254" s="115" t="s">
        <v>515</v>
      </c>
      <c r="G254" s="59" t="s">
        <v>133</v>
      </c>
      <c r="H254" s="59" t="s">
        <v>134</v>
      </c>
      <c r="I254" s="115" t="s">
        <v>516</v>
      </c>
      <c r="J254" s="125" t="s">
        <v>26</v>
      </c>
      <c r="K254" s="70">
        <v>715</v>
      </c>
      <c r="L254" s="139">
        <f>VLOOKUP(E254,'[1]MASTER WORKFILE MY26.2'!$H:$AC,22,0)</f>
        <v>403.8</v>
      </c>
      <c r="M254" s="116">
        <f>VLOOKUP(E254,'North Kite &amp; Foils '!E:M,9,0)</f>
        <v>0</v>
      </c>
      <c r="N254" s="71">
        <f t="shared" si="3"/>
        <v>0</v>
      </c>
      <c r="O254" s="61" t="s">
        <v>13</v>
      </c>
      <c r="P254" s="61" t="s">
        <v>13</v>
      </c>
      <c r="Q254" s="61" t="s">
        <v>1625</v>
      </c>
    </row>
    <row r="255" spans="1:17" ht="14.4" x14ac:dyDescent="0.3">
      <c r="A255" s="124">
        <v>243</v>
      </c>
      <c r="B255" s="59" t="s">
        <v>496</v>
      </c>
      <c r="C255" s="59" t="s">
        <v>1</v>
      </c>
      <c r="D255" s="115" t="s">
        <v>517</v>
      </c>
      <c r="E255" s="59" t="s">
        <v>518</v>
      </c>
      <c r="F255" s="115" t="s">
        <v>519</v>
      </c>
      <c r="G255" s="59" t="s">
        <v>133</v>
      </c>
      <c r="H255" s="59" t="s">
        <v>134</v>
      </c>
      <c r="I255" s="115" t="s">
        <v>520</v>
      </c>
      <c r="J255" s="125" t="s">
        <v>26</v>
      </c>
      <c r="K255" s="70">
        <v>735</v>
      </c>
      <c r="L255" s="139">
        <f>VLOOKUP(E255,'[1]MASTER WORKFILE MY26.2'!$H:$AC,22,0)</f>
        <v>415.1</v>
      </c>
      <c r="M255" s="116">
        <f>VLOOKUP(E255,'North Kite &amp; Foils '!E:M,9,0)</f>
        <v>0</v>
      </c>
      <c r="N255" s="71">
        <f t="shared" si="3"/>
        <v>0</v>
      </c>
      <c r="O255" s="61" t="s">
        <v>13</v>
      </c>
      <c r="P255" s="61" t="s">
        <v>13</v>
      </c>
      <c r="Q255" s="61" t="s">
        <v>1625</v>
      </c>
    </row>
    <row r="256" spans="1:17" ht="14.4" x14ac:dyDescent="0.3">
      <c r="A256" s="124">
        <v>244</v>
      </c>
      <c r="B256" s="59" t="s">
        <v>496</v>
      </c>
      <c r="C256" s="59" t="s">
        <v>1</v>
      </c>
      <c r="D256" s="115" t="s">
        <v>704</v>
      </c>
      <c r="E256" s="59" t="s">
        <v>705</v>
      </c>
      <c r="F256" s="115" t="s">
        <v>706</v>
      </c>
      <c r="G256" s="59" t="s">
        <v>133</v>
      </c>
      <c r="H256" s="59" t="s">
        <v>134</v>
      </c>
      <c r="I256" s="115" t="s">
        <v>707</v>
      </c>
      <c r="J256" s="125" t="s">
        <v>26</v>
      </c>
      <c r="K256" s="70">
        <v>200</v>
      </c>
      <c r="L256" s="139">
        <f>VLOOKUP(E256,'[1]MASTER WORKFILE MY26.2'!$H:$AC,22,0)</f>
        <v>113</v>
      </c>
      <c r="M256" s="116">
        <f>VLOOKUP(E256,'North Kite &amp; Foils '!E:M,9,0)</f>
        <v>0</v>
      </c>
      <c r="N256" s="71">
        <f t="shared" si="3"/>
        <v>0</v>
      </c>
      <c r="O256" s="61" t="s">
        <v>1755</v>
      </c>
      <c r="P256" s="61" t="s">
        <v>1755</v>
      </c>
      <c r="Q256" s="61" t="s">
        <v>1625</v>
      </c>
    </row>
    <row r="257" spans="1:17" ht="14.4" x14ac:dyDescent="0.3">
      <c r="A257" s="124">
        <v>245</v>
      </c>
      <c r="B257" s="59" t="s">
        <v>496</v>
      </c>
      <c r="C257" s="59" t="s">
        <v>1</v>
      </c>
      <c r="D257" s="115" t="s">
        <v>654</v>
      </c>
      <c r="E257" s="59" t="s">
        <v>655</v>
      </c>
      <c r="F257" s="115" t="s">
        <v>656</v>
      </c>
      <c r="G257" s="59" t="s">
        <v>133</v>
      </c>
      <c r="H257" s="59" t="s">
        <v>134</v>
      </c>
      <c r="I257" s="115" t="s">
        <v>657</v>
      </c>
      <c r="J257" s="125" t="s">
        <v>26</v>
      </c>
      <c r="K257" s="70">
        <v>200</v>
      </c>
      <c r="L257" s="139">
        <f>VLOOKUP(E257,'[1]MASTER WORKFILE MY26.2'!$H:$AC,22,0)</f>
        <v>113</v>
      </c>
      <c r="M257" s="116">
        <f>VLOOKUP(E257,'North Kite &amp; Foils '!E:M,9,0)</f>
        <v>0</v>
      </c>
      <c r="N257" s="71">
        <f t="shared" si="3"/>
        <v>0</v>
      </c>
      <c r="O257" s="61" t="s">
        <v>13</v>
      </c>
      <c r="P257" s="61" t="s">
        <v>13</v>
      </c>
      <c r="Q257" s="61" t="s">
        <v>1625</v>
      </c>
    </row>
    <row r="258" spans="1:17" ht="14.4" x14ac:dyDescent="0.3">
      <c r="A258" s="124">
        <v>246</v>
      </c>
      <c r="B258" s="59" t="s">
        <v>496</v>
      </c>
      <c r="C258" s="59" t="s">
        <v>1</v>
      </c>
      <c r="D258" s="115" t="s">
        <v>529</v>
      </c>
      <c r="E258" s="59" t="s">
        <v>530</v>
      </c>
      <c r="F258" s="115" t="s">
        <v>531</v>
      </c>
      <c r="G258" s="59" t="s">
        <v>133</v>
      </c>
      <c r="H258" s="59" t="s">
        <v>134</v>
      </c>
      <c r="I258" s="115" t="s">
        <v>532</v>
      </c>
      <c r="J258" s="125" t="s">
        <v>26</v>
      </c>
      <c r="K258" s="70">
        <v>200</v>
      </c>
      <c r="L258" s="139">
        <f>VLOOKUP(E258,'[1]MASTER WORKFILE MY26.2'!$H:$AC,22,0)</f>
        <v>113</v>
      </c>
      <c r="M258" s="116">
        <f>VLOOKUP(E258,'North Kite &amp; Foils '!E:M,9,0)</f>
        <v>0</v>
      </c>
      <c r="N258" s="71">
        <f t="shared" si="3"/>
        <v>0</v>
      </c>
      <c r="O258" s="61" t="s">
        <v>13</v>
      </c>
      <c r="P258" s="61" t="s">
        <v>13</v>
      </c>
      <c r="Q258" s="61" t="s">
        <v>1625</v>
      </c>
    </row>
    <row r="259" spans="1:17" ht="14.4" x14ac:dyDescent="0.3">
      <c r="A259" s="124">
        <v>246</v>
      </c>
      <c r="B259" s="59" t="s">
        <v>496</v>
      </c>
      <c r="C259" s="59" t="s">
        <v>1</v>
      </c>
      <c r="D259" s="115" t="s">
        <v>676</v>
      </c>
      <c r="E259" s="59" t="s">
        <v>677</v>
      </c>
      <c r="F259" s="115" t="s">
        <v>678</v>
      </c>
      <c r="G259" s="59" t="s">
        <v>133</v>
      </c>
      <c r="H259" s="59" t="s">
        <v>134</v>
      </c>
      <c r="I259" s="115" t="s">
        <v>679</v>
      </c>
      <c r="J259" s="125" t="s">
        <v>26</v>
      </c>
      <c r="K259" s="70">
        <v>624.5</v>
      </c>
      <c r="L259" s="139">
        <f>VLOOKUP(E259,'[1]MASTER WORKFILE MY26.2'!$H:$AC,22,0)</f>
        <v>352.70000000000005</v>
      </c>
      <c r="M259" s="116">
        <f>VLOOKUP(E259,'North Kite &amp; Foils '!E:M,9,0)</f>
        <v>0</v>
      </c>
      <c r="N259" s="71">
        <f t="shared" si="3"/>
        <v>0</v>
      </c>
      <c r="O259" s="61" t="s">
        <v>13</v>
      </c>
      <c r="P259" s="61" t="s">
        <v>13</v>
      </c>
      <c r="Q259" s="61" t="s">
        <v>1625</v>
      </c>
    </row>
    <row r="260" spans="1:17" ht="14.4" x14ac:dyDescent="0.3">
      <c r="A260" s="124">
        <v>247</v>
      </c>
      <c r="B260" s="59" t="s">
        <v>496</v>
      </c>
      <c r="C260" s="59" t="s">
        <v>1</v>
      </c>
      <c r="D260" s="115" t="s">
        <v>680</v>
      </c>
      <c r="E260" s="59" t="s">
        <v>681</v>
      </c>
      <c r="F260" s="115" t="s">
        <v>682</v>
      </c>
      <c r="G260" s="59" t="s">
        <v>133</v>
      </c>
      <c r="H260" s="59" t="s">
        <v>134</v>
      </c>
      <c r="I260" s="115" t="s">
        <v>683</v>
      </c>
      <c r="J260" s="125" t="s">
        <v>26</v>
      </c>
      <c r="K260" s="70">
        <v>634.5</v>
      </c>
      <c r="L260" s="139">
        <f>VLOOKUP(E260,'[1]MASTER WORKFILE MY26.2'!$H:$AC,22,0)</f>
        <v>358.3</v>
      </c>
      <c r="M260" s="116">
        <f>VLOOKUP(E260,'North Kite &amp; Foils '!E:M,9,0)</f>
        <v>0</v>
      </c>
      <c r="N260" s="71">
        <f t="shared" si="3"/>
        <v>0</v>
      </c>
      <c r="O260" s="61" t="s">
        <v>13</v>
      </c>
      <c r="P260" s="61" t="s">
        <v>13</v>
      </c>
      <c r="Q260" s="61" t="s">
        <v>1625</v>
      </c>
    </row>
    <row r="261" spans="1:17" ht="14.4" x14ac:dyDescent="0.3">
      <c r="A261" s="124">
        <v>248</v>
      </c>
      <c r="B261" s="59" t="s">
        <v>496</v>
      </c>
      <c r="C261" s="59" t="s">
        <v>1</v>
      </c>
      <c r="D261" s="115" t="s">
        <v>627</v>
      </c>
      <c r="E261" s="59" t="s">
        <v>628</v>
      </c>
      <c r="F261" s="115" t="s">
        <v>629</v>
      </c>
      <c r="G261" s="59" t="s">
        <v>133</v>
      </c>
      <c r="H261" s="59" t="s">
        <v>134</v>
      </c>
      <c r="I261" s="115" t="s">
        <v>630</v>
      </c>
      <c r="J261" s="125" t="s">
        <v>26</v>
      </c>
      <c r="K261" s="70">
        <v>654.5</v>
      </c>
      <c r="L261" s="139">
        <f>VLOOKUP(E261,'[1]MASTER WORKFILE MY26.2'!$H:$AC,22,0)</f>
        <v>369.6</v>
      </c>
      <c r="M261" s="116">
        <f>VLOOKUP(E261,'North Kite &amp; Foils '!E:M,9,0)</f>
        <v>0</v>
      </c>
      <c r="N261" s="71">
        <f t="shared" si="3"/>
        <v>0</v>
      </c>
      <c r="O261" s="61" t="s">
        <v>13</v>
      </c>
      <c r="P261" s="61" t="s">
        <v>13</v>
      </c>
      <c r="Q261" s="61" t="s">
        <v>1625</v>
      </c>
    </row>
    <row r="262" spans="1:17" ht="14.4" x14ac:dyDescent="0.3">
      <c r="A262" s="124">
        <v>249</v>
      </c>
      <c r="B262" s="59" t="s">
        <v>496</v>
      </c>
      <c r="C262" s="59" t="s">
        <v>1</v>
      </c>
      <c r="D262" s="115" t="s">
        <v>616</v>
      </c>
      <c r="E262" s="59" t="s">
        <v>617</v>
      </c>
      <c r="F262" s="115" t="s">
        <v>618</v>
      </c>
      <c r="G262" s="59" t="s">
        <v>133</v>
      </c>
      <c r="H262" s="59" t="s">
        <v>134</v>
      </c>
      <c r="I262" s="115" t="s">
        <v>548</v>
      </c>
      <c r="J262" s="125" t="s">
        <v>26</v>
      </c>
      <c r="K262" s="70">
        <v>675.5</v>
      </c>
      <c r="L262" s="139">
        <f>VLOOKUP(E262,'[1]MASTER WORKFILE MY26.2'!$H:$AC,22,0)</f>
        <v>381.5</v>
      </c>
      <c r="M262" s="116">
        <f>VLOOKUP(E262,'North Kite &amp; Foils '!E:M,9,0)</f>
        <v>0</v>
      </c>
      <c r="N262" s="71">
        <f t="shared" si="3"/>
        <v>0</v>
      </c>
      <c r="O262" s="61" t="s">
        <v>13</v>
      </c>
      <c r="P262" s="61" t="s">
        <v>13</v>
      </c>
      <c r="Q262" s="61" t="s">
        <v>1625</v>
      </c>
    </row>
    <row r="263" spans="1:17" ht="14.4" x14ac:dyDescent="0.3">
      <c r="A263" s="124">
        <v>250</v>
      </c>
      <c r="B263" s="59" t="s">
        <v>496</v>
      </c>
      <c r="C263" s="59" t="s">
        <v>1</v>
      </c>
      <c r="D263" s="115" t="s">
        <v>726</v>
      </c>
      <c r="E263" s="59" t="s">
        <v>727</v>
      </c>
      <c r="F263" s="115" t="s">
        <v>728</v>
      </c>
      <c r="G263" s="59" t="s">
        <v>133</v>
      </c>
      <c r="H263" s="59" t="s">
        <v>134</v>
      </c>
      <c r="I263" s="115" t="s">
        <v>552</v>
      </c>
      <c r="J263" s="125" t="s">
        <v>101</v>
      </c>
      <c r="K263" s="70">
        <v>685.5</v>
      </c>
      <c r="L263" s="139">
        <f>VLOOKUP(E263,'[1]MASTER WORKFILE MY26.2'!$H:$AC,22,0)</f>
        <v>387.1</v>
      </c>
      <c r="M263" s="116">
        <f>VLOOKUP(E263,'North Kite &amp; Foils '!E:M,9,0)</f>
        <v>0</v>
      </c>
      <c r="N263" s="71">
        <f t="shared" si="3"/>
        <v>0</v>
      </c>
      <c r="O263" s="61" t="s">
        <v>13</v>
      </c>
      <c r="P263" s="61" t="s">
        <v>13</v>
      </c>
      <c r="Q263" s="61" t="s">
        <v>1625</v>
      </c>
    </row>
    <row r="264" spans="1:17" ht="14.4" x14ac:dyDescent="0.3">
      <c r="A264" s="124">
        <v>251</v>
      </c>
      <c r="B264" s="59" t="s">
        <v>496</v>
      </c>
      <c r="C264" s="59" t="s">
        <v>1</v>
      </c>
      <c r="D264" s="115" t="s">
        <v>631</v>
      </c>
      <c r="E264" s="59" t="s">
        <v>632</v>
      </c>
      <c r="F264" s="115" t="s">
        <v>633</v>
      </c>
      <c r="G264" s="59" t="s">
        <v>133</v>
      </c>
      <c r="H264" s="59" t="s">
        <v>134</v>
      </c>
      <c r="I264" s="115" t="s">
        <v>556</v>
      </c>
      <c r="J264" s="125" t="s">
        <v>26</v>
      </c>
      <c r="K264" s="70">
        <v>695.5</v>
      </c>
      <c r="L264" s="139">
        <f>VLOOKUP(E264,'[1]MASTER WORKFILE MY26.2'!$H:$AC,22,0)</f>
        <v>392.8</v>
      </c>
      <c r="M264" s="116">
        <f>VLOOKUP(E264,'North Kite &amp; Foils '!E:M,9,0)</f>
        <v>0</v>
      </c>
      <c r="N264" s="71">
        <f t="shared" si="3"/>
        <v>0</v>
      </c>
      <c r="O264" s="61" t="s">
        <v>13</v>
      </c>
      <c r="P264" s="61" t="s">
        <v>13</v>
      </c>
      <c r="Q264" s="61" t="s">
        <v>1625</v>
      </c>
    </row>
    <row r="265" spans="1:17" ht="14.4" x14ac:dyDescent="0.3">
      <c r="A265" s="124">
        <v>252</v>
      </c>
      <c r="B265" s="59" t="s">
        <v>496</v>
      </c>
      <c r="C265" s="59" t="s">
        <v>1</v>
      </c>
      <c r="D265" s="115" t="s">
        <v>634</v>
      </c>
      <c r="E265" s="59" t="s">
        <v>635</v>
      </c>
      <c r="F265" s="115" t="s">
        <v>636</v>
      </c>
      <c r="G265" s="59" t="s">
        <v>133</v>
      </c>
      <c r="H265" s="59" t="s">
        <v>134</v>
      </c>
      <c r="I265" s="115" t="s">
        <v>637</v>
      </c>
      <c r="J265" s="125" t="s">
        <v>26</v>
      </c>
      <c r="K265" s="70">
        <v>715</v>
      </c>
      <c r="L265" s="139">
        <f>VLOOKUP(E265,'[1]MASTER WORKFILE MY26.2'!$H:$AC,22,0)</f>
        <v>403.8</v>
      </c>
      <c r="M265" s="116">
        <f>VLOOKUP(E265,'North Kite &amp; Foils '!E:M,9,0)</f>
        <v>0</v>
      </c>
      <c r="N265" s="71">
        <f t="shared" si="3"/>
        <v>0</v>
      </c>
      <c r="O265" s="61" t="s">
        <v>13</v>
      </c>
      <c r="P265" s="61" t="s">
        <v>13</v>
      </c>
      <c r="Q265" s="61" t="s">
        <v>1625</v>
      </c>
    </row>
    <row r="266" spans="1:17" ht="14.4" x14ac:dyDescent="0.3">
      <c r="A266" s="124">
        <v>253</v>
      </c>
      <c r="B266" s="59" t="s">
        <v>496</v>
      </c>
      <c r="C266" s="59" t="s">
        <v>1</v>
      </c>
      <c r="D266" s="115" t="s">
        <v>638</v>
      </c>
      <c r="E266" s="59" t="s">
        <v>639</v>
      </c>
      <c r="F266" s="115" t="s">
        <v>640</v>
      </c>
      <c r="G266" s="59" t="s">
        <v>133</v>
      </c>
      <c r="H266" s="59" t="s">
        <v>134</v>
      </c>
      <c r="I266" s="115" t="s">
        <v>641</v>
      </c>
      <c r="J266" s="125" t="s">
        <v>26</v>
      </c>
      <c r="K266" s="70">
        <v>725</v>
      </c>
      <c r="L266" s="139">
        <f>VLOOKUP(E266,'[1]MASTER WORKFILE MY26.2'!$H:$AC,22,0)</f>
        <v>409.40000000000003</v>
      </c>
      <c r="M266" s="116">
        <f>VLOOKUP(E266,'North Kite &amp; Foils '!E:M,9,0)</f>
        <v>0</v>
      </c>
      <c r="N266" s="71">
        <f t="shared" si="3"/>
        <v>0</v>
      </c>
      <c r="O266" s="61" t="s">
        <v>13</v>
      </c>
      <c r="P266" s="61" t="s">
        <v>13</v>
      </c>
      <c r="Q266" s="61" t="s">
        <v>1625</v>
      </c>
    </row>
    <row r="267" spans="1:17" ht="14.4" x14ac:dyDescent="0.3">
      <c r="A267" s="124">
        <v>254</v>
      </c>
      <c r="B267" s="59" t="s">
        <v>496</v>
      </c>
      <c r="C267" s="59" t="s">
        <v>1</v>
      </c>
      <c r="D267" s="115" t="s">
        <v>619</v>
      </c>
      <c r="E267" s="59" t="s">
        <v>620</v>
      </c>
      <c r="F267" s="115" t="s">
        <v>621</v>
      </c>
      <c r="G267" s="59" t="s">
        <v>133</v>
      </c>
      <c r="H267" s="59" t="s">
        <v>134</v>
      </c>
      <c r="I267" s="115" t="s">
        <v>622</v>
      </c>
      <c r="J267" s="125" t="s">
        <v>26</v>
      </c>
      <c r="K267" s="70">
        <v>745</v>
      </c>
      <c r="L267" s="139">
        <f>VLOOKUP(E267,'[1]MASTER WORKFILE MY26.2'!$H:$AC,22,0)</f>
        <v>420.70000000000005</v>
      </c>
      <c r="M267" s="116">
        <f>VLOOKUP(E267,'North Kite &amp; Foils '!E:M,9,0)</f>
        <v>0</v>
      </c>
      <c r="N267" s="71">
        <f t="shared" si="3"/>
        <v>0</v>
      </c>
      <c r="O267" s="61" t="s">
        <v>13</v>
      </c>
      <c r="P267" s="61" t="s">
        <v>13</v>
      </c>
      <c r="Q267" s="61" t="s">
        <v>1625</v>
      </c>
    </row>
    <row r="268" spans="1:17" ht="14.4" x14ac:dyDescent="0.3">
      <c r="A268" s="124">
        <v>255</v>
      </c>
      <c r="B268" s="59" t="s">
        <v>496</v>
      </c>
      <c r="C268" s="59" t="s">
        <v>1</v>
      </c>
      <c r="D268" s="115" t="s">
        <v>623</v>
      </c>
      <c r="E268" s="59" t="s">
        <v>624</v>
      </c>
      <c r="F268" s="115" t="s">
        <v>625</v>
      </c>
      <c r="G268" s="59" t="s">
        <v>133</v>
      </c>
      <c r="H268" s="59" t="s">
        <v>134</v>
      </c>
      <c r="I268" s="115" t="s">
        <v>626</v>
      </c>
      <c r="J268" s="125" t="s">
        <v>26</v>
      </c>
      <c r="K268" s="70">
        <v>765</v>
      </c>
      <c r="L268" s="139">
        <f>VLOOKUP(E268,'[1]MASTER WORKFILE MY26.2'!$H:$AC,22,0)</f>
        <v>432</v>
      </c>
      <c r="M268" s="116">
        <f>VLOOKUP(E268,'North Kite &amp; Foils '!E:M,9,0)</f>
        <v>0</v>
      </c>
      <c r="N268" s="71">
        <f t="shared" si="3"/>
        <v>0</v>
      </c>
      <c r="O268" s="61" t="s">
        <v>13</v>
      </c>
      <c r="P268" s="61" t="s">
        <v>13</v>
      </c>
      <c r="Q268" s="61" t="s">
        <v>1625</v>
      </c>
    </row>
    <row r="269" spans="1:17" ht="14.4" x14ac:dyDescent="0.3">
      <c r="A269" s="124">
        <v>256</v>
      </c>
      <c r="B269" s="59" t="s">
        <v>496</v>
      </c>
      <c r="C269" s="59" t="s">
        <v>1</v>
      </c>
      <c r="D269" s="115" t="s">
        <v>711</v>
      </c>
      <c r="E269" s="59" t="s">
        <v>712</v>
      </c>
      <c r="F269" s="115" t="s">
        <v>713</v>
      </c>
      <c r="G269" s="59" t="s">
        <v>133</v>
      </c>
      <c r="H269" s="59" t="s">
        <v>134</v>
      </c>
      <c r="I269" s="115" t="s">
        <v>637</v>
      </c>
      <c r="J269" s="125" t="s">
        <v>26</v>
      </c>
      <c r="K269" s="70">
        <v>469</v>
      </c>
      <c r="L269" s="139">
        <f>VLOOKUP(E269,'[1]MASTER WORKFILE MY26.2'!$H:$AC,22,0)</f>
        <v>264.90000000000003</v>
      </c>
      <c r="M269" s="116">
        <f>VLOOKUP(E269,'North Kite &amp; Foils '!E:M,9,0)</f>
        <v>0</v>
      </c>
      <c r="N269" s="71">
        <f t="shared" ref="N269:N332" si="4">L269*M269</f>
        <v>0</v>
      </c>
      <c r="O269" s="61" t="s">
        <v>13</v>
      </c>
      <c r="P269" s="61" t="s">
        <v>13</v>
      </c>
      <c r="Q269" s="61" t="s">
        <v>1625</v>
      </c>
    </row>
    <row r="270" spans="1:17" ht="14.4" x14ac:dyDescent="0.3">
      <c r="A270" s="124">
        <v>257</v>
      </c>
      <c r="B270" s="59" t="s">
        <v>496</v>
      </c>
      <c r="C270" s="59" t="s">
        <v>1</v>
      </c>
      <c r="D270" s="115" t="s">
        <v>708</v>
      </c>
      <c r="E270" s="59" t="s">
        <v>709</v>
      </c>
      <c r="F270" s="115" t="s">
        <v>710</v>
      </c>
      <c r="G270" s="59" t="s">
        <v>133</v>
      </c>
      <c r="H270" s="59" t="s">
        <v>134</v>
      </c>
      <c r="I270" s="115" t="s">
        <v>641</v>
      </c>
      <c r="J270" s="125" t="s">
        <v>26</v>
      </c>
      <c r="K270" s="70">
        <v>479</v>
      </c>
      <c r="L270" s="139">
        <f>VLOOKUP(E270,'[1]MASTER WORKFILE MY26.2'!$H:$AC,22,0)</f>
        <v>270.5</v>
      </c>
      <c r="M270" s="116">
        <f>VLOOKUP(E270,'North Kite &amp; Foils '!E:M,9,0)</f>
        <v>0</v>
      </c>
      <c r="N270" s="71">
        <f t="shared" si="4"/>
        <v>0</v>
      </c>
      <c r="O270" s="61"/>
      <c r="P270" s="61"/>
      <c r="Q270" s="61" t="s">
        <v>1750</v>
      </c>
    </row>
    <row r="271" spans="1:17" ht="14.4" x14ac:dyDescent="0.3">
      <c r="A271" s="124">
        <v>258</v>
      </c>
      <c r="B271" s="59" t="s">
        <v>496</v>
      </c>
      <c r="C271" s="59" t="s">
        <v>1</v>
      </c>
      <c r="D271" s="115" t="s">
        <v>666</v>
      </c>
      <c r="E271" s="59" t="s">
        <v>667</v>
      </c>
      <c r="F271" s="115" t="s">
        <v>668</v>
      </c>
      <c r="G271" s="59" t="s">
        <v>133</v>
      </c>
      <c r="H271" s="59" t="s">
        <v>134</v>
      </c>
      <c r="I271" s="115" t="s">
        <v>622</v>
      </c>
      <c r="J271" s="125" t="s">
        <v>26</v>
      </c>
      <c r="K271" s="70">
        <v>489</v>
      </c>
      <c r="L271" s="139">
        <f>VLOOKUP(E271,'[1]MASTER WORKFILE MY26.2'!$H:$AC,22,0)</f>
        <v>276.20000000000005</v>
      </c>
      <c r="M271" s="116">
        <f>VLOOKUP(E271,'North Kite &amp; Foils '!E:M,9,0)</f>
        <v>0</v>
      </c>
      <c r="N271" s="71">
        <f t="shared" si="4"/>
        <v>0</v>
      </c>
      <c r="O271" s="61"/>
      <c r="P271" s="61"/>
      <c r="Q271" s="61" t="s">
        <v>1750</v>
      </c>
    </row>
    <row r="272" spans="1:17" ht="14.4" x14ac:dyDescent="0.3">
      <c r="A272" s="124">
        <v>259</v>
      </c>
      <c r="B272" s="59" t="s">
        <v>496</v>
      </c>
      <c r="C272" s="59" t="s">
        <v>1</v>
      </c>
      <c r="D272" s="115" t="s">
        <v>669</v>
      </c>
      <c r="E272" s="59" t="s">
        <v>670</v>
      </c>
      <c r="F272" s="115" t="s">
        <v>671</v>
      </c>
      <c r="G272" s="59" t="s">
        <v>133</v>
      </c>
      <c r="H272" s="59" t="s">
        <v>134</v>
      </c>
      <c r="I272" s="115" t="s">
        <v>626</v>
      </c>
      <c r="J272" s="125" t="s">
        <v>26</v>
      </c>
      <c r="K272" s="70">
        <v>499</v>
      </c>
      <c r="L272" s="139">
        <f>VLOOKUP(E272,'[1]MASTER WORKFILE MY26.2'!$H:$AC,22,0)</f>
        <v>281.8</v>
      </c>
      <c r="M272" s="116">
        <f>VLOOKUP(E272,'North Kite &amp; Foils '!E:M,9,0)</f>
        <v>0</v>
      </c>
      <c r="N272" s="71">
        <f t="shared" si="4"/>
        <v>0</v>
      </c>
      <c r="O272" s="61"/>
      <c r="P272" s="61"/>
      <c r="Q272" s="61" t="s">
        <v>1750</v>
      </c>
    </row>
    <row r="273" spans="1:17" ht="14.4" x14ac:dyDescent="0.3">
      <c r="A273" s="124">
        <v>260</v>
      </c>
      <c r="B273" s="59" t="s">
        <v>496</v>
      </c>
      <c r="C273" s="59" t="s">
        <v>1</v>
      </c>
      <c r="D273" s="115" t="s">
        <v>642</v>
      </c>
      <c r="E273" s="59" t="s">
        <v>643</v>
      </c>
      <c r="F273" s="115" t="s">
        <v>644</v>
      </c>
      <c r="G273" s="59" t="s">
        <v>133</v>
      </c>
      <c r="H273" s="59" t="s">
        <v>134</v>
      </c>
      <c r="I273" s="115" t="s">
        <v>645</v>
      </c>
      <c r="J273" s="125" t="s">
        <v>26</v>
      </c>
      <c r="K273" s="70">
        <v>509</v>
      </c>
      <c r="L273" s="139">
        <f>VLOOKUP(E273,'[1]MASTER WORKFILE MY26.2'!$H:$AC,22,0)</f>
        <v>287.5</v>
      </c>
      <c r="M273" s="116">
        <f>VLOOKUP(E273,'North Kite &amp; Foils '!E:M,9,0)</f>
        <v>0</v>
      </c>
      <c r="N273" s="71">
        <f t="shared" si="4"/>
        <v>0</v>
      </c>
      <c r="O273" s="61" t="s">
        <v>13</v>
      </c>
      <c r="P273" s="61" t="s">
        <v>13</v>
      </c>
      <c r="Q273" s="61" t="s">
        <v>1625</v>
      </c>
    </row>
    <row r="274" spans="1:17" ht="14.4" x14ac:dyDescent="0.3">
      <c r="A274" s="124">
        <v>261</v>
      </c>
      <c r="B274" s="59" t="s">
        <v>496</v>
      </c>
      <c r="C274" s="59" t="s">
        <v>1</v>
      </c>
      <c r="D274" s="115" t="s">
        <v>497</v>
      </c>
      <c r="E274" s="59" t="s">
        <v>498</v>
      </c>
      <c r="F274" s="115" t="s">
        <v>499</v>
      </c>
      <c r="G274" s="59" t="s">
        <v>133</v>
      </c>
      <c r="H274" s="59" t="s">
        <v>134</v>
      </c>
      <c r="I274" s="115" t="s">
        <v>500</v>
      </c>
      <c r="J274" s="125" t="s">
        <v>26</v>
      </c>
      <c r="K274" s="70">
        <v>200</v>
      </c>
      <c r="L274" s="139">
        <f>VLOOKUP(E274,'[1]MASTER WORKFILE MY26.2'!$H:$AC,22,0)</f>
        <v>113</v>
      </c>
      <c r="M274" s="116">
        <f>VLOOKUP(E274,'North Kite &amp; Foils '!E:M,9,0)</f>
        <v>0</v>
      </c>
      <c r="N274" s="71">
        <f t="shared" si="4"/>
        <v>0</v>
      </c>
      <c r="O274" s="61" t="s">
        <v>13</v>
      </c>
      <c r="P274" s="61" t="s">
        <v>13</v>
      </c>
      <c r="Q274" s="61" t="s">
        <v>1625</v>
      </c>
    </row>
    <row r="275" spans="1:17" ht="14.4" x14ac:dyDescent="0.3">
      <c r="A275" s="124">
        <v>262</v>
      </c>
      <c r="B275" s="59" t="s">
        <v>496</v>
      </c>
      <c r="C275" s="59" t="s">
        <v>1</v>
      </c>
      <c r="D275" s="115" t="s">
        <v>501</v>
      </c>
      <c r="E275" s="59" t="s">
        <v>502</v>
      </c>
      <c r="F275" s="115" t="s">
        <v>503</v>
      </c>
      <c r="G275" s="59" t="s">
        <v>133</v>
      </c>
      <c r="H275" s="59" t="s">
        <v>134</v>
      </c>
      <c r="I275" s="115" t="s">
        <v>504</v>
      </c>
      <c r="J275" s="125" t="s">
        <v>26</v>
      </c>
      <c r="K275" s="70">
        <v>200</v>
      </c>
      <c r="L275" s="139">
        <f>VLOOKUP(E275,'[1]MASTER WORKFILE MY26.2'!$H:$AC,22,0)</f>
        <v>113</v>
      </c>
      <c r="M275" s="116">
        <f>VLOOKUP(E275,'North Kite &amp; Foils '!E:M,9,0)</f>
        <v>0</v>
      </c>
      <c r="N275" s="71">
        <f t="shared" si="4"/>
        <v>0</v>
      </c>
      <c r="O275" s="61" t="s">
        <v>13</v>
      </c>
      <c r="P275" s="61" t="s">
        <v>13</v>
      </c>
      <c r="Q275" s="61" t="s">
        <v>1625</v>
      </c>
    </row>
    <row r="276" spans="1:17" ht="14.4" x14ac:dyDescent="0.3">
      <c r="A276" s="124">
        <v>263</v>
      </c>
      <c r="B276" s="59" t="s">
        <v>496</v>
      </c>
      <c r="C276" s="59" t="s">
        <v>1</v>
      </c>
      <c r="D276" s="115" t="s">
        <v>505</v>
      </c>
      <c r="E276" s="59" t="s">
        <v>506</v>
      </c>
      <c r="F276" s="115" t="s">
        <v>507</v>
      </c>
      <c r="G276" s="59" t="s">
        <v>133</v>
      </c>
      <c r="H276" s="59" t="s">
        <v>134</v>
      </c>
      <c r="I276" s="115" t="s">
        <v>508</v>
      </c>
      <c r="J276" s="125" t="s">
        <v>26</v>
      </c>
      <c r="K276" s="70">
        <v>200</v>
      </c>
      <c r="L276" s="139">
        <f>VLOOKUP(E276,'[1]MASTER WORKFILE MY26.2'!$H:$AC,22,0)</f>
        <v>113</v>
      </c>
      <c r="M276" s="116">
        <f>VLOOKUP(E276,'North Kite &amp; Foils '!E:M,9,0)</f>
        <v>0</v>
      </c>
      <c r="N276" s="71">
        <f t="shared" si="4"/>
        <v>0</v>
      </c>
      <c r="O276" s="61" t="s">
        <v>13</v>
      </c>
      <c r="P276" s="61" t="s">
        <v>13</v>
      </c>
      <c r="Q276" s="61" t="s">
        <v>1625</v>
      </c>
    </row>
    <row r="277" spans="1:17" ht="14.4" x14ac:dyDescent="0.3">
      <c r="A277" s="124">
        <v>264</v>
      </c>
      <c r="B277" s="59" t="s">
        <v>496</v>
      </c>
      <c r="C277" s="59" t="s">
        <v>1</v>
      </c>
      <c r="D277" s="115" t="s">
        <v>533</v>
      </c>
      <c r="E277" s="59" t="s">
        <v>534</v>
      </c>
      <c r="F277" s="115" t="s">
        <v>535</v>
      </c>
      <c r="G277" s="59" t="s">
        <v>133</v>
      </c>
      <c r="H277" s="59" t="s">
        <v>134</v>
      </c>
      <c r="I277" s="115" t="s">
        <v>536</v>
      </c>
      <c r="J277" s="125" t="s">
        <v>26</v>
      </c>
      <c r="K277" s="70">
        <v>635</v>
      </c>
      <c r="L277" s="139">
        <f>VLOOKUP(E277,'[1]MASTER WORKFILE MY26.2'!$H:$AC,22,0)</f>
        <v>358.6</v>
      </c>
      <c r="M277" s="116">
        <f>VLOOKUP(E277,'North Kite &amp; Foils '!E:M,9,0)</f>
        <v>0</v>
      </c>
      <c r="N277" s="71">
        <f t="shared" si="4"/>
        <v>0</v>
      </c>
      <c r="O277" s="61" t="s">
        <v>13</v>
      </c>
      <c r="P277" s="61" t="s">
        <v>13</v>
      </c>
      <c r="Q277" s="61" t="s">
        <v>1625</v>
      </c>
    </row>
    <row r="278" spans="1:17" ht="14.4" x14ac:dyDescent="0.3">
      <c r="A278" s="124">
        <v>265</v>
      </c>
      <c r="B278" s="59" t="s">
        <v>496</v>
      </c>
      <c r="C278" s="59" t="s">
        <v>1</v>
      </c>
      <c r="D278" s="115" t="s">
        <v>537</v>
      </c>
      <c r="E278" s="59" t="s">
        <v>538</v>
      </c>
      <c r="F278" s="115" t="s">
        <v>539</v>
      </c>
      <c r="G278" s="59" t="s">
        <v>133</v>
      </c>
      <c r="H278" s="59" t="s">
        <v>134</v>
      </c>
      <c r="I278" s="115" t="s">
        <v>540</v>
      </c>
      <c r="J278" s="125" t="s">
        <v>26</v>
      </c>
      <c r="K278" s="70">
        <v>645</v>
      </c>
      <c r="L278" s="139">
        <f>VLOOKUP(E278,'[1]MASTER WORKFILE MY26.2'!$H:$AC,22,0)</f>
        <v>364.3</v>
      </c>
      <c r="M278" s="116">
        <f>VLOOKUP(E278,'North Kite &amp; Foils '!E:M,9,0)</f>
        <v>0</v>
      </c>
      <c r="N278" s="71">
        <f t="shared" si="4"/>
        <v>0</v>
      </c>
      <c r="O278" s="61" t="s">
        <v>13</v>
      </c>
      <c r="P278" s="61" t="s">
        <v>13</v>
      </c>
      <c r="Q278" s="61" t="s">
        <v>1625</v>
      </c>
    </row>
    <row r="279" spans="1:17" ht="14.4" x14ac:dyDescent="0.3">
      <c r="A279" s="124">
        <v>266</v>
      </c>
      <c r="B279" s="59" t="s">
        <v>496</v>
      </c>
      <c r="C279" s="59" t="s">
        <v>1</v>
      </c>
      <c r="D279" s="115" t="s">
        <v>541</v>
      </c>
      <c r="E279" s="59" t="s">
        <v>542</v>
      </c>
      <c r="F279" s="115" t="s">
        <v>543</v>
      </c>
      <c r="G279" s="59" t="s">
        <v>133</v>
      </c>
      <c r="H279" s="59" t="s">
        <v>134</v>
      </c>
      <c r="I279" s="115" t="s">
        <v>544</v>
      </c>
      <c r="J279" s="125" t="s">
        <v>26</v>
      </c>
      <c r="K279" s="70">
        <v>655</v>
      </c>
      <c r="L279" s="139">
        <f>VLOOKUP(E279,'[1]MASTER WORKFILE MY26.2'!$H:$AC,22,0)</f>
        <v>369.90000000000003</v>
      </c>
      <c r="M279" s="116">
        <f>VLOOKUP(E279,'North Kite &amp; Foils '!E:M,9,0)</f>
        <v>0</v>
      </c>
      <c r="N279" s="71">
        <f t="shared" si="4"/>
        <v>0</v>
      </c>
      <c r="O279" s="61" t="s">
        <v>13</v>
      </c>
      <c r="P279" s="61" t="s">
        <v>13</v>
      </c>
      <c r="Q279" s="61" t="s">
        <v>1625</v>
      </c>
    </row>
    <row r="280" spans="1:17" ht="14.4" x14ac:dyDescent="0.3">
      <c r="A280" s="124">
        <v>267</v>
      </c>
      <c r="B280" s="59" t="s">
        <v>496</v>
      </c>
      <c r="C280" s="59" t="s">
        <v>1</v>
      </c>
      <c r="D280" s="115" t="s">
        <v>545</v>
      </c>
      <c r="E280" s="59" t="s">
        <v>546</v>
      </c>
      <c r="F280" s="115" t="s">
        <v>547</v>
      </c>
      <c r="G280" s="59" t="s">
        <v>133</v>
      </c>
      <c r="H280" s="59" t="s">
        <v>134</v>
      </c>
      <c r="I280" s="115" t="s">
        <v>548</v>
      </c>
      <c r="J280" s="125" t="s">
        <v>26</v>
      </c>
      <c r="K280" s="70">
        <v>665</v>
      </c>
      <c r="L280" s="139">
        <f>VLOOKUP(E280,'[1]MASTER WORKFILE MY26.2'!$H:$AC,22,0)</f>
        <v>375.6</v>
      </c>
      <c r="M280" s="116">
        <f>VLOOKUP(E280,'North Kite &amp; Foils '!E:M,9,0)</f>
        <v>0</v>
      </c>
      <c r="N280" s="71">
        <f t="shared" si="4"/>
        <v>0</v>
      </c>
      <c r="O280" s="61" t="s">
        <v>13</v>
      </c>
      <c r="P280" s="61" t="s">
        <v>13</v>
      </c>
      <c r="Q280" s="61" t="s">
        <v>1625</v>
      </c>
    </row>
    <row r="281" spans="1:17" ht="14.4" x14ac:dyDescent="0.3">
      <c r="A281" s="124">
        <v>268</v>
      </c>
      <c r="B281" s="59" t="s">
        <v>496</v>
      </c>
      <c r="C281" s="59" t="s">
        <v>1</v>
      </c>
      <c r="D281" s="115" t="s">
        <v>549</v>
      </c>
      <c r="E281" s="59" t="s">
        <v>550</v>
      </c>
      <c r="F281" s="115" t="s">
        <v>551</v>
      </c>
      <c r="G281" s="59" t="s">
        <v>133</v>
      </c>
      <c r="H281" s="59" t="s">
        <v>134</v>
      </c>
      <c r="I281" s="115" t="s">
        <v>552</v>
      </c>
      <c r="J281" s="125" t="s">
        <v>26</v>
      </c>
      <c r="K281" s="70">
        <v>675</v>
      </c>
      <c r="L281" s="139">
        <f>VLOOKUP(E281,'[1]MASTER WORKFILE MY26.2'!$H:$AC,22,0)</f>
        <v>381.20000000000005</v>
      </c>
      <c r="M281" s="116">
        <f>VLOOKUP(E281,'North Kite &amp; Foils '!E:M,9,0)</f>
        <v>0</v>
      </c>
      <c r="N281" s="71">
        <f t="shared" si="4"/>
        <v>0</v>
      </c>
      <c r="O281" s="61" t="s">
        <v>13</v>
      </c>
      <c r="P281" s="61" t="s">
        <v>13</v>
      </c>
      <c r="Q281" s="61" t="s">
        <v>1625</v>
      </c>
    </row>
    <row r="282" spans="1:17" ht="14.4" x14ac:dyDescent="0.3">
      <c r="A282" s="124">
        <v>269</v>
      </c>
      <c r="B282" s="59" t="s">
        <v>496</v>
      </c>
      <c r="C282" s="59" t="s">
        <v>1</v>
      </c>
      <c r="D282" s="115" t="s">
        <v>553</v>
      </c>
      <c r="E282" s="59" t="s">
        <v>554</v>
      </c>
      <c r="F282" s="115" t="s">
        <v>555</v>
      </c>
      <c r="G282" s="59" t="s">
        <v>133</v>
      </c>
      <c r="H282" s="59" t="s">
        <v>134</v>
      </c>
      <c r="I282" s="115" t="s">
        <v>556</v>
      </c>
      <c r="J282" s="125" t="s">
        <v>26</v>
      </c>
      <c r="K282" s="70">
        <v>685</v>
      </c>
      <c r="L282" s="139">
        <f>VLOOKUP(E282,'[1]MASTER WORKFILE MY26.2'!$H:$AC,22,0)</f>
        <v>386.8</v>
      </c>
      <c r="M282" s="116">
        <f>VLOOKUP(E282,'North Kite &amp; Foils '!E:M,9,0)</f>
        <v>0</v>
      </c>
      <c r="N282" s="71">
        <f t="shared" si="4"/>
        <v>0</v>
      </c>
      <c r="O282" s="61" t="s">
        <v>13</v>
      </c>
      <c r="P282" s="61" t="s">
        <v>13</v>
      </c>
      <c r="Q282" s="61" t="s">
        <v>1625</v>
      </c>
    </row>
    <row r="283" spans="1:17" ht="14.4" x14ac:dyDescent="0.3">
      <c r="A283" s="124">
        <v>270</v>
      </c>
      <c r="B283" s="59" t="s">
        <v>496</v>
      </c>
      <c r="C283" s="59" t="s">
        <v>1</v>
      </c>
      <c r="D283" s="115" t="s">
        <v>557</v>
      </c>
      <c r="E283" s="59" t="s">
        <v>558</v>
      </c>
      <c r="F283" s="115" t="s">
        <v>559</v>
      </c>
      <c r="G283" s="59" t="s">
        <v>133</v>
      </c>
      <c r="H283" s="59" t="s">
        <v>134</v>
      </c>
      <c r="I283" s="115" t="s">
        <v>560</v>
      </c>
      <c r="J283" s="125" t="s">
        <v>26</v>
      </c>
      <c r="K283" s="70">
        <v>695</v>
      </c>
      <c r="L283" s="139">
        <f>VLOOKUP(E283,'[1]MASTER WORKFILE MY26.2'!$H:$AC,22,0)</f>
        <v>392.5</v>
      </c>
      <c r="M283" s="116">
        <f>VLOOKUP(E283,'North Kite &amp; Foils '!E:M,9,0)</f>
        <v>0</v>
      </c>
      <c r="N283" s="71">
        <f t="shared" si="4"/>
        <v>0</v>
      </c>
      <c r="O283" s="61" t="s">
        <v>13</v>
      </c>
      <c r="P283" s="61" t="s">
        <v>13</v>
      </c>
      <c r="Q283" s="61" t="s">
        <v>1625</v>
      </c>
    </row>
    <row r="284" spans="1:17" ht="14.4" x14ac:dyDescent="0.3">
      <c r="A284" s="124">
        <v>271</v>
      </c>
      <c r="B284" s="59" t="s">
        <v>496</v>
      </c>
      <c r="C284" s="59" t="s">
        <v>1</v>
      </c>
      <c r="D284" s="115" t="s">
        <v>561</v>
      </c>
      <c r="E284" s="59" t="s">
        <v>562</v>
      </c>
      <c r="F284" s="115" t="s">
        <v>563</v>
      </c>
      <c r="G284" s="59" t="s">
        <v>133</v>
      </c>
      <c r="H284" s="59" t="s">
        <v>134</v>
      </c>
      <c r="I284" s="115" t="s">
        <v>564</v>
      </c>
      <c r="J284" s="125" t="s">
        <v>26</v>
      </c>
      <c r="K284" s="70">
        <v>705</v>
      </c>
      <c r="L284" s="139">
        <f>VLOOKUP(E284,'[1]MASTER WORKFILE MY26.2'!$H:$AC,22,0)</f>
        <v>398.1</v>
      </c>
      <c r="M284" s="116">
        <f>VLOOKUP(E284,'North Kite &amp; Foils '!E:M,9,0)</f>
        <v>0</v>
      </c>
      <c r="N284" s="71">
        <f t="shared" si="4"/>
        <v>0</v>
      </c>
      <c r="O284" s="61" t="s">
        <v>13</v>
      </c>
      <c r="P284" s="61" t="s">
        <v>13</v>
      </c>
      <c r="Q284" s="61" t="s">
        <v>1625</v>
      </c>
    </row>
    <row r="285" spans="1:17" ht="14.4" x14ac:dyDescent="0.3">
      <c r="A285" s="124">
        <v>272</v>
      </c>
      <c r="B285" s="59" t="s">
        <v>496</v>
      </c>
      <c r="C285" s="59" t="s">
        <v>1</v>
      </c>
      <c r="D285" s="115" t="s">
        <v>565</v>
      </c>
      <c r="E285" s="59" t="s">
        <v>566</v>
      </c>
      <c r="F285" s="115" t="s">
        <v>567</v>
      </c>
      <c r="G285" s="59" t="s">
        <v>133</v>
      </c>
      <c r="H285" s="59" t="s">
        <v>134</v>
      </c>
      <c r="I285" s="115" t="s">
        <v>568</v>
      </c>
      <c r="J285" s="125" t="s">
        <v>26</v>
      </c>
      <c r="K285" s="70">
        <v>725</v>
      </c>
      <c r="L285" s="139">
        <f>VLOOKUP(E285,'[1]MASTER WORKFILE MY26.2'!$H:$AC,22,0)</f>
        <v>409.40000000000003</v>
      </c>
      <c r="M285" s="116">
        <f>VLOOKUP(E285,'North Kite &amp; Foils '!E:M,9,0)</f>
        <v>0</v>
      </c>
      <c r="N285" s="71">
        <f t="shared" si="4"/>
        <v>0</v>
      </c>
      <c r="O285" s="61" t="s">
        <v>13</v>
      </c>
      <c r="P285" s="61" t="s">
        <v>13</v>
      </c>
      <c r="Q285" s="61" t="s">
        <v>1625</v>
      </c>
    </row>
    <row r="286" spans="1:17" ht="14.4" x14ac:dyDescent="0.3">
      <c r="A286" s="124">
        <v>273</v>
      </c>
      <c r="B286" s="59" t="s">
        <v>496</v>
      </c>
      <c r="C286" s="59" t="s">
        <v>1</v>
      </c>
      <c r="D286" s="115" t="s">
        <v>700</v>
      </c>
      <c r="E286" s="59" t="s">
        <v>701</v>
      </c>
      <c r="F286" s="115" t="s">
        <v>702</v>
      </c>
      <c r="G286" s="59" t="s">
        <v>133</v>
      </c>
      <c r="H286" s="59" t="s">
        <v>134</v>
      </c>
      <c r="I286" s="115" t="s">
        <v>703</v>
      </c>
      <c r="J286" s="125" t="s">
        <v>26</v>
      </c>
      <c r="K286" s="70">
        <v>215</v>
      </c>
      <c r="L286" s="139">
        <f>VLOOKUP(E286,'[1]MASTER WORKFILE MY26.2'!$H:$AC,22,0)</f>
        <v>121.5</v>
      </c>
      <c r="M286" s="116">
        <f>VLOOKUP(E286,'North Kite &amp; Foils '!E:M,9,0)</f>
        <v>0</v>
      </c>
      <c r="N286" s="71">
        <f t="shared" si="4"/>
        <v>0</v>
      </c>
      <c r="O286" s="61" t="s">
        <v>1755</v>
      </c>
      <c r="P286" s="61" t="s">
        <v>1755</v>
      </c>
      <c r="Q286" s="61" t="s">
        <v>1625</v>
      </c>
    </row>
    <row r="287" spans="1:17" ht="14.4" x14ac:dyDescent="0.3">
      <c r="A287" s="124">
        <v>274</v>
      </c>
      <c r="B287" s="59" t="s">
        <v>496</v>
      </c>
      <c r="C287" s="59" t="s">
        <v>1</v>
      </c>
      <c r="D287" s="115" t="s">
        <v>729</v>
      </c>
      <c r="E287" s="59" t="s">
        <v>730</v>
      </c>
      <c r="F287" s="115" t="s">
        <v>731</v>
      </c>
      <c r="G287" s="59" t="s">
        <v>133</v>
      </c>
      <c r="H287" s="59" t="s">
        <v>134</v>
      </c>
      <c r="I287" s="115" t="s">
        <v>732</v>
      </c>
      <c r="J287" s="125" t="s">
        <v>101</v>
      </c>
      <c r="K287" s="70">
        <v>200</v>
      </c>
      <c r="L287" s="139">
        <f>VLOOKUP(E287,'[1]MASTER WORKFILE MY26.2'!$H:$AC,22,0)</f>
        <v>113</v>
      </c>
      <c r="M287" s="116">
        <f>VLOOKUP(E287,'North Kite &amp; Foils '!E:M,9,0)</f>
        <v>0</v>
      </c>
      <c r="N287" s="71">
        <f t="shared" si="4"/>
        <v>0</v>
      </c>
      <c r="O287" s="61" t="s">
        <v>1755</v>
      </c>
      <c r="P287" s="61" t="s">
        <v>1755</v>
      </c>
      <c r="Q287" s="61" t="s">
        <v>1625</v>
      </c>
    </row>
    <row r="288" spans="1:17" ht="14.4" x14ac:dyDescent="0.3">
      <c r="A288" s="124">
        <v>275</v>
      </c>
      <c r="B288" s="59" t="s">
        <v>496</v>
      </c>
      <c r="C288" s="59" t="s">
        <v>1</v>
      </c>
      <c r="D288" s="115" t="s">
        <v>525</v>
      </c>
      <c r="E288" s="59" t="s">
        <v>526</v>
      </c>
      <c r="F288" s="115" t="s">
        <v>527</v>
      </c>
      <c r="G288" s="59" t="s">
        <v>133</v>
      </c>
      <c r="H288" s="59" t="s">
        <v>134</v>
      </c>
      <c r="I288" s="115" t="s">
        <v>528</v>
      </c>
      <c r="J288" s="125" t="s">
        <v>26</v>
      </c>
      <c r="K288" s="70">
        <v>200</v>
      </c>
      <c r="L288" s="139">
        <f>VLOOKUP(E288,'[1]MASTER WORKFILE MY26.2'!$H:$AC,22,0)</f>
        <v>113</v>
      </c>
      <c r="M288" s="116">
        <f>VLOOKUP(E288,'North Kite &amp; Foils '!E:M,9,0)</f>
        <v>0</v>
      </c>
      <c r="N288" s="71">
        <f t="shared" si="4"/>
        <v>0</v>
      </c>
      <c r="O288" s="61" t="s">
        <v>13</v>
      </c>
      <c r="P288" s="61" t="s">
        <v>13</v>
      </c>
      <c r="Q288" s="61" t="s">
        <v>1625</v>
      </c>
    </row>
    <row r="289" spans="1:18" ht="14.4" x14ac:dyDescent="0.3">
      <c r="A289" s="124">
        <v>276</v>
      </c>
      <c r="B289" s="59" t="s">
        <v>496</v>
      </c>
      <c r="C289" s="59" t="s">
        <v>1</v>
      </c>
      <c r="D289" s="115" t="s">
        <v>733</v>
      </c>
      <c r="E289" s="59" t="s">
        <v>734</v>
      </c>
      <c r="F289" s="115" t="s">
        <v>735</v>
      </c>
      <c r="G289" s="59" t="s">
        <v>133</v>
      </c>
      <c r="H289" s="59" t="s">
        <v>134</v>
      </c>
      <c r="I289" s="115" t="s">
        <v>736</v>
      </c>
      <c r="J289" s="125" t="s">
        <v>101</v>
      </c>
      <c r="K289" s="70">
        <v>200</v>
      </c>
      <c r="L289" s="139">
        <f>VLOOKUP(E289,'[1]MASTER WORKFILE MY26.2'!$H:$AC,22,0)</f>
        <v>113</v>
      </c>
      <c r="M289" s="116">
        <f>VLOOKUP(E289,'North Kite &amp; Foils '!E:M,9,0)</f>
        <v>0</v>
      </c>
      <c r="N289" s="71">
        <f t="shared" si="4"/>
        <v>0</v>
      </c>
      <c r="O289" s="61" t="s">
        <v>1755</v>
      </c>
      <c r="P289" s="61" t="s">
        <v>1755</v>
      </c>
      <c r="Q289" s="61" t="s">
        <v>1625</v>
      </c>
    </row>
    <row r="290" spans="1:18" ht="14.4" x14ac:dyDescent="0.3">
      <c r="A290" s="124">
        <v>277</v>
      </c>
      <c r="B290" s="59" t="s">
        <v>496</v>
      </c>
      <c r="C290" s="59" t="s">
        <v>1</v>
      </c>
      <c r="D290" s="115" t="s">
        <v>521</v>
      </c>
      <c r="E290" s="59" t="s">
        <v>522</v>
      </c>
      <c r="F290" s="115" t="s">
        <v>523</v>
      </c>
      <c r="G290" s="59" t="s">
        <v>133</v>
      </c>
      <c r="H290" s="59" t="s">
        <v>134</v>
      </c>
      <c r="I290" s="115" t="s">
        <v>524</v>
      </c>
      <c r="J290" s="125" t="s">
        <v>26</v>
      </c>
      <c r="K290" s="70">
        <v>200</v>
      </c>
      <c r="L290" s="139">
        <f>VLOOKUP(E290,'[1]MASTER WORKFILE MY26.2'!$H:$AC,22,0)</f>
        <v>113</v>
      </c>
      <c r="M290" s="116">
        <f>VLOOKUP(E290,'North Kite &amp; Foils '!E:M,9,0)</f>
        <v>0</v>
      </c>
      <c r="N290" s="71">
        <f t="shared" si="4"/>
        <v>0</v>
      </c>
      <c r="O290" s="61" t="s">
        <v>13</v>
      </c>
      <c r="P290" s="61" t="s">
        <v>13</v>
      </c>
      <c r="Q290" s="61" t="s">
        <v>1625</v>
      </c>
    </row>
    <row r="291" spans="1:18" ht="14.4" x14ac:dyDescent="0.3">
      <c r="A291" s="124">
        <v>278</v>
      </c>
      <c r="B291" s="59" t="s">
        <v>496</v>
      </c>
      <c r="C291" s="59" t="s">
        <v>1</v>
      </c>
      <c r="D291" s="115" t="s">
        <v>658</v>
      </c>
      <c r="E291" s="59" t="s">
        <v>659</v>
      </c>
      <c r="F291" s="115" t="s">
        <v>660</v>
      </c>
      <c r="G291" s="59" t="s">
        <v>133</v>
      </c>
      <c r="H291" s="59" t="s">
        <v>134</v>
      </c>
      <c r="I291" s="115" t="s">
        <v>661</v>
      </c>
      <c r="J291" s="125" t="s">
        <v>26</v>
      </c>
      <c r="K291" s="70">
        <v>200</v>
      </c>
      <c r="L291" s="139">
        <f>VLOOKUP(E291,'[1]MASTER WORKFILE MY26.2'!$H:$AC,22,0)</f>
        <v>113</v>
      </c>
      <c r="M291" s="116">
        <f>VLOOKUP(E291,'North Kite &amp; Foils '!E:M,9,0)</f>
        <v>0</v>
      </c>
      <c r="N291" s="71">
        <f t="shared" si="4"/>
        <v>0</v>
      </c>
      <c r="O291" s="61" t="s">
        <v>13</v>
      </c>
      <c r="P291" s="61" t="s">
        <v>13</v>
      </c>
      <c r="Q291" s="61" t="s">
        <v>1625</v>
      </c>
    </row>
    <row r="292" spans="1:18" ht="14.4" x14ac:dyDescent="0.3">
      <c r="A292" s="124">
        <v>279</v>
      </c>
      <c r="B292" s="59" t="s">
        <v>496</v>
      </c>
      <c r="C292" s="59" t="s">
        <v>1</v>
      </c>
      <c r="D292" s="115" t="s">
        <v>688</v>
      </c>
      <c r="E292" s="59" t="s">
        <v>689</v>
      </c>
      <c r="F292" s="115" t="s">
        <v>690</v>
      </c>
      <c r="G292" s="59" t="s">
        <v>133</v>
      </c>
      <c r="H292" s="59" t="s">
        <v>134</v>
      </c>
      <c r="I292" s="115" t="s">
        <v>691</v>
      </c>
      <c r="J292" s="125" t="s">
        <v>26</v>
      </c>
      <c r="K292" s="70">
        <v>755</v>
      </c>
      <c r="L292" s="139">
        <f>VLOOKUP(E292,'[1]MASTER WORKFILE MY26.2'!$H:$AC,22,0)</f>
        <v>426.40000000000003</v>
      </c>
      <c r="M292" s="116">
        <f>VLOOKUP(E292,'North Kite &amp; Foils '!E:M,9,0)</f>
        <v>0</v>
      </c>
      <c r="N292" s="71">
        <f t="shared" si="4"/>
        <v>0</v>
      </c>
      <c r="O292" s="61" t="s">
        <v>1755</v>
      </c>
      <c r="P292" s="61" t="s">
        <v>1755</v>
      </c>
      <c r="Q292" s="61" t="s">
        <v>1625</v>
      </c>
    </row>
    <row r="293" spans="1:18" ht="14.4" x14ac:dyDescent="0.3">
      <c r="A293" s="124">
        <v>280</v>
      </c>
      <c r="B293" s="59" t="s">
        <v>496</v>
      </c>
      <c r="C293" s="59" t="s">
        <v>1</v>
      </c>
      <c r="D293" s="115" t="s">
        <v>575</v>
      </c>
      <c r="E293" s="59" t="s">
        <v>576</v>
      </c>
      <c r="F293" s="115" t="s">
        <v>577</v>
      </c>
      <c r="G293" s="59" t="s">
        <v>133</v>
      </c>
      <c r="H293" s="59" t="s">
        <v>134</v>
      </c>
      <c r="I293" s="115" t="s">
        <v>544</v>
      </c>
      <c r="J293" s="125" t="s">
        <v>26</v>
      </c>
      <c r="K293" s="70">
        <v>780</v>
      </c>
      <c r="L293" s="139">
        <f>VLOOKUP(E293,'[1]MASTER WORKFILE MY26.2'!$H:$AC,22,0)</f>
        <v>440.5</v>
      </c>
      <c r="M293" s="116">
        <f>VLOOKUP(E293,'North Kite &amp; Foils '!E:M,9,0)</f>
        <v>0</v>
      </c>
      <c r="N293" s="71">
        <f t="shared" si="4"/>
        <v>0</v>
      </c>
      <c r="O293" s="61" t="s">
        <v>1755</v>
      </c>
      <c r="P293" s="61" t="s">
        <v>1755</v>
      </c>
      <c r="Q293" s="61" t="s">
        <v>1625</v>
      </c>
    </row>
    <row r="294" spans="1:18" ht="14.4" x14ac:dyDescent="0.3">
      <c r="A294" s="124">
        <v>281</v>
      </c>
      <c r="B294" s="59" t="s">
        <v>496</v>
      </c>
      <c r="C294" s="59" t="s">
        <v>1</v>
      </c>
      <c r="D294" s="115" t="s">
        <v>692</v>
      </c>
      <c r="E294" s="59" t="s">
        <v>693</v>
      </c>
      <c r="F294" s="115" t="s">
        <v>694</v>
      </c>
      <c r="G294" s="59" t="s">
        <v>133</v>
      </c>
      <c r="H294" s="59" t="s">
        <v>134</v>
      </c>
      <c r="I294" s="115" t="s">
        <v>695</v>
      </c>
      <c r="J294" s="125" t="s">
        <v>26</v>
      </c>
      <c r="K294" s="70">
        <v>799</v>
      </c>
      <c r="L294" s="139">
        <f>VLOOKUP(E294,'[1]MASTER WORKFILE MY26.2'!$H:$AC,22,0)</f>
        <v>451.20000000000005</v>
      </c>
      <c r="M294" s="116">
        <f>VLOOKUP(E294,'North Kite &amp; Foils '!E:M,9,0)</f>
        <v>0</v>
      </c>
      <c r="N294" s="71">
        <f t="shared" si="4"/>
        <v>0</v>
      </c>
      <c r="O294" s="61" t="s">
        <v>1755</v>
      </c>
      <c r="P294" s="61" t="s">
        <v>1755</v>
      </c>
      <c r="Q294" s="61" t="s">
        <v>1625</v>
      </c>
    </row>
    <row r="295" spans="1:18" ht="14.4" x14ac:dyDescent="0.3">
      <c r="A295" s="124">
        <v>282</v>
      </c>
      <c r="B295" s="59" t="s">
        <v>496</v>
      </c>
      <c r="C295" s="59" t="s">
        <v>1</v>
      </c>
      <c r="D295" s="115" t="s">
        <v>604</v>
      </c>
      <c r="E295" s="59" t="s">
        <v>605</v>
      </c>
      <c r="F295" s="115" t="s">
        <v>606</v>
      </c>
      <c r="G295" s="59" t="s">
        <v>133</v>
      </c>
      <c r="H295" s="59" t="s">
        <v>134</v>
      </c>
      <c r="I295" s="115" t="s">
        <v>607</v>
      </c>
      <c r="J295" s="125" t="s">
        <v>26</v>
      </c>
      <c r="K295" s="70">
        <v>819</v>
      </c>
      <c r="L295" s="139">
        <f>VLOOKUP(E295,'[1]MASTER WORKFILE MY26.2'!$H:$AC,22,0)</f>
        <v>462.5</v>
      </c>
      <c r="M295" s="116">
        <f>VLOOKUP(E295,'North Kite &amp; Foils '!E:M,9,0)</f>
        <v>0</v>
      </c>
      <c r="N295" s="71">
        <f t="shared" si="4"/>
        <v>0</v>
      </c>
      <c r="O295" s="61" t="s">
        <v>1755</v>
      </c>
      <c r="P295" s="61" t="s">
        <v>1755</v>
      </c>
      <c r="Q295" s="61" t="s">
        <v>1625</v>
      </c>
    </row>
    <row r="296" spans="1:18" ht="14.4" x14ac:dyDescent="0.3">
      <c r="A296" s="124">
        <v>283</v>
      </c>
      <c r="B296" s="122" t="s">
        <v>496</v>
      </c>
      <c r="C296" s="122" t="s">
        <v>1</v>
      </c>
      <c r="D296" s="123" t="s">
        <v>608</v>
      </c>
      <c r="E296" s="122" t="s">
        <v>609</v>
      </c>
      <c r="F296" s="123" t="s">
        <v>610</v>
      </c>
      <c r="G296" s="122" t="s">
        <v>133</v>
      </c>
      <c r="H296" s="59" t="s">
        <v>134</v>
      </c>
      <c r="I296" s="115" t="s">
        <v>611</v>
      </c>
      <c r="J296" s="125" t="s">
        <v>26</v>
      </c>
      <c r="K296" s="70">
        <v>839</v>
      </c>
      <c r="L296" s="139">
        <f>VLOOKUP(E296,'[1]MASTER WORKFILE MY26.2'!$H:$AC,22,0)</f>
        <v>473.8</v>
      </c>
      <c r="M296" s="116">
        <f>VLOOKUP(E296,'North Kite &amp; Foils '!E:M,9,0)</f>
        <v>0</v>
      </c>
      <c r="N296" s="71">
        <f t="shared" si="4"/>
        <v>0</v>
      </c>
      <c r="O296" s="61" t="s">
        <v>1755</v>
      </c>
      <c r="P296" s="61" t="s">
        <v>1755</v>
      </c>
      <c r="Q296" s="61" t="s">
        <v>1625</v>
      </c>
    </row>
    <row r="297" spans="1:18" ht="14.4" x14ac:dyDescent="0.3">
      <c r="A297" s="124">
        <v>284</v>
      </c>
      <c r="B297" s="59" t="s">
        <v>496</v>
      </c>
      <c r="C297" s="59" t="s">
        <v>1</v>
      </c>
      <c r="D297" s="115" t="s">
        <v>612</v>
      </c>
      <c r="E297" s="59" t="s">
        <v>613</v>
      </c>
      <c r="F297" s="115" t="s">
        <v>614</v>
      </c>
      <c r="G297" s="59" t="s">
        <v>133</v>
      </c>
      <c r="H297" s="59" t="s">
        <v>134</v>
      </c>
      <c r="I297" s="115" t="s">
        <v>615</v>
      </c>
      <c r="J297" s="125" t="s">
        <v>26</v>
      </c>
      <c r="K297" s="70">
        <v>859</v>
      </c>
      <c r="L297" s="139">
        <f>VLOOKUP(E297,'[1]MASTER WORKFILE MY26.2'!$H:$AC,22,0)</f>
        <v>485.1</v>
      </c>
      <c r="M297" s="116">
        <f>VLOOKUP(E297,'North Kite &amp; Foils '!E:M,9,0)</f>
        <v>0</v>
      </c>
      <c r="N297" s="71">
        <f t="shared" si="4"/>
        <v>0</v>
      </c>
      <c r="O297" s="61" t="s">
        <v>1755</v>
      </c>
      <c r="P297" s="61" t="s">
        <v>1755</v>
      </c>
      <c r="Q297" s="61" t="s">
        <v>1625</v>
      </c>
    </row>
    <row r="298" spans="1:18" ht="14.4" x14ac:dyDescent="0.3">
      <c r="A298" s="124">
        <v>285</v>
      </c>
      <c r="B298" s="59" t="s">
        <v>496</v>
      </c>
      <c r="C298" s="59" t="s">
        <v>1</v>
      </c>
      <c r="D298" s="115" t="s">
        <v>596</v>
      </c>
      <c r="E298" s="59" t="s">
        <v>597</v>
      </c>
      <c r="F298" s="115" t="s">
        <v>598</v>
      </c>
      <c r="G298" s="59" t="s">
        <v>133</v>
      </c>
      <c r="H298" s="59" t="s">
        <v>134</v>
      </c>
      <c r="I298" s="115" t="s">
        <v>599</v>
      </c>
      <c r="J298" s="125" t="s">
        <v>26</v>
      </c>
      <c r="K298" s="70">
        <v>715</v>
      </c>
      <c r="L298" s="139">
        <f>VLOOKUP(E298,'[1]MASTER WORKFILE MY26.2'!$H:$AC,22,0)</f>
        <v>403.8</v>
      </c>
      <c r="M298" s="116">
        <f>VLOOKUP(E298,'North Kite &amp; Foils '!E:M,9,0)</f>
        <v>0</v>
      </c>
      <c r="N298" s="71">
        <f t="shared" si="4"/>
        <v>0</v>
      </c>
      <c r="O298" s="61" t="s">
        <v>1755</v>
      </c>
      <c r="P298" s="61" t="s">
        <v>1755</v>
      </c>
      <c r="Q298" s="61" t="s">
        <v>1625</v>
      </c>
    </row>
    <row r="299" spans="1:18" ht="14.4" x14ac:dyDescent="0.3">
      <c r="A299" s="124">
        <v>286</v>
      </c>
      <c r="B299" s="59" t="s">
        <v>496</v>
      </c>
      <c r="C299" s="59" t="s">
        <v>1</v>
      </c>
      <c r="D299" s="115" t="s">
        <v>600</v>
      </c>
      <c r="E299" s="59" t="s">
        <v>601</v>
      </c>
      <c r="F299" s="115" t="s">
        <v>602</v>
      </c>
      <c r="G299" s="59" t="s">
        <v>133</v>
      </c>
      <c r="H299" s="59" t="s">
        <v>134</v>
      </c>
      <c r="I299" s="115" t="s">
        <v>603</v>
      </c>
      <c r="J299" s="125" t="s">
        <v>26</v>
      </c>
      <c r="K299" s="70">
        <v>735</v>
      </c>
      <c r="L299" s="139">
        <f>VLOOKUP(E299,'[1]MASTER WORKFILE MY26.2'!$H:$AC,22,0)</f>
        <v>415.1</v>
      </c>
      <c r="M299" s="116">
        <f>VLOOKUP(E299,'North Kite &amp; Foils '!E:M,9,0)</f>
        <v>0</v>
      </c>
      <c r="N299" s="71">
        <f t="shared" si="4"/>
        <v>0</v>
      </c>
      <c r="O299" s="61" t="s">
        <v>1755</v>
      </c>
      <c r="P299" s="61" t="s">
        <v>1755</v>
      </c>
      <c r="Q299" s="61" t="s">
        <v>1625</v>
      </c>
    </row>
    <row r="300" spans="1:18" ht="14.4" x14ac:dyDescent="0.3">
      <c r="A300" s="124">
        <v>287</v>
      </c>
      <c r="B300" s="59" t="s">
        <v>496</v>
      </c>
      <c r="C300" s="59" t="s">
        <v>1</v>
      </c>
      <c r="D300" s="115" t="s">
        <v>696</v>
      </c>
      <c r="E300" s="59" t="s">
        <v>697</v>
      </c>
      <c r="F300" s="115" t="s">
        <v>698</v>
      </c>
      <c r="G300" s="59" t="s">
        <v>133</v>
      </c>
      <c r="H300" s="59" t="s">
        <v>134</v>
      </c>
      <c r="I300" s="115" t="s">
        <v>699</v>
      </c>
      <c r="J300" s="125" t="s">
        <v>26</v>
      </c>
      <c r="K300" s="70">
        <v>215</v>
      </c>
      <c r="L300" s="139">
        <f>VLOOKUP(E300,'[1]MASTER WORKFILE MY26.2'!$H:$AC,22,0)</f>
        <v>121.5</v>
      </c>
      <c r="M300" s="116">
        <f>VLOOKUP(E300,'North Kite &amp; Foils '!E:M,9,0)</f>
        <v>0</v>
      </c>
      <c r="N300" s="71">
        <f t="shared" si="4"/>
        <v>0</v>
      </c>
      <c r="O300" s="61" t="s">
        <v>1755</v>
      </c>
      <c r="P300" s="61" t="s">
        <v>1755</v>
      </c>
      <c r="Q300" s="61" t="s">
        <v>1625</v>
      </c>
    </row>
    <row r="301" spans="1:18" ht="14.4" x14ac:dyDescent="0.3">
      <c r="A301" s="124">
        <v>288</v>
      </c>
      <c r="B301" s="59" t="s">
        <v>496</v>
      </c>
      <c r="C301" s="59" t="s">
        <v>1</v>
      </c>
      <c r="D301" s="115" t="s">
        <v>662</v>
      </c>
      <c r="E301" s="59" t="s">
        <v>663</v>
      </c>
      <c r="F301" s="115" t="s">
        <v>664</v>
      </c>
      <c r="G301" s="59" t="s">
        <v>133</v>
      </c>
      <c r="H301" s="59" t="s">
        <v>134</v>
      </c>
      <c r="I301" s="115" t="s">
        <v>665</v>
      </c>
      <c r="J301" s="125" t="s">
        <v>26</v>
      </c>
      <c r="K301" s="70">
        <v>215</v>
      </c>
      <c r="L301" s="139">
        <f>VLOOKUP(E301,'[1]MASTER WORKFILE MY26.2'!$H:$AC,22,0)</f>
        <v>121.5</v>
      </c>
      <c r="M301" s="116">
        <f>VLOOKUP(E301,'North Kite &amp; Foils '!E:M,9,0)</f>
        <v>0</v>
      </c>
      <c r="N301" s="71">
        <f t="shared" si="4"/>
        <v>0</v>
      </c>
      <c r="O301" s="61" t="s">
        <v>13</v>
      </c>
      <c r="P301" s="61" t="s">
        <v>13</v>
      </c>
      <c r="Q301" s="61" t="s">
        <v>1625</v>
      </c>
    </row>
    <row r="302" spans="1:18" ht="14.4" x14ac:dyDescent="0.3">
      <c r="A302" s="124">
        <v>289</v>
      </c>
      <c r="B302" s="59" t="s">
        <v>496</v>
      </c>
      <c r="C302" s="59" t="s">
        <v>1</v>
      </c>
      <c r="D302" s="115" t="s">
        <v>672</v>
      </c>
      <c r="E302" s="59" t="s">
        <v>673</v>
      </c>
      <c r="F302" s="115" t="s">
        <v>674</v>
      </c>
      <c r="G302" s="59" t="s">
        <v>133</v>
      </c>
      <c r="H302" s="59" t="s">
        <v>134</v>
      </c>
      <c r="I302" s="115" t="s">
        <v>675</v>
      </c>
      <c r="J302" s="125" t="s">
        <v>26</v>
      </c>
      <c r="K302" s="70">
        <v>200</v>
      </c>
      <c r="L302" s="139">
        <f>VLOOKUP(E302,'[1]MASTER WORKFILE MY26.2'!$H:$AC,22,0)</f>
        <v>113</v>
      </c>
      <c r="M302" s="116">
        <f>VLOOKUP(E302,'North Kite &amp; Foils '!E:M,9,0)</f>
        <v>0</v>
      </c>
      <c r="N302" s="71">
        <f t="shared" si="4"/>
        <v>0</v>
      </c>
      <c r="O302" s="61" t="s">
        <v>13</v>
      </c>
      <c r="P302" s="61" t="s">
        <v>13</v>
      </c>
      <c r="Q302" s="61" t="s">
        <v>1625</v>
      </c>
    </row>
    <row r="303" spans="1:18" ht="14.4" x14ac:dyDescent="0.3">
      <c r="A303" s="124">
        <v>290</v>
      </c>
      <c r="B303" s="59" t="s">
        <v>496</v>
      </c>
      <c r="C303" s="59" t="s">
        <v>1</v>
      </c>
      <c r="D303" s="115" t="s">
        <v>578</v>
      </c>
      <c r="E303" s="59" t="s">
        <v>579</v>
      </c>
      <c r="F303" s="115" t="s">
        <v>580</v>
      </c>
      <c r="G303" s="59" t="s">
        <v>133</v>
      </c>
      <c r="H303" s="59" t="s">
        <v>134</v>
      </c>
      <c r="I303" s="115" t="s">
        <v>581</v>
      </c>
      <c r="J303" s="125" t="s">
        <v>26</v>
      </c>
      <c r="K303" s="70">
        <v>1535</v>
      </c>
      <c r="L303" s="139">
        <f>VLOOKUP(E303,'[1]MASTER WORKFILE MY26.2'!$H:$AC,22,0)</f>
        <v>866.80000000000007</v>
      </c>
      <c r="M303" s="116">
        <f>VLOOKUP(E303,'North Kite &amp; Foils '!E:M,9,0)</f>
        <v>0</v>
      </c>
      <c r="N303" s="71">
        <f t="shared" si="4"/>
        <v>0</v>
      </c>
      <c r="O303" s="61" t="s">
        <v>1755</v>
      </c>
      <c r="P303" s="61" t="s">
        <v>1755</v>
      </c>
      <c r="Q303" s="61" t="s">
        <v>1625</v>
      </c>
    </row>
    <row r="304" spans="1:18" s="72" customFormat="1" ht="14.4" x14ac:dyDescent="0.3">
      <c r="A304" s="124">
        <v>291</v>
      </c>
      <c r="B304" s="59" t="s">
        <v>496</v>
      </c>
      <c r="C304" s="59" t="s">
        <v>1</v>
      </c>
      <c r="D304" s="115" t="s">
        <v>578</v>
      </c>
      <c r="E304" s="59" t="s">
        <v>582</v>
      </c>
      <c r="F304" s="115" t="s">
        <v>580</v>
      </c>
      <c r="G304" s="59" t="s">
        <v>133</v>
      </c>
      <c r="H304" s="59" t="s">
        <v>134</v>
      </c>
      <c r="I304" s="115" t="s">
        <v>583</v>
      </c>
      <c r="J304" s="125" t="s">
        <v>26</v>
      </c>
      <c r="K304" s="70">
        <v>1639</v>
      </c>
      <c r="L304" s="139">
        <f>VLOOKUP(E304,'[1]MASTER WORKFILE MY26.2'!$H:$AC,22,0)</f>
        <v>925.5</v>
      </c>
      <c r="M304" s="116">
        <f>VLOOKUP(E304,'North Kite &amp; Foils '!E:M,9,0)</f>
        <v>0</v>
      </c>
      <c r="N304" s="71">
        <f t="shared" si="4"/>
        <v>0</v>
      </c>
      <c r="O304" s="61" t="s">
        <v>1755</v>
      </c>
      <c r="P304" s="61" t="s">
        <v>1755</v>
      </c>
      <c r="Q304" s="61" t="s">
        <v>1625</v>
      </c>
      <c r="R304" s="53"/>
    </row>
    <row r="305" spans="1:18" s="72" customFormat="1" ht="14.4" x14ac:dyDescent="0.3">
      <c r="A305" s="124">
        <v>292</v>
      </c>
      <c r="B305" s="59" t="s">
        <v>496</v>
      </c>
      <c r="C305" s="59" t="s">
        <v>1</v>
      </c>
      <c r="D305" s="115" t="s">
        <v>569</v>
      </c>
      <c r="E305" s="59" t="s">
        <v>570</v>
      </c>
      <c r="F305" s="115" t="s">
        <v>571</v>
      </c>
      <c r="G305" s="59" t="s">
        <v>133</v>
      </c>
      <c r="H305" s="59" t="s">
        <v>134</v>
      </c>
      <c r="I305" s="115" t="s">
        <v>572</v>
      </c>
      <c r="J305" s="125" t="s">
        <v>26</v>
      </c>
      <c r="K305" s="70">
        <v>849</v>
      </c>
      <c r="L305" s="139">
        <f>VLOOKUP(E305,'[1]MASTER WORKFILE MY26.2'!$H:$AC,22,0)</f>
        <v>479.5</v>
      </c>
      <c r="M305" s="116">
        <f>VLOOKUP(E305,'North Kite &amp; Foils '!E:M,9,0)</f>
        <v>0</v>
      </c>
      <c r="N305" s="71">
        <f t="shared" si="4"/>
        <v>0</v>
      </c>
      <c r="O305" s="61" t="s">
        <v>1755</v>
      </c>
      <c r="P305" s="61" t="s">
        <v>1755</v>
      </c>
      <c r="Q305" s="61" t="s">
        <v>1625</v>
      </c>
      <c r="R305" s="53"/>
    </row>
    <row r="306" spans="1:18" s="72" customFormat="1" ht="14.4" x14ac:dyDescent="0.3">
      <c r="A306" s="124">
        <v>293</v>
      </c>
      <c r="B306" s="59" t="s">
        <v>496</v>
      </c>
      <c r="C306" s="59" t="s">
        <v>1</v>
      </c>
      <c r="D306" s="115" t="s">
        <v>569</v>
      </c>
      <c r="E306" s="59" t="s">
        <v>573</v>
      </c>
      <c r="F306" s="115" t="s">
        <v>571</v>
      </c>
      <c r="G306" s="59" t="s">
        <v>133</v>
      </c>
      <c r="H306" s="59" t="s">
        <v>134</v>
      </c>
      <c r="I306" s="115" t="s">
        <v>574</v>
      </c>
      <c r="J306" s="125" t="s">
        <v>26</v>
      </c>
      <c r="K306" s="70">
        <v>899</v>
      </c>
      <c r="L306" s="139">
        <f>VLOOKUP(E306,'[1]MASTER WORKFILE MY26.2'!$H:$AC,22,0)</f>
        <v>507.70000000000005</v>
      </c>
      <c r="M306" s="116">
        <f>VLOOKUP(E306,'North Kite &amp; Foils '!E:M,9,0)</f>
        <v>0</v>
      </c>
      <c r="N306" s="71">
        <f t="shared" si="4"/>
        <v>0</v>
      </c>
      <c r="O306" s="61" t="s">
        <v>1755</v>
      </c>
      <c r="P306" s="61" t="s">
        <v>1755</v>
      </c>
      <c r="Q306" s="61" t="s">
        <v>1625</v>
      </c>
      <c r="R306" s="53"/>
    </row>
    <row r="307" spans="1:18" ht="14.4" x14ac:dyDescent="0.3">
      <c r="A307" s="124">
        <v>294</v>
      </c>
      <c r="B307" s="59" t="s">
        <v>496</v>
      </c>
      <c r="C307" s="59" t="s">
        <v>1</v>
      </c>
      <c r="D307" s="115" t="s">
        <v>714</v>
      </c>
      <c r="E307" s="59" t="s">
        <v>715</v>
      </c>
      <c r="F307" s="115" t="s">
        <v>716</v>
      </c>
      <c r="G307" s="59" t="s">
        <v>133</v>
      </c>
      <c r="H307" s="59" t="s">
        <v>134</v>
      </c>
      <c r="I307" s="115" t="s">
        <v>717</v>
      </c>
      <c r="J307" s="125" t="s">
        <v>26</v>
      </c>
      <c r="K307" s="70">
        <v>1329</v>
      </c>
      <c r="L307" s="139">
        <f>VLOOKUP(E307,'[1]MASTER WORKFILE MY26.2'!$H:$AC,22,0)</f>
        <v>750.5</v>
      </c>
      <c r="M307" s="116">
        <f>VLOOKUP(E307,'North Kite &amp; Foils '!E:M,9,0)</f>
        <v>0</v>
      </c>
      <c r="N307" s="71">
        <f t="shared" si="4"/>
        <v>0</v>
      </c>
      <c r="O307" s="61" t="s">
        <v>13</v>
      </c>
      <c r="P307" s="61" t="s">
        <v>13</v>
      </c>
      <c r="Q307" s="61" t="s">
        <v>1625</v>
      </c>
    </row>
    <row r="308" spans="1:18" ht="14.4" x14ac:dyDescent="0.3">
      <c r="A308" s="124">
        <v>295</v>
      </c>
      <c r="B308" s="59" t="s">
        <v>496</v>
      </c>
      <c r="C308" s="59" t="s">
        <v>1</v>
      </c>
      <c r="D308" s="115" t="s">
        <v>714</v>
      </c>
      <c r="E308" s="59" t="s">
        <v>718</v>
      </c>
      <c r="F308" s="115" t="s">
        <v>716</v>
      </c>
      <c r="G308" s="59" t="s">
        <v>133</v>
      </c>
      <c r="H308" s="59" t="s">
        <v>134</v>
      </c>
      <c r="I308" s="115" t="s">
        <v>719</v>
      </c>
      <c r="J308" s="125" t="s">
        <v>26</v>
      </c>
      <c r="K308" s="70">
        <v>1329</v>
      </c>
      <c r="L308" s="139">
        <f>VLOOKUP(E308,'[1]MASTER WORKFILE MY26.2'!$H:$AC,22,0)</f>
        <v>750.5</v>
      </c>
      <c r="M308" s="116">
        <f>VLOOKUP(E308,'North Kite &amp; Foils '!E:M,9,0)</f>
        <v>0</v>
      </c>
      <c r="N308" s="71">
        <f t="shared" si="4"/>
        <v>0</v>
      </c>
      <c r="O308" s="61" t="s">
        <v>13</v>
      </c>
      <c r="P308" s="61" t="s">
        <v>13</v>
      </c>
      <c r="Q308" s="61" t="s">
        <v>1625</v>
      </c>
    </row>
    <row r="309" spans="1:18" ht="14.4" x14ac:dyDescent="0.3">
      <c r="A309" s="124">
        <v>296</v>
      </c>
      <c r="B309" s="59" t="s">
        <v>496</v>
      </c>
      <c r="C309" s="59" t="s">
        <v>1</v>
      </c>
      <c r="D309" s="115" t="s">
        <v>714</v>
      </c>
      <c r="E309" s="59" t="s">
        <v>720</v>
      </c>
      <c r="F309" s="115" t="s">
        <v>716</v>
      </c>
      <c r="G309" s="59" t="s">
        <v>133</v>
      </c>
      <c r="H309" s="59" t="s">
        <v>134</v>
      </c>
      <c r="I309" s="115" t="s">
        <v>721</v>
      </c>
      <c r="J309" s="125" t="s">
        <v>26</v>
      </c>
      <c r="K309" s="70">
        <v>1329</v>
      </c>
      <c r="L309" s="139">
        <f>VLOOKUP(E309,'[1]MASTER WORKFILE MY26.2'!$H:$AC,22,0)</f>
        <v>750.5</v>
      </c>
      <c r="M309" s="116">
        <f>VLOOKUP(E309,'North Kite &amp; Foils '!E:M,9,0)</f>
        <v>0</v>
      </c>
      <c r="N309" s="71">
        <f t="shared" si="4"/>
        <v>0</v>
      </c>
      <c r="O309" s="61" t="s">
        <v>13</v>
      </c>
      <c r="P309" s="61" t="s">
        <v>13</v>
      </c>
      <c r="Q309" s="61" t="s">
        <v>1625</v>
      </c>
    </row>
    <row r="310" spans="1:18" ht="14.4" x14ac:dyDescent="0.3">
      <c r="A310" s="124">
        <v>297</v>
      </c>
      <c r="B310" s="59" t="s">
        <v>496</v>
      </c>
      <c r="C310" s="59" t="s">
        <v>1</v>
      </c>
      <c r="D310" s="115" t="s">
        <v>714</v>
      </c>
      <c r="E310" s="59" t="s">
        <v>722</v>
      </c>
      <c r="F310" s="115" t="s">
        <v>716</v>
      </c>
      <c r="G310" s="59" t="s">
        <v>133</v>
      </c>
      <c r="H310" s="59" t="s">
        <v>134</v>
      </c>
      <c r="I310" s="115" t="s">
        <v>723</v>
      </c>
      <c r="J310" s="125" t="s">
        <v>26</v>
      </c>
      <c r="K310" s="70">
        <v>1329</v>
      </c>
      <c r="L310" s="139">
        <f>VLOOKUP(E310,'[1]MASTER WORKFILE MY26.2'!$H:$AC,22,0)</f>
        <v>750.5</v>
      </c>
      <c r="M310" s="116">
        <f>VLOOKUP(E310,'North Kite &amp; Foils '!E:M,9,0)</f>
        <v>0</v>
      </c>
      <c r="N310" s="71">
        <f t="shared" si="4"/>
        <v>0</v>
      </c>
      <c r="O310" s="61" t="s">
        <v>13</v>
      </c>
      <c r="P310" s="61" t="s">
        <v>13</v>
      </c>
      <c r="Q310" s="61" t="s">
        <v>1625</v>
      </c>
    </row>
    <row r="311" spans="1:18" ht="14.4" x14ac:dyDescent="0.3">
      <c r="A311" s="124">
        <v>298</v>
      </c>
      <c r="B311" s="59" t="s">
        <v>496</v>
      </c>
      <c r="C311" s="59" t="s">
        <v>1</v>
      </c>
      <c r="D311" s="115" t="s">
        <v>714</v>
      </c>
      <c r="E311" s="59" t="s">
        <v>724</v>
      </c>
      <c r="F311" s="115" t="s">
        <v>716</v>
      </c>
      <c r="G311" s="59" t="s">
        <v>133</v>
      </c>
      <c r="H311" s="59" t="s">
        <v>134</v>
      </c>
      <c r="I311" s="115" t="s">
        <v>725</v>
      </c>
      <c r="J311" s="125" t="s">
        <v>26</v>
      </c>
      <c r="K311" s="70">
        <v>1329</v>
      </c>
      <c r="L311" s="139">
        <f>VLOOKUP(E311,'[1]MASTER WORKFILE MY26.2'!$H:$AC,22,0)</f>
        <v>750.5</v>
      </c>
      <c r="M311" s="116">
        <f>VLOOKUP(E311,'North Kite &amp; Foils '!E:M,9,0)</f>
        <v>0</v>
      </c>
      <c r="N311" s="71">
        <f t="shared" si="4"/>
        <v>0</v>
      </c>
      <c r="O311" s="61" t="s">
        <v>13</v>
      </c>
      <c r="P311" s="61" t="s">
        <v>13</v>
      </c>
      <c r="Q311" s="61" t="s">
        <v>1625</v>
      </c>
    </row>
    <row r="312" spans="1:18" ht="14.4" x14ac:dyDescent="0.3">
      <c r="A312" s="124">
        <v>299</v>
      </c>
      <c r="B312" s="59" t="s">
        <v>496</v>
      </c>
      <c r="C312" s="59" t="s">
        <v>1</v>
      </c>
      <c r="D312" s="115" t="s">
        <v>584</v>
      </c>
      <c r="E312" s="59" t="s">
        <v>585</v>
      </c>
      <c r="F312" s="115" t="s">
        <v>586</v>
      </c>
      <c r="G312" s="59" t="s">
        <v>133</v>
      </c>
      <c r="H312" s="59" t="s">
        <v>134</v>
      </c>
      <c r="I312" s="115" t="s">
        <v>587</v>
      </c>
      <c r="J312" s="125" t="s">
        <v>353</v>
      </c>
      <c r="K312" s="70">
        <v>1329</v>
      </c>
      <c r="L312" s="139">
        <f>VLOOKUP(E312,'[1]MASTER WORKFILE MY26.2'!$H:$AC,22,0)</f>
        <v>750.5</v>
      </c>
      <c r="M312" s="116">
        <f>VLOOKUP(E312,'North Kite &amp; Foils '!E:M,9,0)</f>
        <v>0</v>
      </c>
      <c r="N312" s="71">
        <f t="shared" si="4"/>
        <v>0</v>
      </c>
      <c r="O312" s="61" t="s">
        <v>13</v>
      </c>
      <c r="P312" s="61" t="s">
        <v>13</v>
      </c>
      <c r="Q312" s="61" t="s">
        <v>1625</v>
      </c>
    </row>
    <row r="313" spans="1:18" ht="14.4" x14ac:dyDescent="0.3">
      <c r="A313" s="124">
        <v>300</v>
      </c>
      <c r="B313" s="59" t="s">
        <v>496</v>
      </c>
      <c r="C313" s="59" t="s">
        <v>1</v>
      </c>
      <c r="D313" s="115" t="s">
        <v>584</v>
      </c>
      <c r="E313" s="59" t="s">
        <v>588</v>
      </c>
      <c r="F313" s="115" t="s">
        <v>586</v>
      </c>
      <c r="G313" s="59" t="s">
        <v>133</v>
      </c>
      <c r="H313" s="59" t="s">
        <v>134</v>
      </c>
      <c r="I313" s="115" t="s">
        <v>589</v>
      </c>
      <c r="J313" s="125" t="s">
        <v>26</v>
      </c>
      <c r="K313" s="70">
        <v>1379</v>
      </c>
      <c r="L313" s="139">
        <f>VLOOKUP(E313,'[1]MASTER WORKFILE MY26.2'!$H:$AC,22,0)</f>
        <v>778.7</v>
      </c>
      <c r="M313" s="116">
        <f>VLOOKUP(E313,'North Kite &amp; Foils '!E:M,9,0)</f>
        <v>0</v>
      </c>
      <c r="N313" s="71">
        <f t="shared" si="4"/>
        <v>0</v>
      </c>
      <c r="O313" s="61" t="s">
        <v>13</v>
      </c>
      <c r="P313" s="61" t="s">
        <v>13</v>
      </c>
      <c r="Q313" s="61" t="s">
        <v>1625</v>
      </c>
    </row>
    <row r="314" spans="1:18" ht="14.4" x14ac:dyDescent="0.3">
      <c r="A314" s="124">
        <v>301</v>
      </c>
      <c r="B314" s="59" t="s">
        <v>496</v>
      </c>
      <c r="C314" s="59" t="s">
        <v>1</v>
      </c>
      <c r="D314" s="115" t="s">
        <v>584</v>
      </c>
      <c r="E314" s="59" t="s">
        <v>590</v>
      </c>
      <c r="F314" s="115" t="s">
        <v>586</v>
      </c>
      <c r="G314" s="59" t="s">
        <v>133</v>
      </c>
      <c r="H314" s="59" t="s">
        <v>134</v>
      </c>
      <c r="I314" s="115" t="s">
        <v>591</v>
      </c>
      <c r="J314" s="125" t="s">
        <v>26</v>
      </c>
      <c r="K314" s="70">
        <v>1429</v>
      </c>
      <c r="L314" s="139">
        <f>VLOOKUP(E314,'[1]MASTER WORKFILE MY26.2'!$H:$AC,22,0)</f>
        <v>807</v>
      </c>
      <c r="M314" s="116">
        <f>VLOOKUP(E314,'North Kite &amp; Foils '!E:M,9,0)</f>
        <v>0</v>
      </c>
      <c r="N314" s="71">
        <f t="shared" si="4"/>
        <v>0</v>
      </c>
      <c r="O314" s="61" t="s">
        <v>13</v>
      </c>
      <c r="P314" s="61" t="s">
        <v>13</v>
      </c>
      <c r="Q314" s="61" t="s">
        <v>1625</v>
      </c>
    </row>
    <row r="315" spans="1:18" ht="14.4" x14ac:dyDescent="0.3">
      <c r="A315" s="124">
        <v>302</v>
      </c>
      <c r="B315" s="59" t="s">
        <v>496</v>
      </c>
      <c r="C315" s="59" t="s">
        <v>1</v>
      </c>
      <c r="D315" s="115" t="s">
        <v>584</v>
      </c>
      <c r="E315" s="59" t="s">
        <v>592</v>
      </c>
      <c r="F315" s="115" t="s">
        <v>586</v>
      </c>
      <c r="G315" s="59" t="s">
        <v>133</v>
      </c>
      <c r="H315" s="59" t="s">
        <v>134</v>
      </c>
      <c r="I315" s="115" t="s">
        <v>593</v>
      </c>
      <c r="J315" s="125" t="s">
        <v>26</v>
      </c>
      <c r="K315" s="70">
        <v>1479</v>
      </c>
      <c r="L315" s="139">
        <f>VLOOKUP(E315,'[1]MASTER WORKFILE MY26.2'!$H:$AC,22,0)</f>
        <v>835.2</v>
      </c>
      <c r="M315" s="116">
        <f>VLOOKUP(E315,'North Kite &amp; Foils '!E:M,9,0)</f>
        <v>0</v>
      </c>
      <c r="N315" s="71">
        <f t="shared" si="4"/>
        <v>0</v>
      </c>
      <c r="O315" s="61" t="s">
        <v>13</v>
      </c>
      <c r="P315" s="61" t="s">
        <v>13</v>
      </c>
      <c r="Q315" s="61" t="s">
        <v>1625</v>
      </c>
    </row>
    <row r="316" spans="1:18" ht="14.4" x14ac:dyDescent="0.3">
      <c r="A316" s="124">
        <v>303</v>
      </c>
      <c r="B316" s="59" t="s">
        <v>496</v>
      </c>
      <c r="C316" s="59" t="s">
        <v>1</v>
      </c>
      <c r="D316" s="115" t="s">
        <v>584</v>
      </c>
      <c r="E316" s="59" t="s">
        <v>594</v>
      </c>
      <c r="F316" s="115" t="s">
        <v>586</v>
      </c>
      <c r="G316" s="59" t="s">
        <v>133</v>
      </c>
      <c r="H316" s="59" t="s">
        <v>134</v>
      </c>
      <c r="I316" s="115" t="s">
        <v>595</v>
      </c>
      <c r="J316" s="125" t="s">
        <v>26</v>
      </c>
      <c r="K316" s="70">
        <v>1539</v>
      </c>
      <c r="L316" s="139">
        <f>VLOOKUP(E316,'[1]MASTER WORKFILE MY26.2'!$H:$AC,22,0)</f>
        <v>869.1</v>
      </c>
      <c r="M316" s="116">
        <f>VLOOKUP(E316,'North Kite &amp; Foils '!E:M,9,0)</f>
        <v>0</v>
      </c>
      <c r="N316" s="71">
        <f t="shared" si="4"/>
        <v>0</v>
      </c>
      <c r="O316" s="61" t="s">
        <v>13</v>
      </c>
      <c r="P316" s="61" t="s">
        <v>13</v>
      </c>
      <c r="Q316" s="61" t="s">
        <v>1625</v>
      </c>
    </row>
    <row r="317" spans="1:18" ht="14.4" x14ac:dyDescent="0.3">
      <c r="A317" s="124">
        <v>304</v>
      </c>
      <c r="B317" s="59" t="s">
        <v>496</v>
      </c>
      <c r="C317" s="59" t="s">
        <v>1</v>
      </c>
      <c r="D317" s="115" t="s">
        <v>762</v>
      </c>
      <c r="E317" s="59" t="s">
        <v>763</v>
      </c>
      <c r="F317" s="115" t="s">
        <v>764</v>
      </c>
      <c r="G317" s="59" t="s">
        <v>133</v>
      </c>
      <c r="H317" s="59" t="s">
        <v>134</v>
      </c>
      <c r="I317" s="115" t="s">
        <v>581</v>
      </c>
      <c r="J317" s="125" t="s">
        <v>26</v>
      </c>
      <c r="K317" s="70">
        <v>972.5</v>
      </c>
      <c r="L317" s="139">
        <f>VLOOKUP(E317,'[1]MASTER WORKFILE MY26.2'!$H:$AC,22,0)</f>
        <v>549.20000000000005</v>
      </c>
      <c r="M317" s="116">
        <f>VLOOKUP(E317,'North Kite &amp; Foils '!E:M,9,0)</f>
        <v>0</v>
      </c>
      <c r="N317" s="71">
        <f t="shared" si="4"/>
        <v>0</v>
      </c>
      <c r="O317" s="61" t="s">
        <v>1755</v>
      </c>
      <c r="P317" s="61" t="s">
        <v>1755</v>
      </c>
      <c r="Q317" s="61" t="s">
        <v>1625</v>
      </c>
    </row>
    <row r="318" spans="1:18" ht="14.4" x14ac:dyDescent="0.3">
      <c r="A318" s="124">
        <v>305</v>
      </c>
      <c r="B318" s="59" t="s">
        <v>496</v>
      </c>
      <c r="C318" s="59" t="s">
        <v>1</v>
      </c>
      <c r="D318" s="115" t="s">
        <v>762</v>
      </c>
      <c r="E318" s="59" t="s">
        <v>765</v>
      </c>
      <c r="F318" s="115" t="s">
        <v>764</v>
      </c>
      <c r="G318" s="59" t="s">
        <v>133</v>
      </c>
      <c r="H318" s="59" t="s">
        <v>134</v>
      </c>
      <c r="I318" s="115" t="s">
        <v>583</v>
      </c>
      <c r="J318" s="125" t="s">
        <v>26</v>
      </c>
      <c r="K318" s="70">
        <v>1025</v>
      </c>
      <c r="L318" s="139">
        <f>VLOOKUP(E318,'[1]MASTER WORKFILE MY26.2'!$H:$AC,22,0)</f>
        <v>578.80000000000007</v>
      </c>
      <c r="M318" s="116">
        <f>VLOOKUP(E318,'North Kite &amp; Foils '!E:M,9,0)</f>
        <v>0</v>
      </c>
      <c r="N318" s="71">
        <f t="shared" si="4"/>
        <v>0</v>
      </c>
      <c r="O318" s="61" t="s">
        <v>1755</v>
      </c>
      <c r="P318" s="61" t="s">
        <v>1755</v>
      </c>
      <c r="Q318" s="61" t="s">
        <v>1625</v>
      </c>
    </row>
    <row r="319" spans="1:18" ht="14.4" x14ac:dyDescent="0.3">
      <c r="A319" s="124">
        <v>306</v>
      </c>
      <c r="B319" s="59" t="s">
        <v>496</v>
      </c>
      <c r="C319" s="59" t="s">
        <v>1</v>
      </c>
      <c r="D319" s="115" t="s">
        <v>754</v>
      </c>
      <c r="E319" s="59" t="s">
        <v>755</v>
      </c>
      <c r="F319" s="115" t="s">
        <v>756</v>
      </c>
      <c r="G319" s="59" t="s">
        <v>133</v>
      </c>
      <c r="H319" s="59" t="s">
        <v>134</v>
      </c>
      <c r="I319" s="115" t="s">
        <v>757</v>
      </c>
      <c r="J319" s="125" t="s">
        <v>26</v>
      </c>
      <c r="K319" s="70">
        <v>175</v>
      </c>
      <c r="L319" s="139">
        <f>VLOOKUP(E319,'[1]MASTER WORKFILE MY26.2'!$H:$AC,22,0)</f>
        <v>98.899999999999991</v>
      </c>
      <c r="M319" s="116">
        <f>VLOOKUP(E319,'North Kite &amp; Foils '!E:M,9,0)</f>
        <v>0</v>
      </c>
      <c r="N319" s="71">
        <f t="shared" si="4"/>
        <v>0</v>
      </c>
      <c r="O319" s="61" t="s">
        <v>1755</v>
      </c>
      <c r="P319" s="61" t="s">
        <v>1755</v>
      </c>
      <c r="Q319" s="61" t="s">
        <v>1625</v>
      </c>
    </row>
    <row r="320" spans="1:18" ht="14.4" x14ac:dyDescent="0.3">
      <c r="A320" s="124">
        <v>307</v>
      </c>
      <c r="B320" s="59" t="s">
        <v>496</v>
      </c>
      <c r="C320" s="59" t="s">
        <v>1</v>
      </c>
      <c r="D320" s="115" t="s">
        <v>754</v>
      </c>
      <c r="E320" s="59" t="s">
        <v>758</v>
      </c>
      <c r="F320" s="115" t="s">
        <v>756</v>
      </c>
      <c r="G320" s="59" t="s">
        <v>133</v>
      </c>
      <c r="H320" s="59" t="s">
        <v>134</v>
      </c>
      <c r="I320" s="115" t="s">
        <v>572</v>
      </c>
      <c r="J320" s="125" t="s">
        <v>26</v>
      </c>
      <c r="K320" s="70">
        <v>195</v>
      </c>
      <c r="L320" s="139">
        <f>VLOOKUP(E320,'[1]MASTER WORKFILE MY26.2'!$H:$AC,22,0)</f>
        <v>110.19999999999999</v>
      </c>
      <c r="M320" s="116">
        <f>VLOOKUP(E320,'North Kite &amp; Foils '!E:M,9,0)</f>
        <v>0</v>
      </c>
      <c r="N320" s="71">
        <f t="shared" si="4"/>
        <v>0</v>
      </c>
      <c r="O320" s="61" t="s">
        <v>1755</v>
      </c>
      <c r="P320" s="61" t="s">
        <v>1755</v>
      </c>
      <c r="Q320" s="61" t="s">
        <v>1625</v>
      </c>
    </row>
    <row r="321" spans="1:17" ht="14.4" x14ac:dyDescent="0.3">
      <c r="A321" s="124">
        <v>308</v>
      </c>
      <c r="B321" s="59" t="s">
        <v>496</v>
      </c>
      <c r="C321" s="59" t="s">
        <v>1</v>
      </c>
      <c r="D321" s="115" t="s">
        <v>754</v>
      </c>
      <c r="E321" s="59" t="s">
        <v>759</v>
      </c>
      <c r="F321" s="115" t="s">
        <v>756</v>
      </c>
      <c r="G321" s="59" t="s">
        <v>133</v>
      </c>
      <c r="H321" s="59" t="s">
        <v>134</v>
      </c>
      <c r="I321" s="115" t="s">
        <v>760</v>
      </c>
      <c r="J321" s="125" t="s">
        <v>26</v>
      </c>
      <c r="K321" s="70">
        <v>195</v>
      </c>
      <c r="L321" s="139">
        <f>VLOOKUP(E321,'[1]MASTER WORKFILE MY26.2'!$H:$AC,22,0)</f>
        <v>110.19999999999999</v>
      </c>
      <c r="M321" s="116">
        <f>VLOOKUP(E321,'North Kite &amp; Foils '!E:M,9,0)</f>
        <v>0</v>
      </c>
      <c r="N321" s="71">
        <f t="shared" si="4"/>
        <v>0</v>
      </c>
      <c r="O321" s="61" t="s">
        <v>1755</v>
      </c>
      <c r="P321" s="61" t="s">
        <v>1755</v>
      </c>
      <c r="Q321" s="61" t="s">
        <v>1625</v>
      </c>
    </row>
    <row r="322" spans="1:17" ht="14.4" x14ac:dyDescent="0.3">
      <c r="A322" s="124">
        <v>309</v>
      </c>
      <c r="B322" s="59" t="s">
        <v>496</v>
      </c>
      <c r="C322" s="59" t="s">
        <v>1</v>
      </c>
      <c r="D322" s="115" t="s">
        <v>754</v>
      </c>
      <c r="E322" s="59" t="s">
        <v>761</v>
      </c>
      <c r="F322" s="115" t="s">
        <v>756</v>
      </c>
      <c r="G322" s="59" t="s">
        <v>133</v>
      </c>
      <c r="H322" s="59" t="s">
        <v>134</v>
      </c>
      <c r="I322" s="115" t="s">
        <v>574</v>
      </c>
      <c r="J322" s="125" t="s">
        <v>26</v>
      </c>
      <c r="K322" s="70">
        <v>215</v>
      </c>
      <c r="L322" s="139">
        <f>VLOOKUP(E322,'[1]MASTER WORKFILE MY26.2'!$H:$AC,22,0)</f>
        <v>121.5</v>
      </c>
      <c r="M322" s="116">
        <f>VLOOKUP(E322,'North Kite &amp; Foils '!E:M,9,0)</f>
        <v>0</v>
      </c>
      <c r="N322" s="71">
        <f t="shared" si="4"/>
        <v>0</v>
      </c>
      <c r="O322" s="61" t="s">
        <v>1755</v>
      </c>
      <c r="P322" s="61" t="s">
        <v>1755</v>
      </c>
      <c r="Q322" s="61" t="s">
        <v>1625</v>
      </c>
    </row>
    <row r="323" spans="1:17" ht="14.4" x14ac:dyDescent="0.3">
      <c r="A323" s="124">
        <v>310</v>
      </c>
      <c r="B323" s="59" t="s">
        <v>496</v>
      </c>
      <c r="C323" s="59" t="s">
        <v>1</v>
      </c>
      <c r="D323" s="115" t="s">
        <v>743</v>
      </c>
      <c r="E323" s="59" t="s">
        <v>744</v>
      </c>
      <c r="F323" s="115" t="s">
        <v>745</v>
      </c>
      <c r="G323" s="59" t="s">
        <v>133</v>
      </c>
      <c r="H323" s="59" t="s">
        <v>134</v>
      </c>
      <c r="I323" s="115" t="s">
        <v>746</v>
      </c>
      <c r="J323" s="125" t="s">
        <v>26</v>
      </c>
      <c r="K323" s="70">
        <v>305</v>
      </c>
      <c r="L323" s="139">
        <f>VLOOKUP(E323,'[1]MASTER WORKFILE MY26.2'!$H:$AC,22,0)</f>
        <v>172.29999999999998</v>
      </c>
      <c r="M323" s="116">
        <f>VLOOKUP(E323,'North Kite &amp; Foils '!E:M,9,0)</f>
        <v>0</v>
      </c>
      <c r="N323" s="71">
        <f t="shared" si="4"/>
        <v>0</v>
      </c>
      <c r="O323" s="61" t="s">
        <v>1751</v>
      </c>
      <c r="P323" s="61" t="s">
        <v>1751</v>
      </c>
      <c r="Q323" s="61" t="s">
        <v>1625</v>
      </c>
    </row>
    <row r="324" spans="1:17" ht="14.4" x14ac:dyDescent="0.3">
      <c r="A324" s="124">
        <v>311</v>
      </c>
      <c r="B324" s="59" t="s">
        <v>496</v>
      </c>
      <c r="C324" s="59" t="s">
        <v>1</v>
      </c>
      <c r="D324" s="115" t="s">
        <v>743</v>
      </c>
      <c r="E324" s="59" t="s">
        <v>747</v>
      </c>
      <c r="F324" s="115" t="s">
        <v>745</v>
      </c>
      <c r="G324" s="59" t="s">
        <v>133</v>
      </c>
      <c r="H324" s="59" t="s">
        <v>134</v>
      </c>
      <c r="I324" s="115" t="s">
        <v>748</v>
      </c>
      <c r="J324" s="125" t="s">
        <v>26</v>
      </c>
      <c r="K324" s="70">
        <v>315</v>
      </c>
      <c r="L324" s="139">
        <f>VLOOKUP(E324,'[1]MASTER WORKFILE MY26.2'!$H:$AC,22,0)</f>
        <v>177.9</v>
      </c>
      <c r="M324" s="116">
        <f>VLOOKUP(E324,'North Kite &amp; Foils '!E:M,9,0)</f>
        <v>0</v>
      </c>
      <c r="N324" s="71">
        <f t="shared" si="4"/>
        <v>0</v>
      </c>
      <c r="O324" s="61" t="s">
        <v>1751</v>
      </c>
      <c r="P324" s="61" t="s">
        <v>1751</v>
      </c>
      <c r="Q324" s="61" t="s">
        <v>1625</v>
      </c>
    </row>
    <row r="325" spans="1:17" ht="14.4" x14ac:dyDescent="0.3">
      <c r="A325" s="124">
        <v>312</v>
      </c>
      <c r="B325" s="59" t="s">
        <v>496</v>
      </c>
      <c r="C325" s="59" t="s">
        <v>1</v>
      </c>
      <c r="D325" s="115" t="s">
        <v>743</v>
      </c>
      <c r="E325" s="59" t="s">
        <v>749</v>
      </c>
      <c r="F325" s="115" t="s">
        <v>745</v>
      </c>
      <c r="G325" s="59" t="s">
        <v>133</v>
      </c>
      <c r="H325" s="59" t="s">
        <v>134</v>
      </c>
      <c r="I325" s="115" t="s">
        <v>750</v>
      </c>
      <c r="J325" s="125" t="s">
        <v>26</v>
      </c>
      <c r="K325" s="70">
        <v>325</v>
      </c>
      <c r="L325" s="139">
        <f>VLOOKUP(E325,'[1]MASTER WORKFILE MY26.2'!$H:$AC,22,0)</f>
        <v>183.6</v>
      </c>
      <c r="M325" s="116">
        <f>VLOOKUP(E325,'North Kite &amp; Foils '!E:M,9,0)</f>
        <v>0</v>
      </c>
      <c r="N325" s="71">
        <f t="shared" si="4"/>
        <v>0</v>
      </c>
      <c r="O325" s="61" t="s">
        <v>1751</v>
      </c>
      <c r="P325" s="61" t="s">
        <v>1751</v>
      </c>
      <c r="Q325" s="61" t="s">
        <v>1625</v>
      </c>
    </row>
    <row r="326" spans="1:17" ht="14.4" x14ac:dyDescent="0.3">
      <c r="A326" s="124">
        <v>313</v>
      </c>
      <c r="B326" s="59" t="s">
        <v>496</v>
      </c>
      <c r="C326" s="59" t="s">
        <v>1</v>
      </c>
      <c r="D326" s="115" t="s">
        <v>737</v>
      </c>
      <c r="E326" s="59" t="s">
        <v>738</v>
      </c>
      <c r="F326" s="115" t="s">
        <v>739</v>
      </c>
      <c r="G326" s="59" t="s">
        <v>133</v>
      </c>
      <c r="H326" s="59" t="s">
        <v>134</v>
      </c>
      <c r="I326" s="115" t="s">
        <v>740</v>
      </c>
      <c r="J326" s="125" t="s">
        <v>26</v>
      </c>
      <c r="K326" s="70">
        <v>245</v>
      </c>
      <c r="L326" s="139">
        <f>VLOOKUP(E326,'[1]MASTER WORKFILE MY26.2'!$H:$AC,22,0)</f>
        <v>138.4</v>
      </c>
      <c r="M326" s="116">
        <f>VLOOKUP(E326,'North Kite &amp; Foils '!E:M,9,0)</f>
        <v>0</v>
      </c>
      <c r="N326" s="71">
        <f t="shared" si="4"/>
        <v>0</v>
      </c>
      <c r="O326" s="61" t="s">
        <v>1755</v>
      </c>
      <c r="P326" s="61" t="s">
        <v>1755</v>
      </c>
      <c r="Q326" s="61" t="s">
        <v>1625</v>
      </c>
    </row>
    <row r="327" spans="1:17" ht="14.4" x14ac:dyDescent="0.3">
      <c r="A327" s="124">
        <v>314</v>
      </c>
      <c r="B327" s="59" t="s">
        <v>496</v>
      </c>
      <c r="C327" s="59" t="s">
        <v>1</v>
      </c>
      <c r="D327" s="115" t="s">
        <v>737</v>
      </c>
      <c r="E327" s="59" t="s">
        <v>741</v>
      </c>
      <c r="F327" s="115" t="s">
        <v>739</v>
      </c>
      <c r="G327" s="59" t="s">
        <v>133</v>
      </c>
      <c r="H327" s="59" t="s">
        <v>134</v>
      </c>
      <c r="I327" s="115" t="s">
        <v>742</v>
      </c>
      <c r="J327" s="125" t="s">
        <v>26</v>
      </c>
      <c r="K327" s="70">
        <v>265</v>
      </c>
      <c r="L327" s="139">
        <f>VLOOKUP(E327,'[1]MASTER WORKFILE MY26.2'!$H:$AC,22,0)</f>
        <v>149.69999999999999</v>
      </c>
      <c r="M327" s="116">
        <f>VLOOKUP(E327,'North Kite &amp; Foils '!E:M,9,0)</f>
        <v>0</v>
      </c>
      <c r="N327" s="71">
        <f t="shared" si="4"/>
        <v>0</v>
      </c>
      <c r="O327" s="61" t="s">
        <v>1755</v>
      </c>
      <c r="P327" s="61" t="s">
        <v>1755</v>
      </c>
      <c r="Q327" s="61" t="s">
        <v>1625</v>
      </c>
    </row>
    <row r="328" spans="1:17" ht="14.4" x14ac:dyDescent="0.3">
      <c r="A328" s="124">
        <v>315</v>
      </c>
      <c r="B328" s="59" t="s">
        <v>496</v>
      </c>
      <c r="C328" s="59" t="s">
        <v>1</v>
      </c>
      <c r="D328" s="115" t="s">
        <v>751</v>
      </c>
      <c r="E328" s="59" t="s">
        <v>752</v>
      </c>
      <c r="F328" s="115" t="s">
        <v>753</v>
      </c>
      <c r="G328" s="59" t="s">
        <v>133</v>
      </c>
      <c r="H328" s="59" t="s">
        <v>134</v>
      </c>
      <c r="I328" s="115" t="s">
        <v>280</v>
      </c>
      <c r="J328" s="125" t="s">
        <v>26</v>
      </c>
      <c r="K328" s="70">
        <v>205</v>
      </c>
      <c r="L328" s="139">
        <f>VLOOKUP(E328,'[1]MASTER WORKFILE MY26.2'!$H:$AC,22,0)</f>
        <v>115.8</v>
      </c>
      <c r="M328" s="116">
        <f>VLOOKUP(E328,'North Kite &amp; Foils '!E:M,9,0)</f>
        <v>0</v>
      </c>
      <c r="N328" s="71">
        <f t="shared" si="4"/>
        <v>0</v>
      </c>
      <c r="O328" s="61" t="s">
        <v>1751</v>
      </c>
      <c r="P328" s="61" t="s">
        <v>1751</v>
      </c>
      <c r="Q328" s="61" t="s">
        <v>1625</v>
      </c>
    </row>
    <row r="329" spans="1:17" ht="14.4" x14ac:dyDescent="0.3">
      <c r="A329" s="124">
        <v>316</v>
      </c>
      <c r="B329" s="59" t="s">
        <v>766</v>
      </c>
      <c r="C329" s="59" t="s">
        <v>1</v>
      </c>
      <c r="D329" s="115" t="s">
        <v>767</v>
      </c>
      <c r="E329" s="59" t="s">
        <v>768</v>
      </c>
      <c r="F329" s="115" t="s">
        <v>769</v>
      </c>
      <c r="G329" s="59" t="s">
        <v>133</v>
      </c>
      <c r="H329" s="59" t="s">
        <v>134</v>
      </c>
      <c r="I329" s="115" t="s">
        <v>280</v>
      </c>
      <c r="J329" s="125" t="s">
        <v>26</v>
      </c>
      <c r="K329" s="70">
        <v>499</v>
      </c>
      <c r="L329" s="139">
        <f>VLOOKUP(E329,'[1]MASTER WORKFILE MY26.2'!$H:$AC,22,0)</f>
        <v>292.20000000000005</v>
      </c>
      <c r="M329" s="116">
        <f>VLOOKUP(E329,'North Kite &amp; Foils '!E:M,9,0)</f>
        <v>0</v>
      </c>
      <c r="N329" s="71">
        <f t="shared" si="4"/>
        <v>0</v>
      </c>
      <c r="O329" s="61"/>
      <c r="P329" s="61"/>
      <c r="Q329" s="61" t="s">
        <v>1750</v>
      </c>
    </row>
    <row r="330" spans="1:17" ht="14.4" x14ac:dyDescent="0.3">
      <c r="A330" s="124">
        <v>317</v>
      </c>
      <c r="B330" s="59" t="s">
        <v>766</v>
      </c>
      <c r="C330" s="59" t="s">
        <v>1</v>
      </c>
      <c r="D330" s="115" t="s">
        <v>770</v>
      </c>
      <c r="E330" s="59" t="s">
        <v>771</v>
      </c>
      <c r="F330" s="115" t="s">
        <v>772</v>
      </c>
      <c r="G330" s="59" t="s">
        <v>133</v>
      </c>
      <c r="H330" s="59" t="s">
        <v>134</v>
      </c>
      <c r="I330" s="115" t="s">
        <v>280</v>
      </c>
      <c r="J330" s="125" t="s">
        <v>26</v>
      </c>
      <c r="K330" s="70">
        <v>229</v>
      </c>
      <c r="L330" s="139">
        <f>VLOOKUP(E330,'[1]MASTER WORKFILE MY26.2'!$H:$AC,22,0)</f>
        <v>134.1</v>
      </c>
      <c r="M330" s="116">
        <f>VLOOKUP(E330,'North Kite &amp; Foils '!E:M,9,0)</f>
        <v>0</v>
      </c>
      <c r="N330" s="71">
        <f t="shared" si="4"/>
        <v>0</v>
      </c>
      <c r="O330" s="61"/>
      <c r="P330" s="61"/>
      <c r="Q330" s="61" t="s">
        <v>1750</v>
      </c>
    </row>
    <row r="331" spans="1:17" ht="14.4" x14ac:dyDescent="0.3">
      <c r="A331" s="124">
        <v>318</v>
      </c>
      <c r="B331" s="59" t="s">
        <v>766</v>
      </c>
      <c r="C331" s="59" t="s">
        <v>1</v>
      </c>
      <c r="D331" s="115" t="s">
        <v>773</v>
      </c>
      <c r="E331" s="59" t="s">
        <v>774</v>
      </c>
      <c r="F331" s="115" t="s">
        <v>775</v>
      </c>
      <c r="G331" s="59" t="s">
        <v>161</v>
      </c>
      <c r="H331" s="59" t="s">
        <v>162</v>
      </c>
      <c r="I331" s="115" t="s">
        <v>280</v>
      </c>
      <c r="J331" s="125" t="s">
        <v>26</v>
      </c>
      <c r="K331" s="70">
        <v>119</v>
      </c>
      <c r="L331" s="139">
        <f>VLOOKUP(E331,'[1]MASTER WORKFILE MY26.2'!$H:$AC,22,0)</f>
        <v>65.099999999999994</v>
      </c>
      <c r="M331" s="116">
        <f>VLOOKUP(E331,'North Kite &amp; Foils '!E:M,9,0)</f>
        <v>0</v>
      </c>
      <c r="N331" s="71">
        <f t="shared" si="4"/>
        <v>0</v>
      </c>
      <c r="O331" s="61"/>
      <c r="P331" s="61"/>
      <c r="Q331" s="61" t="s">
        <v>1750</v>
      </c>
    </row>
    <row r="332" spans="1:17" ht="14.4" x14ac:dyDescent="0.3">
      <c r="A332" s="124">
        <v>319</v>
      </c>
      <c r="B332" s="59" t="s">
        <v>477</v>
      </c>
      <c r="C332" s="59" t="s">
        <v>776</v>
      </c>
      <c r="D332" s="115" t="s">
        <v>777</v>
      </c>
      <c r="E332" s="59" t="s">
        <v>778</v>
      </c>
      <c r="F332" s="115" t="s">
        <v>779</v>
      </c>
      <c r="G332" s="59" t="s">
        <v>320</v>
      </c>
      <c r="H332" s="59" t="s">
        <v>321</v>
      </c>
      <c r="I332" s="115" t="s">
        <v>280</v>
      </c>
      <c r="J332" s="125" t="s">
        <v>26</v>
      </c>
      <c r="K332" s="70">
        <v>409</v>
      </c>
      <c r="L332" s="139">
        <f>VLOOKUP(E332,'[1]MASTER WORKFILE MY26.2'!$H:$AC,22,0)</f>
        <v>231</v>
      </c>
      <c r="M332" s="116">
        <f>VLOOKUP(E332,'Essential accessories '!E:M,9,0)</f>
        <v>0</v>
      </c>
      <c r="N332" s="71">
        <f t="shared" si="4"/>
        <v>0</v>
      </c>
      <c r="O332" s="61" t="s">
        <v>1751</v>
      </c>
      <c r="P332" s="61" t="s">
        <v>1751</v>
      </c>
      <c r="Q332" s="61" t="s">
        <v>1625</v>
      </c>
    </row>
    <row r="333" spans="1:17" ht="14.4" x14ac:dyDescent="0.3">
      <c r="A333" s="124">
        <v>320</v>
      </c>
      <c r="B333" s="59" t="s">
        <v>477</v>
      </c>
      <c r="C333" s="59" t="s">
        <v>776</v>
      </c>
      <c r="D333" s="115" t="s">
        <v>780</v>
      </c>
      <c r="E333" s="59" t="s">
        <v>781</v>
      </c>
      <c r="F333" s="115" t="s">
        <v>782</v>
      </c>
      <c r="G333" s="59" t="s">
        <v>133</v>
      </c>
      <c r="H333" s="59" t="s">
        <v>134</v>
      </c>
      <c r="I333" s="115" t="s">
        <v>280</v>
      </c>
      <c r="J333" s="125" t="s">
        <v>26</v>
      </c>
      <c r="K333" s="70">
        <v>75.5</v>
      </c>
      <c r="L333" s="139">
        <f>VLOOKUP(E333,'[1]MASTER WORKFILE MY26.2'!$H:$AC,22,0)</f>
        <v>42.7</v>
      </c>
      <c r="M333" s="116">
        <f>VLOOKUP(E333,'Essential accessories '!E:M,9,0)</f>
        <v>0</v>
      </c>
      <c r="N333" s="71">
        <f t="shared" ref="N333:N396" si="5">L333*M333</f>
        <v>0</v>
      </c>
      <c r="O333" s="61" t="s">
        <v>1751</v>
      </c>
      <c r="P333" s="61" t="s">
        <v>1751</v>
      </c>
      <c r="Q333" s="61" t="s">
        <v>1625</v>
      </c>
    </row>
    <row r="334" spans="1:17" ht="14.4" x14ac:dyDescent="0.3">
      <c r="A334" s="124">
        <v>321</v>
      </c>
      <c r="B334" s="59" t="s">
        <v>477</v>
      </c>
      <c r="C334" s="59" t="s">
        <v>776</v>
      </c>
      <c r="D334" s="115" t="s">
        <v>783</v>
      </c>
      <c r="E334" s="59" t="s">
        <v>784</v>
      </c>
      <c r="F334" s="115" t="s">
        <v>785</v>
      </c>
      <c r="G334" s="59" t="s">
        <v>161</v>
      </c>
      <c r="H334" s="59" t="s">
        <v>162</v>
      </c>
      <c r="I334" s="115" t="s">
        <v>280</v>
      </c>
      <c r="J334" s="125" t="s">
        <v>26</v>
      </c>
      <c r="K334" s="70">
        <v>184.5</v>
      </c>
      <c r="L334" s="139">
        <f>VLOOKUP(E334,'[1]MASTER WORKFILE MY26.2'!$H:$AC,22,0)</f>
        <v>104.19999999999999</v>
      </c>
      <c r="M334" s="116">
        <f>VLOOKUP(E334,'Essential accessories '!E:M,9,0)</f>
        <v>0</v>
      </c>
      <c r="N334" s="71">
        <f t="shared" si="5"/>
        <v>0</v>
      </c>
      <c r="O334" s="61" t="s">
        <v>1751</v>
      </c>
      <c r="P334" s="61" t="s">
        <v>1751</v>
      </c>
      <c r="Q334" s="61" t="s">
        <v>1625</v>
      </c>
    </row>
    <row r="335" spans="1:17" ht="14.4" x14ac:dyDescent="0.3">
      <c r="A335" s="124">
        <v>322</v>
      </c>
      <c r="B335" s="59" t="s">
        <v>477</v>
      </c>
      <c r="C335" s="59" t="s">
        <v>776</v>
      </c>
      <c r="D335" s="115" t="s">
        <v>786</v>
      </c>
      <c r="E335" s="59" t="s">
        <v>787</v>
      </c>
      <c r="F335" s="115" t="s">
        <v>788</v>
      </c>
      <c r="G335" s="59" t="s">
        <v>133</v>
      </c>
      <c r="H335" s="59" t="s">
        <v>134</v>
      </c>
      <c r="I335" s="115" t="s">
        <v>280</v>
      </c>
      <c r="J335" s="125" t="s">
        <v>26</v>
      </c>
      <c r="K335" s="70">
        <v>109</v>
      </c>
      <c r="L335" s="139">
        <f>VLOOKUP(E335,'[1]MASTER WORKFILE MY26.2'!$H:$AC,22,0)</f>
        <v>61.6</v>
      </c>
      <c r="M335" s="116">
        <f>VLOOKUP(E335,'Essential accessories '!E:M,9,0)</f>
        <v>0</v>
      </c>
      <c r="N335" s="71">
        <f t="shared" si="5"/>
        <v>0</v>
      </c>
      <c r="O335" s="61"/>
      <c r="P335" s="61"/>
      <c r="Q335" s="61" t="s">
        <v>1750</v>
      </c>
    </row>
    <row r="336" spans="1:17" ht="14.4" x14ac:dyDescent="0.3">
      <c r="A336" s="124">
        <v>323</v>
      </c>
      <c r="B336" s="59" t="s">
        <v>492</v>
      </c>
      <c r="C336" s="59" t="s">
        <v>776</v>
      </c>
      <c r="D336" s="115" t="s">
        <v>789</v>
      </c>
      <c r="E336" s="59" t="s">
        <v>790</v>
      </c>
      <c r="F336" s="115" t="s">
        <v>791</v>
      </c>
      <c r="G336" s="59" t="s">
        <v>161</v>
      </c>
      <c r="H336" s="59" t="s">
        <v>792</v>
      </c>
      <c r="I336" s="115" t="s">
        <v>280</v>
      </c>
      <c r="J336" s="125" t="s">
        <v>26</v>
      </c>
      <c r="K336" s="70">
        <v>11.5</v>
      </c>
      <c r="L336" s="139">
        <f>VLOOKUP(E336,'[1]MASTER WORKFILE MY26.2'!$H:$AC,22,0)</f>
        <v>6.5</v>
      </c>
      <c r="M336" s="116">
        <f>VLOOKUP(E336,'Essential accessories '!E:M,9,0)</f>
        <v>0</v>
      </c>
      <c r="N336" s="71">
        <f t="shared" si="5"/>
        <v>0</v>
      </c>
      <c r="O336" s="61"/>
      <c r="P336" s="61"/>
      <c r="Q336" s="61" t="s">
        <v>1750</v>
      </c>
    </row>
    <row r="337" spans="1:17" ht="14.4" x14ac:dyDescent="0.3">
      <c r="A337" s="124">
        <v>324</v>
      </c>
      <c r="B337" s="59" t="s">
        <v>492</v>
      </c>
      <c r="C337" s="59" t="s">
        <v>776</v>
      </c>
      <c r="D337" s="115" t="s">
        <v>793</v>
      </c>
      <c r="E337" s="59" t="s">
        <v>794</v>
      </c>
      <c r="F337" s="115" t="s">
        <v>795</v>
      </c>
      <c r="G337" s="59" t="s">
        <v>161</v>
      </c>
      <c r="H337" s="59" t="s">
        <v>162</v>
      </c>
      <c r="I337" s="115" t="s">
        <v>796</v>
      </c>
      <c r="J337" s="125" t="s">
        <v>26</v>
      </c>
      <c r="K337" s="70">
        <v>40</v>
      </c>
      <c r="L337" s="139">
        <f>VLOOKUP(E337,'[1]MASTER WORKFILE MY26.2'!$H:$AC,22,0)</f>
        <v>22.6</v>
      </c>
      <c r="M337" s="116">
        <f>VLOOKUP(E337,'Essential accessories '!E:M,9,0)</f>
        <v>0</v>
      </c>
      <c r="N337" s="71">
        <f t="shared" si="5"/>
        <v>0</v>
      </c>
      <c r="O337" s="61"/>
      <c r="P337" s="61"/>
      <c r="Q337" s="61" t="s">
        <v>1750</v>
      </c>
    </row>
    <row r="338" spans="1:17" ht="14.4" x14ac:dyDescent="0.3">
      <c r="A338" s="124">
        <v>325</v>
      </c>
      <c r="B338" s="122" t="s">
        <v>492</v>
      </c>
      <c r="C338" s="122" t="s">
        <v>776</v>
      </c>
      <c r="D338" s="123" t="s">
        <v>797</v>
      </c>
      <c r="E338" s="122" t="s">
        <v>798</v>
      </c>
      <c r="F338" s="123" t="s">
        <v>799</v>
      </c>
      <c r="G338" s="122" t="s">
        <v>133</v>
      </c>
      <c r="H338" s="122" t="s">
        <v>134</v>
      </c>
      <c r="I338" s="123" t="s">
        <v>800</v>
      </c>
      <c r="J338" s="125" t="s">
        <v>101</v>
      </c>
      <c r="K338" s="70">
        <v>65</v>
      </c>
      <c r="L338" s="139">
        <f>VLOOKUP(E338,'[1]MASTER WORKFILE MY26.2'!$H:$AC,22,0)</f>
        <v>36.800000000000004</v>
      </c>
      <c r="M338" s="116">
        <f>VLOOKUP(E338,'Essential accessories '!E:M,9,0)</f>
        <v>0</v>
      </c>
      <c r="N338" s="71">
        <f t="shared" si="5"/>
        <v>0</v>
      </c>
      <c r="O338" s="61"/>
      <c r="P338" s="61"/>
      <c r="Q338" s="61" t="s">
        <v>1750</v>
      </c>
    </row>
    <row r="339" spans="1:17" ht="14.4" x14ac:dyDescent="0.3">
      <c r="A339" s="124">
        <v>326</v>
      </c>
      <c r="B339" s="122" t="s">
        <v>492</v>
      </c>
      <c r="C339" s="122" t="s">
        <v>776</v>
      </c>
      <c r="D339" s="123" t="s">
        <v>801</v>
      </c>
      <c r="E339" s="122" t="s">
        <v>802</v>
      </c>
      <c r="F339" s="123" t="s">
        <v>803</v>
      </c>
      <c r="G339" s="122" t="s">
        <v>58</v>
      </c>
      <c r="H339" s="122" t="s">
        <v>59</v>
      </c>
      <c r="I339" s="123" t="s">
        <v>804</v>
      </c>
      <c r="J339" s="125" t="s">
        <v>101</v>
      </c>
      <c r="K339" s="70">
        <v>105</v>
      </c>
      <c r="L339" s="139">
        <f>VLOOKUP(E339,'[1]MASTER WORKFILE MY26.2'!$H:$AC,22,0)</f>
        <v>59.300000000000004</v>
      </c>
      <c r="M339" s="116">
        <f>VLOOKUP(E339,'Essential accessories '!E:M,9,0)</f>
        <v>0</v>
      </c>
      <c r="N339" s="71">
        <f t="shared" si="5"/>
        <v>0</v>
      </c>
      <c r="O339" s="61"/>
      <c r="P339" s="61"/>
      <c r="Q339" s="61" t="s">
        <v>1750</v>
      </c>
    </row>
    <row r="340" spans="1:17" ht="14.4" x14ac:dyDescent="0.3">
      <c r="A340" s="124">
        <v>327</v>
      </c>
      <c r="B340" s="59" t="s">
        <v>492</v>
      </c>
      <c r="C340" s="59" t="s">
        <v>776</v>
      </c>
      <c r="D340" s="115" t="s">
        <v>801</v>
      </c>
      <c r="E340" s="59" t="s">
        <v>805</v>
      </c>
      <c r="F340" s="115" t="s">
        <v>803</v>
      </c>
      <c r="G340" s="59" t="s">
        <v>30</v>
      </c>
      <c r="H340" s="59" t="s">
        <v>31</v>
      </c>
      <c r="I340" s="115" t="s">
        <v>804</v>
      </c>
      <c r="J340" s="125" t="s">
        <v>101</v>
      </c>
      <c r="K340" s="70">
        <v>105</v>
      </c>
      <c r="L340" s="139">
        <f>VLOOKUP(E340,'[1]MASTER WORKFILE MY26.2'!$H:$AC,22,0)</f>
        <v>59.300000000000004</v>
      </c>
      <c r="M340" s="116">
        <f>VLOOKUP(E340,'Essential accessories '!E:M,9,0)</f>
        <v>0</v>
      </c>
      <c r="N340" s="71">
        <f t="shared" si="5"/>
        <v>0</v>
      </c>
      <c r="O340" s="61"/>
      <c r="P340" s="61"/>
      <c r="Q340" s="61" t="s">
        <v>1750</v>
      </c>
    </row>
    <row r="341" spans="1:17" ht="14.4" x14ac:dyDescent="0.3">
      <c r="A341" s="124">
        <v>328</v>
      </c>
      <c r="B341" s="59" t="s">
        <v>492</v>
      </c>
      <c r="C341" s="59" t="s">
        <v>776</v>
      </c>
      <c r="D341" s="115" t="s">
        <v>801</v>
      </c>
      <c r="E341" s="59" t="s">
        <v>806</v>
      </c>
      <c r="F341" s="115" t="s">
        <v>803</v>
      </c>
      <c r="G341" s="59" t="s">
        <v>81</v>
      </c>
      <c r="H341" s="59" t="s">
        <v>82</v>
      </c>
      <c r="I341" s="115" t="s">
        <v>804</v>
      </c>
      <c r="J341" s="125" t="s">
        <v>101</v>
      </c>
      <c r="K341" s="70">
        <v>105</v>
      </c>
      <c r="L341" s="139">
        <f>VLOOKUP(E341,'[1]MASTER WORKFILE MY26.2'!$H:$AC,22,0)</f>
        <v>59.300000000000004</v>
      </c>
      <c r="M341" s="116">
        <f>VLOOKUP(E341,'Essential accessories '!E:M,9,0)</f>
        <v>0</v>
      </c>
      <c r="N341" s="71">
        <f t="shared" si="5"/>
        <v>0</v>
      </c>
      <c r="O341" s="61"/>
      <c r="P341" s="61"/>
      <c r="Q341" s="61" t="s">
        <v>1750</v>
      </c>
    </row>
    <row r="342" spans="1:17" ht="14.4" x14ac:dyDescent="0.3">
      <c r="A342" s="124">
        <v>329</v>
      </c>
      <c r="B342" s="59" t="s">
        <v>492</v>
      </c>
      <c r="C342" s="59" t="s">
        <v>776</v>
      </c>
      <c r="D342" s="115" t="s">
        <v>801</v>
      </c>
      <c r="E342" s="59" t="s">
        <v>807</v>
      </c>
      <c r="F342" s="115" t="s">
        <v>803</v>
      </c>
      <c r="G342" s="59" t="s">
        <v>91</v>
      </c>
      <c r="H342" s="59" t="s">
        <v>92</v>
      </c>
      <c r="I342" s="115" t="s">
        <v>804</v>
      </c>
      <c r="J342" s="125" t="s">
        <v>101</v>
      </c>
      <c r="K342" s="70">
        <v>105</v>
      </c>
      <c r="L342" s="139">
        <f>VLOOKUP(E342,'[1]MASTER WORKFILE MY26.2'!$H:$AC,22,0)</f>
        <v>59.300000000000004</v>
      </c>
      <c r="M342" s="116">
        <f>VLOOKUP(E342,'Essential accessories '!E:M,9,0)</f>
        <v>0</v>
      </c>
      <c r="N342" s="71">
        <f t="shared" si="5"/>
        <v>0</v>
      </c>
      <c r="O342" s="61"/>
      <c r="P342" s="61"/>
      <c r="Q342" s="61" t="s">
        <v>1750</v>
      </c>
    </row>
    <row r="343" spans="1:17" ht="14.4" x14ac:dyDescent="0.3">
      <c r="A343" s="124">
        <v>330</v>
      </c>
      <c r="B343" s="59" t="s">
        <v>492</v>
      </c>
      <c r="C343" s="59" t="s">
        <v>776</v>
      </c>
      <c r="D343" s="115" t="s">
        <v>801</v>
      </c>
      <c r="E343" s="59" t="s">
        <v>808</v>
      </c>
      <c r="F343" s="115" t="s">
        <v>803</v>
      </c>
      <c r="G343" s="59" t="s">
        <v>133</v>
      </c>
      <c r="H343" s="59" t="s">
        <v>134</v>
      </c>
      <c r="I343" s="115" t="s">
        <v>804</v>
      </c>
      <c r="J343" s="125" t="s">
        <v>101</v>
      </c>
      <c r="K343" s="70">
        <v>105</v>
      </c>
      <c r="L343" s="139">
        <f>VLOOKUP(E343,'[1]MASTER WORKFILE MY26.2'!$H:$AC,22,0)</f>
        <v>59.300000000000004</v>
      </c>
      <c r="M343" s="116">
        <f>VLOOKUP(E343,'Essential accessories '!E:M,9,0)</f>
        <v>0</v>
      </c>
      <c r="N343" s="71">
        <f t="shared" si="5"/>
        <v>0</v>
      </c>
      <c r="O343" s="61"/>
      <c r="P343" s="61"/>
      <c r="Q343" s="61" t="s">
        <v>1750</v>
      </c>
    </row>
    <row r="344" spans="1:17" ht="14.4" x14ac:dyDescent="0.3">
      <c r="A344" s="124">
        <v>331</v>
      </c>
      <c r="B344" s="59" t="s">
        <v>492</v>
      </c>
      <c r="C344" s="59" t="s">
        <v>776</v>
      </c>
      <c r="D344" s="115" t="s">
        <v>809</v>
      </c>
      <c r="E344" s="59" t="s">
        <v>810</v>
      </c>
      <c r="F344" s="115" t="s">
        <v>811</v>
      </c>
      <c r="G344" s="59" t="s">
        <v>58</v>
      </c>
      <c r="H344" s="59" t="s">
        <v>59</v>
      </c>
      <c r="I344" s="115" t="s">
        <v>804</v>
      </c>
      <c r="J344" s="125" t="s">
        <v>26</v>
      </c>
      <c r="K344" s="70">
        <v>184.5</v>
      </c>
      <c r="L344" s="139">
        <f>VLOOKUP(E344,'[1]MASTER WORKFILE MY26.2'!$H:$AC,22,0)</f>
        <v>104.19999999999999</v>
      </c>
      <c r="M344" s="116">
        <f>VLOOKUP(E344,'Essential accessories '!E:M,9,0)</f>
        <v>0</v>
      </c>
      <c r="N344" s="71">
        <f t="shared" si="5"/>
        <v>0</v>
      </c>
      <c r="O344" s="61"/>
      <c r="P344" s="61"/>
      <c r="Q344" s="61" t="s">
        <v>1750</v>
      </c>
    </row>
    <row r="345" spans="1:17" ht="14.4" x14ac:dyDescent="0.3">
      <c r="A345" s="124">
        <v>332</v>
      </c>
      <c r="B345" s="59" t="s">
        <v>492</v>
      </c>
      <c r="C345" s="59" t="s">
        <v>776</v>
      </c>
      <c r="D345" s="115" t="s">
        <v>812</v>
      </c>
      <c r="E345" s="59" t="s">
        <v>813</v>
      </c>
      <c r="F345" s="115" t="s">
        <v>814</v>
      </c>
      <c r="G345" s="59" t="s">
        <v>133</v>
      </c>
      <c r="H345" s="59" t="s">
        <v>134</v>
      </c>
      <c r="I345" s="115" t="s">
        <v>800</v>
      </c>
      <c r="J345" s="125" t="s">
        <v>26</v>
      </c>
      <c r="K345" s="70">
        <v>138.5</v>
      </c>
      <c r="L345" s="139">
        <f>VLOOKUP(E345,'[1]MASTER WORKFILE MY26.2'!$H:$AC,22,0)</f>
        <v>78.3</v>
      </c>
      <c r="M345" s="116">
        <f>VLOOKUP(E345,'Essential accessories '!E:M,9,0)</f>
        <v>0</v>
      </c>
      <c r="N345" s="71">
        <f t="shared" si="5"/>
        <v>0</v>
      </c>
      <c r="O345" s="61"/>
      <c r="P345" s="61"/>
      <c r="Q345" s="61" t="s">
        <v>1750</v>
      </c>
    </row>
    <row r="346" spans="1:17" ht="14.4" x14ac:dyDescent="0.3">
      <c r="A346" s="124">
        <v>333</v>
      </c>
      <c r="B346" s="59" t="s">
        <v>492</v>
      </c>
      <c r="C346" s="59" t="s">
        <v>776</v>
      </c>
      <c r="D346" s="115" t="s">
        <v>815</v>
      </c>
      <c r="E346" s="59" t="s">
        <v>816</v>
      </c>
      <c r="F346" s="115" t="s">
        <v>817</v>
      </c>
      <c r="G346" s="59" t="s">
        <v>161</v>
      </c>
      <c r="H346" s="59" t="s">
        <v>162</v>
      </c>
      <c r="I346" s="115" t="s">
        <v>804</v>
      </c>
      <c r="J346" s="125" t="s">
        <v>26</v>
      </c>
      <c r="K346" s="70">
        <v>132.5</v>
      </c>
      <c r="L346" s="139">
        <f>VLOOKUP(E346,'[1]MASTER WORKFILE MY26.2'!$H:$AC,22,0)</f>
        <v>74.899999999999991</v>
      </c>
      <c r="M346" s="116">
        <f>VLOOKUP(E346,'Essential accessories '!E:M,9,0)</f>
        <v>0</v>
      </c>
      <c r="N346" s="71">
        <f t="shared" si="5"/>
        <v>0</v>
      </c>
      <c r="O346" s="61"/>
      <c r="P346" s="61"/>
      <c r="Q346" s="61" t="s">
        <v>1750</v>
      </c>
    </row>
    <row r="347" spans="1:17" ht="14.4" x14ac:dyDescent="0.3">
      <c r="A347" s="124">
        <v>334</v>
      </c>
      <c r="B347" s="59" t="s">
        <v>492</v>
      </c>
      <c r="C347" s="59" t="s">
        <v>776</v>
      </c>
      <c r="D347" s="115" t="s">
        <v>818</v>
      </c>
      <c r="E347" s="59" t="s">
        <v>819</v>
      </c>
      <c r="F347" s="115" t="s">
        <v>820</v>
      </c>
      <c r="G347" s="59" t="s">
        <v>133</v>
      </c>
      <c r="H347" s="59" t="s">
        <v>134</v>
      </c>
      <c r="I347" s="115" t="s">
        <v>800</v>
      </c>
      <c r="J347" s="125" t="s">
        <v>26</v>
      </c>
      <c r="K347" s="70">
        <v>71.5</v>
      </c>
      <c r="L347" s="139">
        <f>VLOOKUP(E347,'[1]MASTER WORKFILE MY26.2'!$H:$AC,22,0)</f>
        <v>40.4</v>
      </c>
      <c r="M347" s="116">
        <f>VLOOKUP(E347,'Essential accessories '!E:M,9,0)</f>
        <v>0</v>
      </c>
      <c r="N347" s="71">
        <f t="shared" si="5"/>
        <v>0</v>
      </c>
      <c r="O347" s="61"/>
      <c r="P347" s="61"/>
      <c r="Q347" s="61" t="s">
        <v>1750</v>
      </c>
    </row>
    <row r="348" spans="1:17" ht="14.4" x14ac:dyDescent="0.3">
      <c r="A348" s="124">
        <v>335</v>
      </c>
      <c r="B348" s="59" t="s">
        <v>492</v>
      </c>
      <c r="C348" s="59" t="s">
        <v>776</v>
      </c>
      <c r="D348" s="115" t="s">
        <v>821</v>
      </c>
      <c r="E348" s="59" t="s">
        <v>822</v>
      </c>
      <c r="F348" s="115" t="s">
        <v>823</v>
      </c>
      <c r="G348" s="59" t="s">
        <v>58</v>
      </c>
      <c r="H348" s="59" t="s">
        <v>59</v>
      </c>
      <c r="I348" s="115" t="s">
        <v>800</v>
      </c>
      <c r="J348" s="125" t="s">
        <v>101</v>
      </c>
      <c r="K348" s="70">
        <v>220</v>
      </c>
      <c r="L348" s="139">
        <f>VLOOKUP(E348,'[1]MASTER WORKFILE MY26.2'!$H:$AC,22,0)</f>
        <v>124.3</v>
      </c>
      <c r="M348" s="116">
        <f>VLOOKUP(E348,'Essential accessories '!E:M,9,0)</f>
        <v>0</v>
      </c>
      <c r="N348" s="71">
        <f t="shared" si="5"/>
        <v>0</v>
      </c>
      <c r="O348" s="61"/>
      <c r="P348" s="61"/>
      <c r="Q348" s="61" t="s">
        <v>1750</v>
      </c>
    </row>
    <row r="349" spans="1:17" ht="14.4" x14ac:dyDescent="0.3">
      <c r="A349" s="124">
        <v>336</v>
      </c>
      <c r="B349" s="15" t="s">
        <v>492</v>
      </c>
      <c r="C349" s="15" t="s">
        <v>776</v>
      </c>
      <c r="D349" s="16" t="s">
        <v>824</v>
      </c>
      <c r="E349" s="16" t="s">
        <v>825</v>
      </c>
      <c r="F349" s="15" t="s">
        <v>826</v>
      </c>
      <c r="G349" s="16" t="s">
        <v>161</v>
      </c>
      <c r="H349" s="15" t="s">
        <v>162</v>
      </c>
      <c r="I349" s="15" t="s">
        <v>280</v>
      </c>
      <c r="J349" s="125" t="s">
        <v>101</v>
      </c>
      <c r="K349" s="70">
        <v>50</v>
      </c>
      <c r="L349" s="139">
        <f>VLOOKUP(E349,'[1]MASTER WORKFILE MY26.2'!$H:$AC,22,0)</f>
        <v>28.3</v>
      </c>
      <c r="M349" s="116">
        <f>VLOOKUP(E349,'Essential accessories '!E:M,9,0)</f>
        <v>0</v>
      </c>
      <c r="N349" s="71">
        <f t="shared" si="5"/>
        <v>0</v>
      </c>
      <c r="O349" s="61"/>
      <c r="P349" s="61"/>
      <c r="Q349" s="61" t="s">
        <v>1750</v>
      </c>
    </row>
    <row r="350" spans="1:17" ht="14.4" x14ac:dyDescent="0.3">
      <c r="A350" s="124">
        <v>337</v>
      </c>
      <c r="B350" s="15" t="s">
        <v>492</v>
      </c>
      <c r="C350" s="15" t="s">
        <v>776</v>
      </c>
      <c r="D350" s="16" t="s">
        <v>827</v>
      </c>
      <c r="E350" s="16" t="s">
        <v>828</v>
      </c>
      <c r="F350" s="15" t="s">
        <v>829</v>
      </c>
      <c r="G350" s="16" t="s">
        <v>161</v>
      </c>
      <c r="H350" s="15" t="s">
        <v>162</v>
      </c>
      <c r="I350" s="15" t="s">
        <v>796</v>
      </c>
      <c r="J350" s="125" t="s">
        <v>101</v>
      </c>
      <c r="K350" s="70">
        <v>60</v>
      </c>
      <c r="L350" s="139">
        <f>VLOOKUP(E350,'[1]MASTER WORKFILE MY26.2'!$H:$AC,22,0)</f>
        <v>33.9</v>
      </c>
      <c r="M350" s="116">
        <f>VLOOKUP(E350,'Essential accessories '!E:M,9,0)</f>
        <v>0</v>
      </c>
      <c r="N350" s="71">
        <f t="shared" si="5"/>
        <v>0</v>
      </c>
      <c r="O350" s="61"/>
      <c r="P350" s="61"/>
      <c r="Q350" s="61" t="s">
        <v>1750</v>
      </c>
    </row>
    <row r="351" spans="1:17" ht="14.4" x14ac:dyDescent="0.3">
      <c r="A351" s="124">
        <v>338</v>
      </c>
      <c r="B351" s="59" t="s">
        <v>496</v>
      </c>
      <c r="C351" s="59" t="s">
        <v>776</v>
      </c>
      <c r="D351" s="115" t="s">
        <v>830</v>
      </c>
      <c r="E351" s="59" t="s">
        <v>831</v>
      </c>
      <c r="F351" s="115" t="s">
        <v>832</v>
      </c>
      <c r="G351" s="59" t="s">
        <v>161</v>
      </c>
      <c r="H351" s="59" t="s">
        <v>162</v>
      </c>
      <c r="I351" s="115" t="s">
        <v>280</v>
      </c>
      <c r="J351" s="125" t="s">
        <v>26</v>
      </c>
      <c r="K351" s="70">
        <v>30</v>
      </c>
      <c r="L351" s="139">
        <f>VLOOKUP(E351,'[1]MASTER WORKFILE MY26.2'!$H:$AC,22,0)</f>
        <v>17</v>
      </c>
      <c r="M351" s="116">
        <f>VLOOKUP(E351,'Essential accessories '!E:M,9,0)</f>
        <v>0</v>
      </c>
      <c r="N351" s="71">
        <f t="shared" si="5"/>
        <v>0</v>
      </c>
      <c r="O351" s="61" t="s">
        <v>1751</v>
      </c>
      <c r="P351" s="61" t="s">
        <v>1751</v>
      </c>
      <c r="Q351" s="61" t="s">
        <v>1625</v>
      </c>
    </row>
    <row r="352" spans="1:17" ht="14.4" x14ac:dyDescent="0.3">
      <c r="A352" s="124">
        <v>339</v>
      </c>
      <c r="B352" s="59" t="s">
        <v>833</v>
      </c>
      <c r="C352" s="59" t="s">
        <v>776</v>
      </c>
      <c r="D352" s="115" t="s">
        <v>834</v>
      </c>
      <c r="E352" s="59" t="s">
        <v>835</v>
      </c>
      <c r="F352" s="115" t="s">
        <v>836</v>
      </c>
      <c r="G352" s="59" t="s">
        <v>161</v>
      </c>
      <c r="H352" s="59" t="s">
        <v>162</v>
      </c>
      <c r="I352" s="115" t="s">
        <v>280</v>
      </c>
      <c r="J352" s="125" t="s">
        <v>26</v>
      </c>
      <c r="K352" s="70">
        <v>10</v>
      </c>
      <c r="L352" s="139">
        <f>VLOOKUP(E352,'[1]MASTER WORKFILE MY26.2'!$H:$AC,22,0)</f>
        <v>5.6999999999999993</v>
      </c>
      <c r="M352" s="116">
        <f>VLOOKUP(E352,'Essential accessories '!E:M,9,0)</f>
        <v>0</v>
      </c>
      <c r="N352" s="71">
        <f t="shared" si="5"/>
        <v>0</v>
      </c>
      <c r="O352" s="61" t="s">
        <v>270</v>
      </c>
      <c r="P352" s="61" t="s">
        <v>270</v>
      </c>
      <c r="Q352" s="61" t="s">
        <v>1625</v>
      </c>
    </row>
    <row r="353" spans="1:17" ht="14.4" x14ac:dyDescent="0.3">
      <c r="A353" s="124">
        <v>340</v>
      </c>
      <c r="B353" s="59" t="s">
        <v>833</v>
      </c>
      <c r="C353" s="59" t="s">
        <v>776</v>
      </c>
      <c r="D353" s="115" t="s">
        <v>837</v>
      </c>
      <c r="E353" s="59" t="s">
        <v>838</v>
      </c>
      <c r="F353" s="115" t="s">
        <v>839</v>
      </c>
      <c r="G353" s="59" t="s">
        <v>133</v>
      </c>
      <c r="H353" s="59" t="s">
        <v>134</v>
      </c>
      <c r="I353" s="115" t="s">
        <v>280</v>
      </c>
      <c r="J353" s="125" t="s">
        <v>26</v>
      </c>
      <c r="K353" s="70">
        <v>19.5</v>
      </c>
      <c r="L353" s="139">
        <f>VLOOKUP(E353,'[1]MASTER WORKFILE MY26.2'!$H:$AC,22,0)</f>
        <v>11.1</v>
      </c>
      <c r="M353" s="116">
        <f>VLOOKUP(E353,'Essential accessories '!E:M,9,0)</f>
        <v>0</v>
      </c>
      <c r="N353" s="71">
        <f t="shared" si="5"/>
        <v>0</v>
      </c>
      <c r="O353" s="61" t="s">
        <v>1751</v>
      </c>
      <c r="P353" s="61" t="s">
        <v>1751</v>
      </c>
      <c r="Q353" s="61" t="s">
        <v>1625</v>
      </c>
    </row>
    <row r="354" spans="1:17" ht="14.4" x14ac:dyDescent="0.3">
      <c r="A354" s="124">
        <v>341</v>
      </c>
      <c r="B354" s="59" t="s">
        <v>833</v>
      </c>
      <c r="C354" s="59" t="s">
        <v>776</v>
      </c>
      <c r="D354" s="115" t="s">
        <v>840</v>
      </c>
      <c r="E354" s="59" t="s">
        <v>841</v>
      </c>
      <c r="F354" s="115" t="s">
        <v>842</v>
      </c>
      <c r="G354" s="59" t="s">
        <v>843</v>
      </c>
      <c r="H354" s="59" t="s">
        <v>844</v>
      </c>
      <c r="I354" s="115" t="s">
        <v>280</v>
      </c>
      <c r="J354" s="125" t="s">
        <v>26</v>
      </c>
      <c r="K354" s="70">
        <v>75.5</v>
      </c>
      <c r="L354" s="139">
        <f>VLOOKUP(E354,'[1]MASTER WORKFILE MY26.2'!$H:$AC,22,0)</f>
        <v>42.7</v>
      </c>
      <c r="M354" s="116">
        <f>VLOOKUP(E354,'Essential accessories '!E:M,9,0)</f>
        <v>0</v>
      </c>
      <c r="N354" s="71">
        <f t="shared" si="5"/>
        <v>0</v>
      </c>
      <c r="O354" s="61" t="s">
        <v>1751</v>
      </c>
      <c r="P354" s="61" t="s">
        <v>1751</v>
      </c>
      <c r="Q354" s="61" t="s">
        <v>1625</v>
      </c>
    </row>
    <row r="355" spans="1:17" ht="14.4" x14ac:dyDescent="0.3">
      <c r="A355" s="124">
        <v>342</v>
      </c>
      <c r="B355" s="59" t="s">
        <v>833</v>
      </c>
      <c r="C355" s="59" t="s">
        <v>776</v>
      </c>
      <c r="D355" s="115" t="s">
        <v>845</v>
      </c>
      <c r="E355" s="59" t="s">
        <v>846</v>
      </c>
      <c r="F355" s="115" t="s">
        <v>847</v>
      </c>
      <c r="G355" s="59" t="s">
        <v>843</v>
      </c>
      <c r="H355" s="59" t="s">
        <v>848</v>
      </c>
      <c r="I355" s="115" t="s">
        <v>280</v>
      </c>
      <c r="J355" s="125" t="s">
        <v>26</v>
      </c>
      <c r="K355" s="70">
        <v>50</v>
      </c>
      <c r="L355" s="139">
        <f>VLOOKUP(E355,'[1]MASTER WORKFILE MY26.2'!$H:$AC,22,0)</f>
        <v>28.3</v>
      </c>
      <c r="M355" s="116">
        <f>VLOOKUP(E355,'Essential accessories '!E:M,9,0)</f>
        <v>0</v>
      </c>
      <c r="N355" s="71">
        <f t="shared" si="5"/>
        <v>0</v>
      </c>
      <c r="O355" s="61" t="s">
        <v>1751</v>
      </c>
      <c r="P355" s="61" t="s">
        <v>1751</v>
      </c>
      <c r="Q355" s="61" t="s">
        <v>1625</v>
      </c>
    </row>
    <row r="356" spans="1:17" ht="14.4" x14ac:dyDescent="0.3">
      <c r="A356" s="124">
        <v>343</v>
      </c>
      <c r="B356" s="59" t="s">
        <v>833</v>
      </c>
      <c r="C356" s="59" t="s">
        <v>776</v>
      </c>
      <c r="D356" s="115" t="s">
        <v>849</v>
      </c>
      <c r="E356" s="59" t="s">
        <v>850</v>
      </c>
      <c r="F356" s="115" t="s">
        <v>851</v>
      </c>
      <c r="G356" s="59" t="s">
        <v>133</v>
      </c>
      <c r="H356" s="59" t="s">
        <v>134</v>
      </c>
      <c r="I356" s="115" t="s">
        <v>280</v>
      </c>
      <c r="J356" s="125" t="s">
        <v>26</v>
      </c>
      <c r="K356" s="70">
        <v>60.5</v>
      </c>
      <c r="L356" s="139">
        <f>VLOOKUP(E356,'[1]MASTER WORKFILE MY26.2'!$H:$AC,22,0)</f>
        <v>34.200000000000003</v>
      </c>
      <c r="M356" s="116">
        <f>VLOOKUP(E356,'Essential accessories '!E:M,9,0)</f>
        <v>0</v>
      </c>
      <c r="N356" s="71">
        <f t="shared" si="5"/>
        <v>0</v>
      </c>
      <c r="O356" s="61" t="s">
        <v>1751</v>
      </c>
      <c r="P356" s="61" t="s">
        <v>1751</v>
      </c>
      <c r="Q356" s="61" t="s">
        <v>1625</v>
      </c>
    </row>
    <row r="357" spans="1:17" ht="14.4" x14ac:dyDescent="0.3">
      <c r="A357" s="124">
        <v>344</v>
      </c>
      <c r="B357" s="59" t="s">
        <v>833</v>
      </c>
      <c r="C357" s="59" t="s">
        <v>776</v>
      </c>
      <c r="D357" s="115" t="s">
        <v>852</v>
      </c>
      <c r="E357" s="59" t="s">
        <v>853</v>
      </c>
      <c r="F357" s="115" t="s">
        <v>854</v>
      </c>
      <c r="G357" s="59" t="s">
        <v>133</v>
      </c>
      <c r="H357" s="59" t="s">
        <v>134</v>
      </c>
      <c r="I357" s="115" t="s">
        <v>280</v>
      </c>
      <c r="J357" s="125" t="s">
        <v>26</v>
      </c>
      <c r="K357" s="70">
        <v>50</v>
      </c>
      <c r="L357" s="139">
        <f>VLOOKUP(E357,'[1]MASTER WORKFILE MY26.2'!$H:$AC,22,0)</f>
        <v>28.3</v>
      </c>
      <c r="M357" s="116">
        <f>VLOOKUP(E357,'Essential accessories '!E:M,9,0)</f>
        <v>0</v>
      </c>
      <c r="N357" s="71">
        <f t="shared" si="5"/>
        <v>0</v>
      </c>
      <c r="O357" s="61" t="s">
        <v>1751</v>
      </c>
      <c r="P357" s="61" t="s">
        <v>1751</v>
      </c>
      <c r="Q357" s="61" t="s">
        <v>1625</v>
      </c>
    </row>
    <row r="358" spans="1:17" ht="14.4" x14ac:dyDescent="0.3">
      <c r="A358" s="124">
        <v>345</v>
      </c>
      <c r="B358" s="59" t="s">
        <v>833</v>
      </c>
      <c r="C358" s="59" t="s">
        <v>776</v>
      </c>
      <c r="D358" s="115" t="s">
        <v>855</v>
      </c>
      <c r="E358" s="59" t="s">
        <v>856</v>
      </c>
      <c r="F358" s="115" t="s">
        <v>857</v>
      </c>
      <c r="G358" s="59" t="s">
        <v>133</v>
      </c>
      <c r="H358" s="115" t="s">
        <v>134</v>
      </c>
      <c r="I358" s="115" t="s">
        <v>280</v>
      </c>
      <c r="J358" s="125" t="s">
        <v>26</v>
      </c>
      <c r="K358" s="70">
        <v>55</v>
      </c>
      <c r="L358" s="139">
        <f>VLOOKUP(E358,'[1]MASTER WORKFILE MY26.2'!$H:$AC,22,0)</f>
        <v>31.1</v>
      </c>
      <c r="M358" s="116">
        <f>VLOOKUP(E358,'Essential accessories '!E:M,9,0)</f>
        <v>0</v>
      </c>
      <c r="N358" s="71">
        <f t="shared" si="5"/>
        <v>0</v>
      </c>
      <c r="O358" s="61" t="s">
        <v>1751</v>
      </c>
      <c r="P358" s="61" t="s">
        <v>1751</v>
      </c>
      <c r="Q358" s="61" t="s">
        <v>1625</v>
      </c>
    </row>
    <row r="359" spans="1:17" ht="14.4" x14ac:dyDescent="0.3">
      <c r="A359" s="124">
        <v>346</v>
      </c>
      <c r="B359" s="59" t="s">
        <v>833</v>
      </c>
      <c r="C359" s="59" t="s">
        <v>776</v>
      </c>
      <c r="D359" s="115" t="s">
        <v>858</v>
      </c>
      <c r="E359" s="59" t="s">
        <v>859</v>
      </c>
      <c r="F359" s="115" t="s">
        <v>860</v>
      </c>
      <c r="G359" s="59" t="s">
        <v>133</v>
      </c>
      <c r="H359" s="115" t="s">
        <v>134</v>
      </c>
      <c r="I359" s="115" t="s">
        <v>280</v>
      </c>
      <c r="J359" s="125" t="s">
        <v>26</v>
      </c>
      <c r="K359" s="70">
        <v>55</v>
      </c>
      <c r="L359" s="139">
        <f>VLOOKUP(E359,'[1]MASTER WORKFILE MY26.2'!$H:$AC,22,0)</f>
        <v>31.1</v>
      </c>
      <c r="M359" s="116">
        <f>VLOOKUP(E359,'Essential accessories '!E:M,9,0)</f>
        <v>0</v>
      </c>
      <c r="N359" s="71">
        <f t="shared" si="5"/>
        <v>0</v>
      </c>
      <c r="O359" s="61" t="s">
        <v>1751</v>
      </c>
      <c r="P359" s="61" t="s">
        <v>1751</v>
      </c>
      <c r="Q359" s="61" t="s">
        <v>1625</v>
      </c>
    </row>
    <row r="360" spans="1:17" ht="14.4" x14ac:dyDescent="0.3">
      <c r="A360" s="124">
        <v>347</v>
      </c>
      <c r="B360" s="59" t="s">
        <v>833</v>
      </c>
      <c r="C360" s="59" t="s">
        <v>776</v>
      </c>
      <c r="D360" s="115" t="s">
        <v>861</v>
      </c>
      <c r="E360" s="59" t="s">
        <v>862</v>
      </c>
      <c r="F360" s="115" t="s">
        <v>863</v>
      </c>
      <c r="G360" s="59" t="s">
        <v>133</v>
      </c>
      <c r="H360" s="115" t="s">
        <v>134</v>
      </c>
      <c r="I360" s="115" t="s">
        <v>272</v>
      </c>
      <c r="J360" s="125" t="s">
        <v>26</v>
      </c>
      <c r="K360" s="70">
        <v>100</v>
      </c>
      <c r="L360" s="139">
        <f>VLOOKUP(E360,'[1]MASTER WORKFILE MY26.2'!$H:$AC,22,0)</f>
        <v>56.5</v>
      </c>
      <c r="M360" s="116">
        <f>VLOOKUP(E360,'Essential accessories '!E:M,9,0)</f>
        <v>0</v>
      </c>
      <c r="N360" s="71">
        <f t="shared" si="5"/>
        <v>0</v>
      </c>
      <c r="O360" s="61" t="s">
        <v>1754</v>
      </c>
      <c r="P360" s="61" t="s">
        <v>1754</v>
      </c>
      <c r="Q360" s="61" t="s">
        <v>1625</v>
      </c>
    </row>
    <row r="361" spans="1:17" ht="14.4" x14ac:dyDescent="0.3">
      <c r="A361" s="124">
        <v>348</v>
      </c>
      <c r="B361" s="59" t="s">
        <v>833</v>
      </c>
      <c r="C361" s="59" t="s">
        <v>776</v>
      </c>
      <c r="D361" s="115" t="s">
        <v>861</v>
      </c>
      <c r="E361" s="59" t="s">
        <v>864</v>
      </c>
      <c r="F361" s="115" t="s">
        <v>863</v>
      </c>
      <c r="G361" s="59" t="s">
        <v>133</v>
      </c>
      <c r="H361" s="115" t="s">
        <v>134</v>
      </c>
      <c r="I361" s="115" t="s">
        <v>274</v>
      </c>
      <c r="J361" s="125" t="s">
        <v>26</v>
      </c>
      <c r="K361" s="70">
        <v>100</v>
      </c>
      <c r="L361" s="139">
        <f>VLOOKUP(E361,'[1]MASTER WORKFILE MY26.2'!$H:$AC,22,0)</f>
        <v>56.5</v>
      </c>
      <c r="M361" s="116">
        <f>VLOOKUP(E361,'Essential accessories '!E:M,9,0)</f>
        <v>0</v>
      </c>
      <c r="N361" s="71">
        <f t="shared" si="5"/>
        <v>0</v>
      </c>
      <c r="O361" s="61" t="s">
        <v>1754</v>
      </c>
      <c r="P361" s="61" t="s">
        <v>1754</v>
      </c>
      <c r="Q361" s="61" t="s">
        <v>1625</v>
      </c>
    </row>
    <row r="362" spans="1:17" ht="14.4" x14ac:dyDescent="0.3">
      <c r="A362" s="124">
        <v>349</v>
      </c>
      <c r="B362" s="59" t="s">
        <v>833</v>
      </c>
      <c r="C362" s="59" t="s">
        <v>776</v>
      </c>
      <c r="D362" s="115" t="s">
        <v>865</v>
      </c>
      <c r="E362" s="59" t="s">
        <v>866</v>
      </c>
      <c r="F362" s="115" t="s">
        <v>867</v>
      </c>
      <c r="G362" s="59" t="s">
        <v>133</v>
      </c>
      <c r="H362" s="115" t="s">
        <v>134</v>
      </c>
      <c r="I362" s="115" t="s">
        <v>272</v>
      </c>
      <c r="J362" s="125" t="s">
        <v>26</v>
      </c>
      <c r="K362" s="70">
        <v>59</v>
      </c>
      <c r="L362" s="139">
        <f>VLOOKUP(E362,'[1]MASTER WORKFILE MY26.2'!$H:$AC,22,0)</f>
        <v>33.4</v>
      </c>
      <c r="M362" s="116">
        <f>VLOOKUP(E362,'Essential accessories '!E:M,9,0)</f>
        <v>0</v>
      </c>
      <c r="N362" s="71">
        <f t="shared" si="5"/>
        <v>0</v>
      </c>
      <c r="O362" s="61" t="s">
        <v>1754</v>
      </c>
      <c r="P362" s="61" t="s">
        <v>1754</v>
      </c>
      <c r="Q362" s="61" t="s">
        <v>1625</v>
      </c>
    </row>
    <row r="363" spans="1:17" ht="14.4" x14ac:dyDescent="0.3">
      <c r="A363" s="124">
        <v>350</v>
      </c>
      <c r="B363" s="59" t="s">
        <v>833</v>
      </c>
      <c r="C363" s="59" t="s">
        <v>776</v>
      </c>
      <c r="D363" s="115" t="s">
        <v>865</v>
      </c>
      <c r="E363" s="59" t="s">
        <v>868</v>
      </c>
      <c r="F363" s="115" t="s">
        <v>867</v>
      </c>
      <c r="G363" s="59" t="s">
        <v>133</v>
      </c>
      <c r="H363" s="115" t="s">
        <v>134</v>
      </c>
      <c r="I363" s="115" t="s">
        <v>274</v>
      </c>
      <c r="J363" s="125" t="s">
        <v>26</v>
      </c>
      <c r="K363" s="70">
        <v>69</v>
      </c>
      <c r="L363" s="139">
        <f>VLOOKUP(E363,'[1]MASTER WORKFILE MY26.2'!$H:$AC,22,0)</f>
        <v>39</v>
      </c>
      <c r="M363" s="116">
        <f>VLOOKUP(E363,'Essential accessories '!E:M,9,0)</f>
        <v>0</v>
      </c>
      <c r="N363" s="71">
        <f t="shared" si="5"/>
        <v>0</v>
      </c>
      <c r="O363" s="61" t="s">
        <v>1754</v>
      </c>
      <c r="P363" s="61" t="s">
        <v>1754</v>
      </c>
      <c r="Q363" s="61" t="s">
        <v>1625</v>
      </c>
    </row>
    <row r="364" spans="1:17" ht="14.4" x14ac:dyDescent="0.3">
      <c r="A364" s="124">
        <v>351</v>
      </c>
      <c r="B364" s="59" t="s">
        <v>833</v>
      </c>
      <c r="C364" s="59" t="s">
        <v>776</v>
      </c>
      <c r="D364" s="115" t="s">
        <v>869</v>
      </c>
      <c r="E364" s="59" t="s">
        <v>870</v>
      </c>
      <c r="F364" s="115" t="s">
        <v>871</v>
      </c>
      <c r="G364" s="59" t="s">
        <v>133</v>
      </c>
      <c r="H364" s="115" t="s">
        <v>134</v>
      </c>
      <c r="I364" s="115" t="s">
        <v>280</v>
      </c>
      <c r="J364" s="125" t="s">
        <v>26</v>
      </c>
      <c r="K364" s="70">
        <v>76</v>
      </c>
      <c r="L364" s="139">
        <f>VLOOKUP(E364,'[1]MASTER WORKFILE MY26.2'!$H:$AC,22,0)</f>
        <v>43</v>
      </c>
      <c r="M364" s="116">
        <f>VLOOKUP(E364,'Essential accessories '!E:M,9,0)</f>
        <v>0</v>
      </c>
      <c r="N364" s="71">
        <f t="shared" si="5"/>
        <v>0</v>
      </c>
      <c r="O364" s="61" t="s">
        <v>1751</v>
      </c>
      <c r="P364" s="61" t="s">
        <v>1751</v>
      </c>
      <c r="Q364" s="61" t="s">
        <v>1625</v>
      </c>
    </row>
    <row r="365" spans="1:17" ht="14.4" x14ac:dyDescent="0.3">
      <c r="A365" s="124">
        <v>352</v>
      </c>
      <c r="B365" s="59" t="s">
        <v>833</v>
      </c>
      <c r="C365" s="59" t="s">
        <v>776</v>
      </c>
      <c r="D365" s="115" t="s">
        <v>872</v>
      </c>
      <c r="E365" s="59" t="s">
        <v>873</v>
      </c>
      <c r="F365" s="115" t="s">
        <v>874</v>
      </c>
      <c r="G365" s="59" t="s">
        <v>133</v>
      </c>
      <c r="H365" s="115" t="s">
        <v>134</v>
      </c>
      <c r="I365" s="115" t="s">
        <v>280</v>
      </c>
      <c r="J365" s="125" t="s">
        <v>26</v>
      </c>
      <c r="K365" s="70">
        <v>76</v>
      </c>
      <c r="L365" s="139">
        <f>VLOOKUP(E365,'[1]MASTER WORKFILE MY26.2'!$H:$AC,22,0)</f>
        <v>43</v>
      </c>
      <c r="M365" s="116">
        <f>VLOOKUP(E365,'Essential accessories '!E:M,9,0)</f>
        <v>0</v>
      </c>
      <c r="N365" s="71">
        <f t="shared" si="5"/>
        <v>0</v>
      </c>
      <c r="O365" s="61" t="s">
        <v>1751</v>
      </c>
      <c r="P365" s="61" t="s">
        <v>1751</v>
      </c>
      <c r="Q365" s="61" t="s">
        <v>1625</v>
      </c>
    </row>
    <row r="366" spans="1:17" ht="14.4" x14ac:dyDescent="0.3">
      <c r="A366" s="124">
        <v>353</v>
      </c>
      <c r="B366" s="59" t="s">
        <v>833</v>
      </c>
      <c r="C366" s="59" t="s">
        <v>776</v>
      </c>
      <c r="D366" s="115" t="s">
        <v>875</v>
      </c>
      <c r="E366" s="59" t="s">
        <v>876</v>
      </c>
      <c r="F366" s="115" t="s">
        <v>877</v>
      </c>
      <c r="G366" s="59" t="s">
        <v>58</v>
      </c>
      <c r="H366" s="59" t="s">
        <v>59</v>
      </c>
      <c r="I366" s="115" t="s">
        <v>270</v>
      </c>
      <c r="J366" s="125" t="s">
        <v>26</v>
      </c>
      <c r="K366" s="70">
        <v>79</v>
      </c>
      <c r="L366" s="139">
        <f>VLOOKUP(E366,'[1]MASTER WORKFILE MY26.2'!$H:$AC,22,0)</f>
        <v>44.7</v>
      </c>
      <c r="M366" s="116">
        <f>VLOOKUP(E366,'Essential accessories '!E:M,9,0)</f>
        <v>0</v>
      </c>
      <c r="N366" s="71">
        <f t="shared" si="5"/>
        <v>0</v>
      </c>
      <c r="O366" s="61"/>
      <c r="P366" s="61"/>
      <c r="Q366" s="61" t="s">
        <v>1750</v>
      </c>
    </row>
    <row r="367" spans="1:17" ht="14.4" x14ac:dyDescent="0.3">
      <c r="A367" s="124">
        <v>354</v>
      </c>
      <c r="B367" s="59" t="s">
        <v>833</v>
      </c>
      <c r="C367" s="59" t="s">
        <v>776</v>
      </c>
      <c r="D367" s="115" t="s">
        <v>878</v>
      </c>
      <c r="E367" s="59" t="s">
        <v>879</v>
      </c>
      <c r="F367" s="115" t="s">
        <v>880</v>
      </c>
      <c r="G367" s="59" t="s">
        <v>58</v>
      </c>
      <c r="H367" s="59" t="s">
        <v>59</v>
      </c>
      <c r="I367" s="115" t="s">
        <v>274</v>
      </c>
      <c r="J367" s="125" t="s">
        <v>26</v>
      </c>
      <c r="K367" s="70">
        <v>99</v>
      </c>
      <c r="L367" s="139">
        <f>VLOOKUP(E367,'[1]MASTER WORKFILE MY26.2'!$H:$AC,22,0)</f>
        <v>56</v>
      </c>
      <c r="M367" s="116">
        <f>VLOOKUP(E367,'Essential accessories '!E:M,9,0)</f>
        <v>0</v>
      </c>
      <c r="N367" s="71">
        <f t="shared" si="5"/>
        <v>0</v>
      </c>
      <c r="O367" s="61"/>
      <c r="P367" s="61"/>
      <c r="Q367" s="61" t="s">
        <v>1750</v>
      </c>
    </row>
    <row r="368" spans="1:17" ht="14.4" x14ac:dyDescent="0.3">
      <c r="A368" s="124">
        <v>355</v>
      </c>
      <c r="B368" s="59" t="s">
        <v>833</v>
      </c>
      <c r="C368" s="59" t="s">
        <v>776</v>
      </c>
      <c r="D368" s="115" t="s">
        <v>883</v>
      </c>
      <c r="E368" s="59" t="s">
        <v>884</v>
      </c>
      <c r="F368" s="115" t="s">
        <v>885</v>
      </c>
      <c r="G368" s="59" t="s">
        <v>886</v>
      </c>
      <c r="H368" s="59" t="s">
        <v>887</v>
      </c>
      <c r="I368" s="115" t="s">
        <v>280</v>
      </c>
      <c r="J368" s="125" t="s">
        <v>26</v>
      </c>
      <c r="K368" s="70">
        <v>15.5</v>
      </c>
      <c r="L368" s="139">
        <f>VLOOKUP(E368,'[1]MASTER WORKFILE MY26.2'!$H:$AC,22,0)</f>
        <v>8.7999999999999989</v>
      </c>
      <c r="M368" s="116">
        <f>VLOOKUP(E368,'Essential accessories '!E:M,9,0)</f>
        <v>0</v>
      </c>
      <c r="N368" s="71">
        <f t="shared" si="5"/>
        <v>0</v>
      </c>
      <c r="O368" s="61" t="s">
        <v>1751</v>
      </c>
      <c r="P368" s="61" t="s">
        <v>1751</v>
      </c>
      <c r="Q368" s="61" t="s">
        <v>1625</v>
      </c>
    </row>
    <row r="369" spans="1:17" ht="14.4" x14ac:dyDescent="0.3">
      <c r="A369" s="124">
        <v>356</v>
      </c>
      <c r="B369" s="59" t="s">
        <v>833</v>
      </c>
      <c r="C369" s="59" t="s">
        <v>776</v>
      </c>
      <c r="D369" s="115" t="s">
        <v>888</v>
      </c>
      <c r="E369" s="59" t="s">
        <v>889</v>
      </c>
      <c r="F369" s="115" t="s">
        <v>890</v>
      </c>
      <c r="G369" s="59" t="s">
        <v>133</v>
      </c>
      <c r="H369" s="59" t="s">
        <v>134</v>
      </c>
      <c r="I369" s="115" t="s">
        <v>280</v>
      </c>
      <c r="J369" s="125" t="s">
        <v>26</v>
      </c>
      <c r="K369" s="70">
        <v>41.5</v>
      </c>
      <c r="L369" s="139">
        <f>VLOOKUP(E369,'[1]MASTER WORKFILE MY26.2'!$H:$AC,22,0)</f>
        <v>23.5</v>
      </c>
      <c r="M369" s="116">
        <f>VLOOKUP(E369,'Essential accessories '!E:M,9,0)</f>
        <v>0</v>
      </c>
      <c r="N369" s="71">
        <f t="shared" si="5"/>
        <v>0</v>
      </c>
      <c r="O369" s="61" t="s">
        <v>1751</v>
      </c>
      <c r="P369" s="61" t="s">
        <v>1751</v>
      </c>
      <c r="Q369" s="61" t="s">
        <v>1625</v>
      </c>
    </row>
    <row r="370" spans="1:17" ht="14.4" x14ac:dyDescent="0.3">
      <c r="A370" s="124">
        <v>357</v>
      </c>
      <c r="B370" s="59" t="s">
        <v>833</v>
      </c>
      <c r="C370" s="59" t="s">
        <v>776</v>
      </c>
      <c r="D370" s="115" t="s">
        <v>891</v>
      </c>
      <c r="E370" s="59" t="s">
        <v>892</v>
      </c>
      <c r="F370" s="115" t="s">
        <v>893</v>
      </c>
      <c r="G370" s="59" t="s">
        <v>886</v>
      </c>
      <c r="H370" s="59" t="s">
        <v>887</v>
      </c>
      <c r="I370" s="115" t="s">
        <v>280</v>
      </c>
      <c r="J370" s="125" t="s">
        <v>26</v>
      </c>
      <c r="K370" s="70">
        <v>15.5</v>
      </c>
      <c r="L370" s="139">
        <f>VLOOKUP(E370,'[1]MASTER WORKFILE MY26.2'!$H:$AC,22,0)</f>
        <v>8.7999999999999989</v>
      </c>
      <c r="M370" s="116">
        <f>VLOOKUP(E370,'Essential accessories '!E:M,9,0)</f>
        <v>0</v>
      </c>
      <c r="N370" s="71">
        <f t="shared" si="5"/>
        <v>0</v>
      </c>
      <c r="O370" s="61" t="s">
        <v>1751</v>
      </c>
      <c r="P370" s="61" t="s">
        <v>1751</v>
      </c>
      <c r="Q370" s="61" t="s">
        <v>1625</v>
      </c>
    </row>
    <row r="371" spans="1:17" ht="14.4" x14ac:dyDescent="0.3">
      <c r="A371" s="124">
        <v>358</v>
      </c>
      <c r="B371" s="59" t="s">
        <v>833</v>
      </c>
      <c r="C371" s="59" t="s">
        <v>776</v>
      </c>
      <c r="D371" s="115" t="s">
        <v>894</v>
      </c>
      <c r="E371" s="59" t="s">
        <v>895</v>
      </c>
      <c r="F371" s="115" t="s">
        <v>896</v>
      </c>
      <c r="G371" s="59" t="s">
        <v>881</v>
      </c>
      <c r="H371" s="59" t="s">
        <v>882</v>
      </c>
      <c r="I371" s="115" t="s">
        <v>25</v>
      </c>
      <c r="J371" s="125" t="s">
        <v>26</v>
      </c>
      <c r="K371" s="70">
        <v>30</v>
      </c>
      <c r="L371" s="139">
        <f>VLOOKUP(E371,'[1]MASTER WORKFILE MY26.2'!$H:$AC,22,0)</f>
        <v>17</v>
      </c>
      <c r="M371" s="116">
        <f>VLOOKUP(E371,'Essential accessories '!E:M,9,0)</f>
        <v>0</v>
      </c>
      <c r="N371" s="71">
        <f t="shared" si="5"/>
        <v>0</v>
      </c>
      <c r="O371" s="61" t="s">
        <v>1756</v>
      </c>
      <c r="P371" s="61" t="s">
        <v>1756</v>
      </c>
      <c r="Q371" s="61" t="s">
        <v>1625</v>
      </c>
    </row>
    <row r="372" spans="1:17" ht="14.4" x14ac:dyDescent="0.3">
      <c r="A372" s="124">
        <v>359</v>
      </c>
      <c r="B372" s="59" t="s">
        <v>833</v>
      </c>
      <c r="C372" s="59" t="s">
        <v>776</v>
      </c>
      <c r="D372" s="115" t="s">
        <v>897</v>
      </c>
      <c r="E372" s="59" t="s">
        <v>898</v>
      </c>
      <c r="F372" s="115" t="s">
        <v>899</v>
      </c>
      <c r="G372" s="59" t="s">
        <v>161</v>
      </c>
      <c r="H372" s="59" t="s">
        <v>162</v>
      </c>
      <c r="I372" s="115" t="s">
        <v>280</v>
      </c>
      <c r="J372" s="125" t="s">
        <v>26</v>
      </c>
      <c r="K372" s="70">
        <v>56.5</v>
      </c>
      <c r="L372" s="139">
        <f>VLOOKUP(E372,'[1]MASTER WORKFILE MY26.2'!$H:$AC,22,0)</f>
        <v>32</v>
      </c>
      <c r="M372" s="116">
        <f>VLOOKUP(E372,'Essential accessories '!E:M,9,0)</f>
        <v>0</v>
      </c>
      <c r="N372" s="71">
        <f t="shared" si="5"/>
        <v>0</v>
      </c>
      <c r="O372" s="61" t="s">
        <v>1751</v>
      </c>
      <c r="P372" s="61" t="s">
        <v>1751</v>
      </c>
      <c r="Q372" s="61" t="s">
        <v>1625</v>
      </c>
    </row>
    <row r="373" spans="1:17" ht="14.4" x14ac:dyDescent="0.3">
      <c r="A373" s="124">
        <v>360</v>
      </c>
      <c r="B373" s="59" t="s">
        <v>833</v>
      </c>
      <c r="C373" s="59" t="s">
        <v>776</v>
      </c>
      <c r="D373" s="115" t="s">
        <v>900</v>
      </c>
      <c r="E373" s="59" t="s">
        <v>901</v>
      </c>
      <c r="F373" s="115" t="s">
        <v>902</v>
      </c>
      <c r="G373" s="59" t="s">
        <v>161</v>
      </c>
      <c r="H373" s="59" t="s">
        <v>162</v>
      </c>
      <c r="I373" s="115" t="s">
        <v>280</v>
      </c>
      <c r="J373" s="125" t="s">
        <v>26</v>
      </c>
      <c r="K373" s="70">
        <v>13</v>
      </c>
      <c r="L373" s="139">
        <f>VLOOKUP(E373,'[1]MASTER WORKFILE MY26.2'!$H:$AC,22,0)</f>
        <v>7.3999999999999995</v>
      </c>
      <c r="M373" s="116">
        <f>VLOOKUP(E373,'Essential accessories '!E:M,9,0)</f>
        <v>0</v>
      </c>
      <c r="N373" s="71">
        <f t="shared" si="5"/>
        <v>0</v>
      </c>
      <c r="O373" s="61" t="s">
        <v>1751</v>
      </c>
      <c r="P373" s="61" t="s">
        <v>1751</v>
      </c>
      <c r="Q373" s="61" t="s">
        <v>1625</v>
      </c>
    </row>
    <row r="374" spans="1:17" ht="14.4" x14ac:dyDescent="0.3">
      <c r="A374" s="124">
        <v>361</v>
      </c>
      <c r="B374" s="59" t="s">
        <v>833</v>
      </c>
      <c r="C374" s="59" t="s">
        <v>776</v>
      </c>
      <c r="D374" s="115" t="s">
        <v>903</v>
      </c>
      <c r="E374" s="59" t="s">
        <v>904</v>
      </c>
      <c r="F374" s="115" t="s">
        <v>905</v>
      </c>
      <c r="G374" s="59" t="s">
        <v>133</v>
      </c>
      <c r="H374" s="59" t="s">
        <v>134</v>
      </c>
      <c r="I374" s="115" t="s">
        <v>280</v>
      </c>
      <c r="J374" s="125" t="s">
        <v>26</v>
      </c>
      <c r="K374" s="70">
        <v>19.5</v>
      </c>
      <c r="L374" s="139">
        <f>VLOOKUP(E374,'[1]MASTER WORKFILE MY26.2'!$H:$AC,22,0)</f>
        <v>11.1</v>
      </c>
      <c r="M374" s="116">
        <f>VLOOKUP(E374,'Essential accessories '!E:M,9,0)</f>
        <v>0</v>
      </c>
      <c r="N374" s="71">
        <f t="shared" si="5"/>
        <v>0</v>
      </c>
      <c r="O374" s="61" t="s">
        <v>1751</v>
      </c>
      <c r="P374" s="61" t="s">
        <v>1751</v>
      </c>
      <c r="Q374" s="61" t="s">
        <v>1625</v>
      </c>
    </row>
    <row r="375" spans="1:17" ht="14.4" x14ac:dyDescent="0.3">
      <c r="A375" s="124">
        <v>362</v>
      </c>
      <c r="B375" s="59" t="s">
        <v>833</v>
      </c>
      <c r="C375" s="59" t="s">
        <v>776</v>
      </c>
      <c r="D375" s="115" t="s">
        <v>906</v>
      </c>
      <c r="E375" s="59" t="s">
        <v>907</v>
      </c>
      <c r="F375" s="115" t="s">
        <v>908</v>
      </c>
      <c r="G375" s="59" t="s">
        <v>161</v>
      </c>
      <c r="H375" s="59" t="s">
        <v>162</v>
      </c>
      <c r="I375" s="115" t="s">
        <v>280</v>
      </c>
      <c r="J375" s="125" t="s">
        <v>26</v>
      </c>
      <c r="K375" s="70">
        <v>20</v>
      </c>
      <c r="L375" s="139">
        <f>VLOOKUP(E375,'[1]MASTER WORKFILE MY26.2'!$H:$AC,22,0)</f>
        <v>11.299999999999999</v>
      </c>
      <c r="M375" s="116">
        <f>VLOOKUP(E375,'Essential accessories '!E:M,9,0)</f>
        <v>0</v>
      </c>
      <c r="N375" s="71">
        <f t="shared" si="5"/>
        <v>0</v>
      </c>
      <c r="O375" s="61" t="s">
        <v>270</v>
      </c>
      <c r="P375" s="61" t="s">
        <v>270</v>
      </c>
      <c r="Q375" s="61" t="s">
        <v>1625</v>
      </c>
    </row>
    <row r="376" spans="1:17" ht="14.4" x14ac:dyDescent="0.3">
      <c r="A376" s="124">
        <v>363</v>
      </c>
      <c r="B376" s="59" t="s">
        <v>833</v>
      </c>
      <c r="C376" s="59" t="s">
        <v>776</v>
      </c>
      <c r="D376" s="115" t="s">
        <v>909</v>
      </c>
      <c r="E376" s="59" t="s">
        <v>910</v>
      </c>
      <c r="F376" s="115" t="s">
        <v>911</v>
      </c>
      <c r="G376" s="59" t="s">
        <v>161</v>
      </c>
      <c r="H376" s="59" t="s">
        <v>162</v>
      </c>
      <c r="I376" s="115" t="s">
        <v>280</v>
      </c>
      <c r="J376" s="125" t="s">
        <v>26</v>
      </c>
      <c r="K376" s="70">
        <v>335</v>
      </c>
      <c r="L376" s="139">
        <f>VLOOKUP(E376,'[1]MASTER WORKFILE MY26.2'!$H:$AC,22,0)</f>
        <v>189.2</v>
      </c>
      <c r="M376" s="116">
        <f>VLOOKUP(E376,'Essential accessories '!E:M,9,0)</f>
        <v>0</v>
      </c>
      <c r="N376" s="71">
        <f t="shared" si="5"/>
        <v>0</v>
      </c>
      <c r="O376" s="61" t="s">
        <v>270</v>
      </c>
      <c r="P376" s="61" t="s">
        <v>270</v>
      </c>
      <c r="Q376" s="61" t="s">
        <v>1625</v>
      </c>
    </row>
    <row r="377" spans="1:17" ht="14.4" x14ac:dyDescent="0.3">
      <c r="A377" s="124">
        <v>364</v>
      </c>
      <c r="B377" s="59" t="s">
        <v>833</v>
      </c>
      <c r="C377" s="59" t="s">
        <v>776</v>
      </c>
      <c r="D377" s="115" t="s">
        <v>912</v>
      </c>
      <c r="E377" s="59" t="s">
        <v>913</v>
      </c>
      <c r="F377" s="115" t="s">
        <v>914</v>
      </c>
      <c r="G377" s="59" t="s">
        <v>133</v>
      </c>
      <c r="H377" s="59" t="s">
        <v>134</v>
      </c>
      <c r="I377" s="115" t="s">
        <v>915</v>
      </c>
      <c r="J377" s="125" t="s">
        <v>26</v>
      </c>
      <c r="K377" s="70">
        <v>55</v>
      </c>
      <c r="L377" s="139">
        <f>VLOOKUP(E377,'[1]MASTER WORKFILE MY26.2'!$H:$AC,22,0)</f>
        <v>31.1</v>
      </c>
      <c r="M377" s="116">
        <f>VLOOKUP(E377,'Essential accessories '!E:M,9,0)</f>
        <v>0</v>
      </c>
      <c r="N377" s="71">
        <f t="shared" si="5"/>
        <v>0</v>
      </c>
      <c r="O377" s="61" t="s">
        <v>1757</v>
      </c>
      <c r="P377" s="61" t="s">
        <v>1757</v>
      </c>
      <c r="Q377" s="61" t="s">
        <v>1625</v>
      </c>
    </row>
    <row r="378" spans="1:17" ht="14.4" x14ac:dyDescent="0.3">
      <c r="A378" s="124">
        <v>365</v>
      </c>
      <c r="B378" s="59" t="s">
        <v>833</v>
      </c>
      <c r="C378" s="59" t="s">
        <v>776</v>
      </c>
      <c r="D378" s="115" t="s">
        <v>912</v>
      </c>
      <c r="E378" s="59" t="s">
        <v>916</v>
      </c>
      <c r="F378" s="115" t="s">
        <v>914</v>
      </c>
      <c r="G378" s="59" t="s">
        <v>133</v>
      </c>
      <c r="H378" s="59" t="s">
        <v>134</v>
      </c>
      <c r="I378" s="115" t="s">
        <v>917</v>
      </c>
      <c r="J378" s="125" t="s">
        <v>26</v>
      </c>
      <c r="K378" s="70">
        <v>60</v>
      </c>
      <c r="L378" s="139">
        <f>VLOOKUP(E378,'[1]MASTER WORKFILE MY26.2'!$H:$AC,22,0)</f>
        <v>33.9</v>
      </c>
      <c r="M378" s="116">
        <f>VLOOKUP(E378,'Essential accessories '!E:M,9,0)</f>
        <v>0</v>
      </c>
      <c r="N378" s="71">
        <f t="shared" si="5"/>
        <v>0</v>
      </c>
      <c r="O378" s="61" t="s">
        <v>1757</v>
      </c>
      <c r="P378" s="61" t="s">
        <v>1757</v>
      </c>
      <c r="Q378" s="61" t="s">
        <v>1625</v>
      </c>
    </row>
    <row r="379" spans="1:17" ht="14.4" x14ac:dyDescent="0.3">
      <c r="A379" s="124">
        <v>366</v>
      </c>
      <c r="B379" s="59" t="s">
        <v>833</v>
      </c>
      <c r="C379" s="59" t="s">
        <v>776</v>
      </c>
      <c r="D379" s="115" t="s">
        <v>918</v>
      </c>
      <c r="E379" s="59" t="s">
        <v>919</v>
      </c>
      <c r="F379" s="115" t="s">
        <v>920</v>
      </c>
      <c r="G379" s="59" t="s">
        <v>133</v>
      </c>
      <c r="H379" s="115" t="s">
        <v>134</v>
      </c>
      <c r="I379" s="115" t="s">
        <v>280</v>
      </c>
      <c r="J379" s="125" t="s">
        <v>26</v>
      </c>
      <c r="K379" s="70">
        <v>14.5</v>
      </c>
      <c r="L379" s="139">
        <f>VLOOKUP(E379,'[1]MASTER WORKFILE MY26.2'!$H:$AC,22,0)</f>
        <v>8.1999999999999993</v>
      </c>
      <c r="M379" s="116">
        <f>VLOOKUP(E379,'Essential accessories '!E:M,9,0)</f>
        <v>0</v>
      </c>
      <c r="N379" s="71">
        <f t="shared" si="5"/>
        <v>0</v>
      </c>
      <c r="O379" s="61" t="s">
        <v>1751</v>
      </c>
      <c r="P379" s="61" t="s">
        <v>1751</v>
      </c>
      <c r="Q379" s="61" t="s">
        <v>1625</v>
      </c>
    </row>
    <row r="380" spans="1:17" ht="14.4" x14ac:dyDescent="0.3">
      <c r="A380" s="124">
        <v>367</v>
      </c>
      <c r="B380" s="59" t="s">
        <v>833</v>
      </c>
      <c r="C380" s="59" t="s">
        <v>776</v>
      </c>
      <c r="D380" s="115" t="s">
        <v>921</v>
      </c>
      <c r="E380" s="59" t="s">
        <v>922</v>
      </c>
      <c r="F380" s="115" t="s">
        <v>923</v>
      </c>
      <c r="G380" s="59" t="s">
        <v>133</v>
      </c>
      <c r="H380" s="115" t="s">
        <v>134</v>
      </c>
      <c r="I380" s="115" t="s">
        <v>280</v>
      </c>
      <c r="J380" s="125" t="s">
        <v>26</v>
      </c>
      <c r="K380" s="70">
        <v>36</v>
      </c>
      <c r="L380" s="139">
        <f>VLOOKUP(E380,'[1]MASTER WORKFILE MY26.2'!$H:$AC,22,0)</f>
        <v>20.400000000000002</v>
      </c>
      <c r="M380" s="116">
        <f>VLOOKUP(E380,'Essential accessories '!E:M,9,0)</f>
        <v>0</v>
      </c>
      <c r="N380" s="71">
        <f t="shared" si="5"/>
        <v>0</v>
      </c>
      <c r="O380" s="61" t="s">
        <v>1751</v>
      </c>
      <c r="P380" s="61" t="s">
        <v>1751</v>
      </c>
      <c r="Q380" s="61" t="s">
        <v>1625</v>
      </c>
    </row>
    <row r="381" spans="1:17" ht="14.4" x14ac:dyDescent="0.3">
      <c r="A381" s="124">
        <v>368</v>
      </c>
      <c r="B381" s="59" t="s">
        <v>833</v>
      </c>
      <c r="C381" s="59" t="s">
        <v>776</v>
      </c>
      <c r="D381" s="115" t="s">
        <v>924</v>
      </c>
      <c r="E381" s="59" t="s">
        <v>925</v>
      </c>
      <c r="F381" s="115" t="s">
        <v>926</v>
      </c>
      <c r="G381" s="59" t="s">
        <v>133</v>
      </c>
      <c r="H381" s="115" t="s">
        <v>134</v>
      </c>
      <c r="I381" s="115" t="s">
        <v>280</v>
      </c>
      <c r="J381" s="125" t="s">
        <v>26</v>
      </c>
      <c r="K381" s="70">
        <v>92.5</v>
      </c>
      <c r="L381" s="139">
        <f>VLOOKUP(E381,'[1]MASTER WORKFILE MY26.2'!$H:$AC,22,0)</f>
        <v>52.300000000000004</v>
      </c>
      <c r="M381" s="116">
        <f>VLOOKUP(E381,'Essential accessories '!E:M,9,0)</f>
        <v>0</v>
      </c>
      <c r="N381" s="71">
        <f t="shared" si="5"/>
        <v>0</v>
      </c>
      <c r="O381" s="61" t="s">
        <v>1751</v>
      </c>
      <c r="P381" s="61" t="s">
        <v>1751</v>
      </c>
      <c r="Q381" s="61" t="s">
        <v>1625</v>
      </c>
    </row>
    <row r="382" spans="1:17" ht="14.4" x14ac:dyDescent="0.3">
      <c r="A382" s="124">
        <v>369</v>
      </c>
      <c r="B382" s="59" t="s">
        <v>833</v>
      </c>
      <c r="C382" s="59" t="s">
        <v>776</v>
      </c>
      <c r="D382" s="115" t="s">
        <v>927</v>
      </c>
      <c r="E382" s="59" t="s">
        <v>928</v>
      </c>
      <c r="F382" s="115" t="s">
        <v>929</v>
      </c>
      <c r="G382" s="59" t="s">
        <v>161</v>
      </c>
      <c r="H382" s="115" t="s">
        <v>162</v>
      </c>
      <c r="I382" s="115" t="s">
        <v>280</v>
      </c>
      <c r="J382" s="125" t="s">
        <v>26</v>
      </c>
      <c r="K382" s="70">
        <v>235</v>
      </c>
      <c r="L382" s="139">
        <f>VLOOKUP(E382,'[1]MASTER WORKFILE MY26.2'!$H:$AC,22,0)</f>
        <v>132.69999999999999</v>
      </c>
      <c r="M382" s="116">
        <f>VLOOKUP(E382,'Essential accessories '!E:M,9,0)</f>
        <v>0</v>
      </c>
      <c r="N382" s="71">
        <f t="shared" si="5"/>
        <v>0</v>
      </c>
      <c r="O382" s="61" t="s">
        <v>1751</v>
      </c>
      <c r="P382" s="61" t="s">
        <v>1751</v>
      </c>
      <c r="Q382" s="61" t="s">
        <v>1625</v>
      </c>
    </row>
    <row r="383" spans="1:17" ht="14.4" x14ac:dyDescent="0.3">
      <c r="A383" s="124">
        <v>370</v>
      </c>
      <c r="B383" s="59" t="s">
        <v>833</v>
      </c>
      <c r="C383" s="59" t="s">
        <v>776</v>
      </c>
      <c r="D383" s="115" t="s">
        <v>930</v>
      </c>
      <c r="E383" s="59" t="s">
        <v>931</v>
      </c>
      <c r="F383" s="115" t="s">
        <v>932</v>
      </c>
      <c r="G383" s="59" t="s">
        <v>161</v>
      </c>
      <c r="H383" s="115" t="s">
        <v>162</v>
      </c>
      <c r="I383" s="115" t="s">
        <v>280</v>
      </c>
      <c r="J383" s="125" t="s">
        <v>26</v>
      </c>
      <c r="K383" s="70">
        <v>10.5</v>
      </c>
      <c r="L383" s="139">
        <f>VLOOKUP(E383,'[1]MASTER WORKFILE MY26.2'!$H:$AC,22,0)</f>
        <v>6</v>
      </c>
      <c r="M383" s="116">
        <f>VLOOKUP(E383,'Essential accessories '!E:M,9,0)</f>
        <v>0</v>
      </c>
      <c r="N383" s="71">
        <f t="shared" si="5"/>
        <v>0</v>
      </c>
      <c r="O383" s="61" t="s">
        <v>1751</v>
      </c>
      <c r="P383" s="61" t="s">
        <v>1751</v>
      </c>
      <c r="Q383" s="61" t="s">
        <v>1625</v>
      </c>
    </row>
    <row r="384" spans="1:17" ht="14.4" x14ac:dyDescent="0.3">
      <c r="A384" s="124">
        <v>371</v>
      </c>
      <c r="B384" s="59" t="s">
        <v>833</v>
      </c>
      <c r="C384" s="59" t="s">
        <v>776</v>
      </c>
      <c r="D384" s="115" t="s">
        <v>933</v>
      </c>
      <c r="E384" s="59" t="s">
        <v>934</v>
      </c>
      <c r="F384" s="115" t="s">
        <v>935</v>
      </c>
      <c r="G384" s="59" t="s">
        <v>161</v>
      </c>
      <c r="H384" s="115" t="s">
        <v>162</v>
      </c>
      <c r="I384" s="115" t="s">
        <v>280</v>
      </c>
      <c r="J384" s="125" t="s">
        <v>26</v>
      </c>
      <c r="K384" s="70">
        <v>28.5</v>
      </c>
      <c r="L384" s="139">
        <f>VLOOKUP(E384,'[1]MASTER WORKFILE MY26.2'!$H:$AC,22,0)</f>
        <v>16.100000000000001</v>
      </c>
      <c r="M384" s="116">
        <f>VLOOKUP(E384,'Essential accessories '!E:M,9,0)</f>
        <v>0</v>
      </c>
      <c r="N384" s="71">
        <f t="shared" si="5"/>
        <v>0</v>
      </c>
      <c r="O384" s="61" t="s">
        <v>1751</v>
      </c>
      <c r="P384" s="61" t="s">
        <v>1751</v>
      </c>
      <c r="Q384" s="61" t="s">
        <v>1625</v>
      </c>
    </row>
    <row r="385" spans="1:17" ht="14.4" x14ac:dyDescent="0.3">
      <c r="A385" s="124">
        <v>372</v>
      </c>
      <c r="B385" s="59" t="s">
        <v>833</v>
      </c>
      <c r="C385" s="59" t="s">
        <v>776</v>
      </c>
      <c r="D385" s="115" t="s">
        <v>936</v>
      </c>
      <c r="E385" s="59" t="s">
        <v>937</v>
      </c>
      <c r="F385" s="115" t="s">
        <v>938</v>
      </c>
      <c r="G385" s="59" t="s">
        <v>161</v>
      </c>
      <c r="H385" s="115" t="s">
        <v>162</v>
      </c>
      <c r="I385" s="115" t="s">
        <v>280</v>
      </c>
      <c r="J385" s="125" t="s">
        <v>26</v>
      </c>
      <c r="K385" s="70">
        <v>5.25</v>
      </c>
      <c r="L385" s="139">
        <f>VLOOKUP(E385,'[1]MASTER WORKFILE MY26.2'!$H:$AC,22,0)</f>
        <v>3</v>
      </c>
      <c r="M385" s="116">
        <f>VLOOKUP(E385,'Essential accessories '!E:M,9,0)</f>
        <v>0</v>
      </c>
      <c r="N385" s="71">
        <f t="shared" si="5"/>
        <v>0</v>
      </c>
      <c r="O385" s="61" t="s">
        <v>1751</v>
      </c>
      <c r="P385" s="61" t="s">
        <v>1751</v>
      </c>
      <c r="Q385" s="61" t="s">
        <v>1625</v>
      </c>
    </row>
    <row r="386" spans="1:17" ht="14.4" x14ac:dyDescent="0.3">
      <c r="A386" s="124">
        <v>373</v>
      </c>
      <c r="B386" s="59" t="s">
        <v>833</v>
      </c>
      <c r="C386" s="59" t="s">
        <v>776</v>
      </c>
      <c r="D386" s="115" t="s">
        <v>939</v>
      </c>
      <c r="E386" s="59" t="s">
        <v>940</v>
      </c>
      <c r="F386" s="115" t="s">
        <v>941</v>
      </c>
      <c r="G386" s="59" t="s">
        <v>133</v>
      </c>
      <c r="H386" s="115" t="s">
        <v>134</v>
      </c>
      <c r="I386" s="115" t="s">
        <v>280</v>
      </c>
      <c r="J386" s="125" t="s">
        <v>26</v>
      </c>
      <c r="K386" s="70">
        <v>152.5</v>
      </c>
      <c r="L386" s="139">
        <f>VLOOKUP(E386,'[1]MASTER WORKFILE MY26.2'!$H:$AC,22,0)</f>
        <v>86.199999999999989</v>
      </c>
      <c r="M386" s="116">
        <f>VLOOKUP(E386,'Essential accessories '!E:M,9,0)</f>
        <v>0</v>
      </c>
      <c r="N386" s="71">
        <f t="shared" si="5"/>
        <v>0</v>
      </c>
      <c r="O386" s="61" t="s">
        <v>1751</v>
      </c>
      <c r="P386" s="61" t="s">
        <v>1751</v>
      </c>
      <c r="Q386" s="61" t="s">
        <v>1625</v>
      </c>
    </row>
    <row r="387" spans="1:17" ht="14.4" x14ac:dyDescent="0.3">
      <c r="A387" s="124">
        <v>374</v>
      </c>
      <c r="B387" s="59" t="s">
        <v>833</v>
      </c>
      <c r="C387" s="59" t="s">
        <v>776</v>
      </c>
      <c r="D387" s="115" t="s">
        <v>942</v>
      </c>
      <c r="E387" s="59" t="s">
        <v>943</v>
      </c>
      <c r="F387" s="115" t="s">
        <v>944</v>
      </c>
      <c r="G387" s="59" t="s">
        <v>133</v>
      </c>
      <c r="H387" s="115" t="s">
        <v>134</v>
      </c>
      <c r="I387" s="115" t="s">
        <v>280</v>
      </c>
      <c r="J387" s="125" t="s">
        <v>26</v>
      </c>
      <c r="K387" s="70">
        <v>76</v>
      </c>
      <c r="L387" s="139">
        <f>VLOOKUP(E387,'[1]MASTER WORKFILE MY26.2'!$H:$AC,22,0)</f>
        <v>43</v>
      </c>
      <c r="M387" s="116">
        <f>VLOOKUP(E387,'Essential accessories '!E:M,9,0)</f>
        <v>0</v>
      </c>
      <c r="N387" s="71">
        <f t="shared" si="5"/>
        <v>0</v>
      </c>
      <c r="O387" s="61"/>
      <c r="P387" s="61"/>
      <c r="Q387" s="61" t="s">
        <v>1750</v>
      </c>
    </row>
    <row r="388" spans="1:17" ht="14.4" x14ac:dyDescent="0.3">
      <c r="A388" s="124">
        <v>375</v>
      </c>
      <c r="B388" s="59" t="s">
        <v>833</v>
      </c>
      <c r="C388" s="59" t="s">
        <v>776</v>
      </c>
      <c r="D388" s="115" t="s">
        <v>945</v>
      </c>
      <c r="E388" s="59" t="s">
        <v>946</v>
      </c>
      <c r="F388" s="115" t="s">
        <v>947</v>
      </c>
      <c r="G388" s="59" t="s">
        <v>886</v>
      </c>
      <c r="H388" s="115" t="s">
        <v>887</v>
      </c>
      <c r="I388" s="115" t="s">
        <v>948</v>
      </c>
      <c r="J388" s="125" t="s">
        <v>26</v>
      </c>
      <c r="K388" s="70">
        <v>8.5</v>
      </c>
      <c r="L388" s="139">
        <f>VLOOKUP(E388,'[1]MASTER WORKFILE MY26.2'!$H:$AC,22,0)</f>
        <v>4.8</v>
      </c>
      <c r="M388" s="116">
        <f>VLOOKUP(E388,'Essential accessories '!E:M,9,0)</f>
        <v>0</v>
      </c>
      <c r="N388" s="71">
        <f t="shared" si="5"/>
        <v>0</v>
      </c>
      <c r="O388" s="61" t="s">
        <v>1758</v>
      </c>
      <c r="P388" s="61" t="s">
        <v>1758</v>
      </c>
      <c r="Q388" s="61" t="s">
        <v>1625</v>
      </c>
    </row>
    <row r="389" spans="1:17" ht="14.4" x14ac:dyDescent="0.3">
      <c r="A389" s="124">
        <v>376</v>
      </c>
      <c r="B389" s="59" t="s">
        <v>833</v>
      </c>
      <c r="C389" s="59" t="s">
        <v>776</v>
      </c>
      <c r="D389" s="115" t="s">
        <v>945</v>
      </c>
      <c r="E389" s="59" t="s">
        <v>949</v>
      </c>
      <c r="F389" s="115" t="s">
        <v>947</v>
      </c>
      <c r="G389" s="59" t="s">
        <v>886</v>
      </c>
      <c r="H389" s="115" t="s">
        <v>887</v>
      </c>
      <c r="I389" s="115" t="s">
        <v>950</v>
      </c>
      <c r="J389" s="125" t="s">
        <v>26</v>
      </c>
      <c r="K389" s="70">
        <v>8.5</v>
      </c>
      <c r="L389" s="139">
        <f>VLOOKUP(E389,'[1]MASTER WORKFILE MY26.2'!$H:$AC,22,0)</f>
        <v>4.8</v>
      </c>
      <c r="M389" s="116">
        <f>VLOOKUP(E389,'Essential accessories '!E:M,9,0)</f>
        <v>0</v>
      </c>
      <c r="N389" s="71">
        <f t="shared" si="5"/>
        <v>0</v>
      </c>
      <c r="O389" s="61" t="s">
        <v>1758</v>
      </c>
      <c r="P389" s="61" t="s">
        <v>1758</v>
      </c>
      <c r="Q389" s="61" t="s">
        <v>1625</v>
      </c>
    </row>
    <row r="390" spans="1:17" ht="14.4" x14ac:dyDescent="0.3">
      <c r="A390" s="124">
        <v>377</v>
      </c>
      <c r="B390" s="59" t="s">
        <v>833</v>
      </c>
      <c r="C390" s="59" t="s">
        <v>776</v>
      </c>
      <c r="D390" s="115" t="s">
        <v>951</v>
      </c>
      <c r="E390" s="59" t="s">
        <v>952</v>
      </c>
      <c r="F390" s="115" t="s">
        <v>953</v>
      </c>
      <c r="G390" s="59" t="s">
        <v>133</v>
      </c>
      <c r="H390" s="115" t="s">
        <v>134</v>
      </c>
      <c r="I390" s="115" t="s">
        <v>280</v>
      </c>
      <c r="J390" s="125" t="s">
        <v>26</v>
      </c>
      <c r="K390" s="70">
        <v>8.5</v>
      </c>
      <c r="L390" s="139">
        <f>VLOOKUP(E390,'[1]MASTER WORKFILE MY26.2'!$H:$AC,22,0)</f>
        <v>4.8</v>
      </c>
      <c r="M390" s="116">
        <f>VLOOKUP(E390,'Essential accessories '!E:M,9,0)</f>
        <v>0</v>
      </c>
      <c r="N390" s="71">
        <f t="shared" si="5"/>
        <v>0</v>
      </c>
      <c r="O390" s="61"/>
      <c r="P390" s="61"/>
      <c r="Q390" s="61" t="s">
        <v>1750</v>
      </c>
    </row>
    <row r="391" spans="1:17" ht="14.4" x14ac:dyDescent="0.3">
      <c r="A391" s="124">
        <v>378</v>
      </c>
      <c r="B391" s="59" t="s">
        <v>833</v>
      </c>
      <c r="C391" s="59" t="s">
        <v>776</v>
      </c>
      <c r="D391" s="115" t="s">
        <v>954</v>
      </c>
      <c r="E391" s="59" t="s">
        <v>955</v>
      </c>
      <c r="F391" s="115" t="s">
        <v>956</v>
      </c>
      <c r="G391" s="59" t="s">
        <v>161</v>
      </c>
      <c r="H391" s="115" t="s">
        <v>162</v>
      </c>
      <c r="I391" s="115" t="s">
        <v>280</v>
      </c>
      <c r="J391" s="125" t="s">
        <v>26</v>
      </c>
      <c r="K391" s="70">
        <v>95</v>
      </c>
      <c r="L391" s="139">
        <f>VLOOKUP(E391,'[1]MASTER WORKFILE MY26.2'!$H:$AC,22,0)</f>
        <v>53.7</v>
      </c>
      <c r="M391" s="116">
        <f>VLOOKUP(E391,'Essential accessories '!E:M,9,0)</f>
        <v>0</v>
      </c>
      <c r="N391" s="71">
        <f t="shared" si="5"/>
        <v>0</v>
      </c>
      <c r="O391" s="61"/>
      <c r="P391" s="61"/>
      <c r="Q391" s="61" t="s">
        <v>1750</v>
      </c>
    </row>
    <row r="392" spans="1:17" ht="14.4" x14ac:dyDescent="0.3">
      <c r="A392" s="124">
        <v>379</v>
      </c>
      <c r="B392" s="59" t="s">
        <v>833</v>
      </c>
      <c r="C392" s="59" t="s">
        <v>776</v>
      </c>
      <c r="D392" s="115" t="s">
        <v>957</v>
      </c>
      <c r="E392" s="59" t="s">
        <v>958</v>
      </c>
      <c r="F392" s="115" t="s">
        <v>959</v>
      </c>
      <c r="G392" s="59" t="s">
        <v>161</v>
      </c>
      <c r="H392" s="115" t="s">
        <v>162</v>
      </c>
      <c r="I392" s="115" t="s">
        <v>280</v>
      </c>
      <c r="J392" s="125" t="s">
        <v>26</v>
      </c>
      <c r="K392" s="70">
        <v>260</v>
      </c>
      <c r="L392" s="139">
        <f>VLOOKUP(E392,'[1]MASTER WORKFILE MY26.2'!$H:$AC,22,0)</f>
        <v>146.9</v>
      </c>
      <c r="M392" s="116">
        <f>VLOOKUP(E392,'Essential accessories '!E:M,9,0)</f>
        <v>0</v>
      </c>
      <c r="N392" s="71">
        <f t="shared" si="5"/>
        <v>0</v>
      </c>
      <c r="O392" s="61"/>
      <c r="P392" s="61"/>
      <c r="Q392" s="61" t="s">
        <v>1750</v>
      </c>
    </row>
    <row r="393" spans="1:17" ht="14.4" x14ac:dyDescent="0.3">
      <c r="A393" s="124">
        <v>380</v>
      </c>
      <c r="B393" s="59" t="s">
        <v>833</v>
      </c>
      <c r="C393" s="59" t="s">
        <v>776</v>
      </c>
      <c r="D393" s="115" t="s">
        <v>960</v>
      </c>
      <c r="E393" s="59" t="s">
        <v>961</v>
      </c>
      <c r="F393" s="115" t="s">
        <v>962</v>
      </c>
      <c r="G393" s="59" t="s">
        <v>133</v>
      </c>
      <c r="H393" s="115" t="s">
        <v>134</v>
      </c>
      <c r="I393" s="115" t="s">
        <v>963</v>
      </c>
      <c r="J393" s="125" t="s">
        <v>26</v>
      </c>
      <c r="K393" s="70">
        <v>32</v>
      </c>
      <c r="L393" s="139">
        <f>VLOOKUP(E393,'[1]MASTER WORKFILE MY26.2'!$H:$AC,22,0)</f>
        <v>18.100000000000001</v>
      </c>
      <c r="M393" s="116">
        <f>VLOOKUP(E393,'Essential accessories '!E:M,9,0)</f>
        <v>0</v>
      </c>
      <c r="N393" s="71">
        <f t="shared" si="5"/>
        <v>0</v>
      </c>
      <c r="O393" s="61" t="s">
        <v>13</v>
      </c>
      <c r="P393" s="61" t="s">
        <v>13</v>
      </c>
      <c r="Q393" s="61" t="s">
        <v>1625</v>
      </c>
    </row>
    <row r="394" spans="1:17" ht="14.4" x14ac:dyDescent="0.3">
      <c r="A394" s="124">
        <v>381</v>
      </c>
      <c r="B394" s="59" t="s">
        <v>833</v>
      </c>
      <c r="C394" s="59" t="s">
        <v>776</v>
      </c>
      <c r="D394" s="115" t="s">
        <v>960</v>
      </c>
      <c r="E394" s="59" t="s">
        <v>964</v>
      </c>
      <c r="F394" s="115" t="s">
        <v>962</v>
      </c>
      <c r="G394" s="59" t="s">
        <v>133</v>
      </c>
      <c r="H394" s="115" t="s">
        <v>134</v>
      </c>
      <c r="I394" s="115" t="s">
        <v>965</v>
      </c>
      <c r="J394" s="125" t="s">
        <v>26</v>
      </c>
      <c r="K394" s="70">
        <v>36</v>
      </c>
      <c r="L394" s="139">
        <f>VLOOKUP(E394,'[1]MASTER WORKFILE MY26.2'!$H:$AC,22,0)</f>
        <v>20.400000000000002</v>
      </c>
      <c r="M394" s="116">
        <f>VLOOKUP(E394,'Essential accessories '!E:M,9,0)</f>
        <v>0</v>
      </c>
      <c r="N394" s="71">
        <f t="shared" si="5"/>
        <v>0</v>
      </c>
      <c r="O394" s="61" t="s">
        <v>13</v>
      </c>
      <c r="P394" s="61" t="s">
        <v>13</v>
      </c>
      <c r="Q394" s="61" t="s">
        <v>1625</v>
      </c>
    </row>
    <row r="395" spans="1:17" ht="14.4" x14ac:dyDescent="0.3">
      <c r="A395" s="124">
        <v>382</v>
      </c>
      <c r="B395" s="59" t="s">
        <v>833</v>
      </c>
      <c r="C395" s="59" t="s">
        <v>776</v>
      </c>
      <c r="D395" s="115" t="s">
        <v>966</v>
      </c>
      <c r="E395" s="59" t="s">
        <v>967</v>
      </c>
      <c r="F395" s="115" t="s">
        <v>968</v>
      </c>
      <c r="G395" s="59" t="s">
        <v>133</v>
      </c>
      <c r="H395" s="115" t="s">
        <v>134</v>
      </c>
      <c r="I395" s="115" t="s">
        <v>963</v>
      </c>
      <c r="J395" s="125" t="s">
        <v>26</v>
      </c>
      <c r="K395" s="70">
        <v>92</v>
      </c>
      <c r="L395" s="139">
        <f>VLOOKUP(E395,'[1]MASTER WORKFILE MY26.2'!$H:$AC,22,0)</f>
        <v>52</v>
      </c>
      <c r="M395" s="116">
        <f>VLOOKUP(E395,'Essential accessories '!E:M,9,0)</f>
        <v>0</v>
      </c>
      <c r="N395" s="71">
        <f t="shared" si="5"/>
        <v>0</v>
      </c>
      <c r="O395" s="61" t="s">
        <v>13</v>
      </c>
      <c r="P395" s="61" t="s">
        <v>13</v>
      </c>
      <c r="Q395" s="61" t="s">
        <v>1625</v>
      </c>
    </row>
    <row r="396" spans="1:17" ht="14.4" x14ac:dyDescent="0.3">
      <c r="A396" s="124">
        <v>383</v>
      </c>
      <c r="B396" s="59" t="s">
        <v>833</v>
      </c>
      <c r="C396" s="59" t="s">
        <v>776</v>
      </c>
      <c r="D396" s="115" t="s">
        <v>966</v>
      </c>
      <c r="E396" s="59" t="s">
        <v>969</v>
      </c>
      <c r="F396" s="115" t="s">
        <v>968</v>
      </c>
      <c r="G396" s="59" t="s">
        <v>133</v>
      </c>
      <c r="H396" s="115" t="s">
        <v>134</v>
      </c>
      <c r="I396" s="115" t="s">
        <v>965</v>
      </c>
      <c r="J396" s="125" t="s">
        <v>26</v>
      </c>
      <c r="K396" s="70">
        <v>100</v>
      </c>
      <c r="L396" s="139">
        <f>VLOOKUP(E396,'[1]MASTER WORKFILE MY26.2'!$H:$AC,22,0)</f>
        <v>56.5</v>
      </c>
      <c r="M396" s="116">
        <f>VLOOKUP(E396,'Essential accessories '!E:M,9,0)</f>
        <v>0</v>
      </c>
      <c r="N396" s="71">
        <f t="shared" si="5"/>
        <v>0</v>
      </c>
      <c r="O396" s="61" t="s">
        <v>13</v>
      </c>
      <c r="P396" s="61" t="s">
        <v>13</v>
      </c>
      <c r="Q396" s="61" t="s">
        <v>1625</v>
      </c>
    </row>
    <row r="397" spans="1:17" ht="14.4" x14ac:dyDescent="0.3">
      <c r="A397" s="124">
        <v>384</v>
      </c>
      <c r="B397" s="59" t="s">
        <v>833</v>
      </c>
      <c r="C397" s="59" t="s">
        <v>776</v>
      </c>
      <c r="D397" s="115" t="s">
        <v>970</v>
      </c>
      <c r="E397" s="59" t="s">
        <v>971</v>
      </c>
      <c r="F397" s="115" t="s">
        <v>972</v>
      </c>
      <c r="G397" s="59" t="s">
        <v>161</v>
      </c>
      <c r="H397" s="115" t="s">
        <v>162</v>
      </c>
      <c r="I397" s="115" t="s">
        <v>973</v>
      </c>
      <c r="J397" s="125" t="s">
        <v>26</v>
      </c>
      <c r="K397" s="70">
        <v>50</v>
      </c>
      <c r="L397" s="139">
        <f>VLOOKUP(E397,'[1]MASTER WORKFILE MY26.2'!$H:$AC,22,0)</f>
        <v>28.3</v>
      </c>
      <c r="M397" s="116">
        <f>VLOOKUP(E397,'Essential accessories '!E:M,9,0)</f>
        <v>0</v>
      </c>
      <c r="N397" s="71">
        <f t="shared" ref="N397:N460" si="6">L397*M397</f>
        <v>0</v>
      </c>
      <c r="O397" s="61" t="s">
        <v>1759</v>
      </c>
      <c r="P397" s="61" t="s">
        <v>1759</v>
      </c>
      <c r="Q397" s="61" t="s">
        <v>1625</v>
      </c>
    </row>
    <row r="398" spans="1:17" ht="14.4" x14ac:dyDescent="0.3">
      <c r="A398" s="124">
        <v>385</v>
      </c>
      <c r="B398" s="59" t="s">
        <v>833</v>
      </c>
      <c r="C398" s="59" t="s">
        <v>776</v>
      </c>
      <c r="D398" s="115" t="s">
        <v>970</v>
      </c>
      <c r="E398" s="59" t="s">
        <v>974</v>
      </c>
      <c r="F398" s="115" t="s">
        <v>972</v>
      </c>
      <c r="G398" s="59" t="s">
        <v>161</v>
      </c>
      <c r="H398" s="115" t="s">
        <v>162</v>
      </c>
      <c r="I398" s="115" t="s">
        <v>975</v>
      </c>
      <c r="J398" s="125" t="s">
        <v>26</v>
      </c>
      <c r="K398" s="70">
        <v>55</v>
      </c>
      <c r="L398" s="139">
        <f>VLOOKUP(E398,'[1]MASTER WORKFILE MY26.2'!$H:$AC,22,0)</f>
        <v>31.1</v>
      </c>
      <c r="M398" s="116">
        <f>VLOOKUP(E398,'Essential accessories '!E:M,9,0)</f>
        <v>0</v>
      </c>
      <c r="N398" s="71">
        <f t="shared" si="6"/>
        <v>0</v>
      </c>
      <c r="O398" s="61" t="s">
        <v>1759</v>
      </c>
      <c r="P398" s="61" t="s">
        <v>1759</v>
      </c>
      <c r="Q398" s="61" t="s">
        <v>1625</v>
      </c>
    </row>
    <row r="399" spans="1:17" ht="14.4" x14ac:dyDescent="0.3">
      <c r="A399" s="124">
        <v>386</v>
      </c>
      <c r="B399" s="59" t="s">
        <v>833</v>
      </c>
      <c r="C399" s="59" t="s">
        <v>776</v>
      </c>
      <c r="D399" s="115" t="s">
        <v>970</v>
      </c>
      <c r="E399" s="59" t="s">
        <v>976</v>
      </c>
      <c r="F399" s="115" t="s">
        <v>972</v>
      </c>
      <c r="G399" s="59" t="s">
        <v>161</v>
      </c>
      <c r="H399" s="115" t="s">
        <v>162</v>
      </c>
      <c r="I399" s="115" t="s">
        <v>977</v>
      </c>
      <c r="J399" s="125" t="s">
        <v>26</v>
      </c>
      <c r="K399" s="70">
        <v>57.5</v>
      </c>
      <c r="L399" s="139">
        <f>VLOOKUP(E399,'[1]MASTER WORKFILE MY26.2'!$H:$AC,22,0)</f>
        <v>32.5</v>
      </c>
      <c r="M399" s="116">
        <f>VLOOKUP(E399,'Essential accessories '!E:M,9,0)</f>
        <v>0</v>
      </c>
      <c r="N399" s="71">
        <f t="shared" si="6"/>
        <v>0</v>
      </c>
      <c r="O399" s="61" t="s">
        <v>1759</v>
      </c>
      <c r="P399" s="61" t="s">
        <v>1759</v>
      </c>
      <c r="Q399" s="61" t="s">
        <v>1625</v>
      </c>
    </row>
    <row r="400" spans="1:17" ht="14.4" x14ac:dyDescent="0.3">
      <c r="A400" s="124">
        <v>387</v>
      </c>
      <c r="B400" s="59" t="s">
        <v>833</v>
      </c>
      <c r="C400" s="59" t="s">
        <v>776</v>
      </c>
      <c r="D400" s="115" t="s">
        <v>978</v>
      </c>
      <c r="E400" s="59" t="s">
        <v>979</v>
      </c>
      <c r="F400" s="115" t="s">
        <v>980</v>
      </c>
      <c r="G400" s="59" t="s">
        <v>133</v>
      </c>
      <c r="H400" s="115" t="s">
        <v>134</v>
      </c>
      <c r="I400" s="115" t="s">
        <v>280</v>
      </c>
      <c r="J400" s="125" t="s">
        <v>26</v>
      </c>
      <c r="K400" s="70">
        <v>40</v>
      </c>
      <c r="L400" s="139">
        <f>VLOOKUP(E400,'[1]MASTER WORKFILE MY26.2'!$H:$AC,22,0)</f>
        <v>22.6</v>
      </c>
      <c r="M400" s="116">
        <f>VLOOKUP(E400,'Essential accessories '!E:M,9,0)</f>
        <v>0</v>
      </c>
      <c r="N400" s="71">
        <f t="shared" si="6"/>
        <v>0</v>
      </c>
      <c r="O400" s="61"/>
      <c r="P400" s="61"/>
      <c r="Q400" s="61" t="s">
        <v>1750</v>
      </c>
    </row>
    <row r="401" spans="1:17" ht="14.4" x14ac:dyDescent="0.3">
      <c r="A401" s="124">
        <v>388</v>
      </c>
      <c r="B401" s="59" t="s">
        <v>833</v>
      </c>
      <c r="C401" s="59" t="s">
        <v>776</v>
      </c>
      <c r="D401" s="115" t="s">
        <v>981</v>
      </c>
      <c r="E401" s="59" t="s">
        <v>982</v>
      </c>
      <c r="F401" s="115" t="s">
        <v>983</v>
      </c>
      <c r="G401" s="59" t="s">
        <v>133</v>
      </c>
      <c r="H401" s="115" t="s">
        <v>134</v>
      </c>
      <c r="I401" s="115" t="s">
        <v>280</v>
      </c>
      <c r="J401" s="125" t="s">
        <v>26</v>
      </c>
      <c r="K401" s="70">
        <v>25.5</v>
      </c>
      <c r="L401" s="139">
        <f>VLOOKUP(E401,'[1]MASTER WORKFILE MY26.2'!$H:$AC,22,0)</f>
        <v>14.4</v>
      </c>
      <c r="M401" s="116">
        <f>VLOOKUP(E401,'Essential accessories '!E:M,9,0)</f>
        <v>0</v>
      </c>
      <c r="N401" s="71">
        <f t="shared" si="6"/>
        <v>0</v>
      </c>
      <c r="O401" s="61"/>
      <c r="P401" s="61"/>
      <c r="Q401" s="61" t="s">
        <v>1750</v>
      </c>
    </row>
    <row r="402" spans="1:17" ht="14.4" x14ac:dyDescent="0.3">
      <c r="A402" s="124">
        <v>389</v>
      </c>
      <c r="B402" s="59" t="s">
        <v>833</v>
      </c>
      <c r="C402" s="59" t="s">
        <v>776</v>
      </c>
      <c r="D402" s="115" t="s">
        <v>984</v>
      </c>
      <c r="E402" s="59" t="s">
        <v>985</v>
      </c>
      <c r="F402" s="115" t="s">
        <v>986</v>
      </c>
      <c r="G402" s="59" t="s">
        <v>987</v>
      </c>
      <c r="H402" s="115" t="s">
        <v>988</v>
      </c>
      <c r="I402" s="115" t="s">
        <v>280</v>
      </c>
      <c r="J402" s="125" t="s">
        <v>26</v>
      </c>
      <c r="K402" s="70">
        <v>8</v>
      </c>
      <c r="L402" s="139">
        <f>VLOOKUP(E402,'[1]MASTER WORKFILE MY26.2'!$H:$AC,22,0)</f>
        <v>4.5999999999999996</v>
      </c>
      <c r="M402" s="116">
        <f>VLOOKUP(E402,'Essential accessories '!E:M,9,0)</f>
        <v>0</v>
      </c>
      <c r="N402" s="71">
        <f t="shared" si="6"/>
        <v>0</v>
      </c>
      <c r="O402" s="61"/>
      <c r="P402" s="61"/>
      <c r="Q402" s="61" t="s">
        <v>1750</v>
      </c>
    </row>
    <row r="403" spans="1:17" ht="14.4" x14ac:dyDescent="0.3">
      <c r="A403" s="124">
        <v>390</v>
      </c>
      <c r="B403" s="59" t="s">
        <v>833</v>
      </c>
      <c r="C403" s="59" t="s">
        <v>776</v>
      </c>
      <c r="D403" s="115" t="s">
        <v>989</v>
      </c>
      <c r="E403" s="59" t="s">
        <v>990</v>
      </c>
      <c r="F403" s="115" t="s">
        <v>991</v>
      </c>
      <c r="G403" s="59" t="s">
        <v>161</v>
      </c>
      <c r="H403" s="115" t="s">
        <v>162</v>
      </c>
      <c r="I403" s="115" t="s">
        <v>280</v>
      </c>
      <c r="J403" s="125" t="s">
        <v>26</v>
      </c>
      <c r="K403" s="70">
        <v>20.5</v>
      </c>
      <c r="L403" s="139">
        <f>VLOOKUP(E403,'[1]MASTER WORKFILE MY26.2'!$H:$AC,22,0)</f>
        <v>11.6</v>
      </c>
      <c r="M403" s="116">
        <f>VLOOKUP(E403,'Essential accessories '!E:M,9,0)</f>
        <v>0</v>
      </c>
      <c r="N403" s="71">
        <f t="shared" si="6"/>
        <v>0</v>
      </c>
      <c r="O403" s="61"/>
      <c r="P403" s="61"/>
      <c r="Q403" s="61" t="s">
        <v>1750</v>
      </c>
    </row>
    <row r="404" spans="1:17" ht="14.4" x14ac:dyDescent="0.3">
      <c r="A404" s="124">
        <v>391</v>
      </c>
      <c r="B404" s="59" t="s">
        <v>833</v>
      </c>
      <c r="C404" s="59" t="s">
        <v>776</v>
      </c>
      <c r="D404" s="115" t="s">
        <v>992</v>
      </c>
      <c r="E404" s="59" t="s">
        <v>993</v>
      </c>
      <c r="F404" s="115" t="s">
        <v>994</v>
      </c>
      <c r="G404" s="59" t="s">
        <v>133</v>
      </c>
      <c r="H404" s="115" t="s">
        <v>134</v>
      </c>
      <c r="I404" s="115" t="s">
        <v>280</v>
      </c>
      <c r="J404" s="125" t="s">
        <v>26</v>
      </c>
      <c r="K404" s="70">
        <v>40</v>
      </c>
      <c r="L404" s="139">
        <f>VLOOKUP(E404,'[1]MASTER WORKFILE MY26.2'!$H:$AC,22,0)</f>
        <v>22.6</v>
      </c>
      <c r="M404" s="116">
        <f>VLOOKUP(E404,'Essential accessories '!E:M,9,0)</f>
        <v>0</v>
      </c>
      <c r="N404" s="71">
        <f t="shared" si="6"/>
        <v>0</v>
      </c>
      <c r="O404" s="61"/>
      <c r="P404" s="61"/>
      <c r="Q404" s="61" t="s">
        <v>1750</v>
      </c>
    </row>
    <row r="405" spans="1:17" ht="14.4" x14ac:dyDescent="0.3">
      <c r="A405" s="124">
        <v>392</v>
      </c>
      <c r="B405" s="59" t="s">
        <v>833</v>
      </c>
      <c r="C405" s="59" t="s">
        <v>776</v>
      </c>
      <c r="D405" s="115" t="s">
        <v>995</v>
      </c>
      <c r="E405" s="59" t="s">
        <v>996</v>
      </c>
      <c r="F405" s="115" t="s">
        <v>997</v>
      </c>
      <c r="G405" s="59" t="s">
        <v>133</v>
      </c>
      <c r="H405" s="115" t="s">
        <v>134</v>
      </c>
      <c r="I405" s="115" t="s">
        <v>280</v>
      </c>
      <c r="J405" s="125" t="s">
        <v>26</v>
      </c>
      <c r="K405" s="70">
        <v>56.5</v>
      </c>
      <c r="L405" s="139">
        <f>VLOOKUP(E405,'[1]MASTER WORKFILE MY26.2'!$H:$AC,22,0)</f>
        <v>32</v>
      </c>
      <c r="M405" s="116">
        <f>VLOOKUP(E405,'Essential accessories '!E:M,9,0)</f>
        <v>0</v>
      </c>
      <c r="N405" s="71">
        <f t="shared" si="6"/>
        <v>0</v>
      </c>
      <c r="O405" s="61"/>
      <c r="P405" s="61"/>
      <c r="Q405" s="61" t="s">
        <v>1750</v>
      </c>
    </row>
    <row r="406" spans="1:17" ht="14.4" x14ac:dyDescent="0.3">
      <c r="A406" s="124">
        <v>393</v>
      </c>
      <c r="B406" s="59" t="s">
        <v>833</v>
      </c>
      <c r="C406" s="59" t="s">
        <v>776</v>
      </c>
      <c r="D406" s="115" t="s">
        <v>998</v>
      </c>
      <c r="E406" s="59" t="s">
        <v>999</v>
      </c>
      <c r="F406" s="115" t="s">
        <v>1000</v>
      </c>
      <c r="G406" s="59" t="s">
        <v>161</v>
      </c>
      <c r="H406" s="115" t="s">
        <v>162</v>
      </c>
      <c r="I406" s="115" t="s">
        <v>1001</v>
      </c>
      <c r="J406" s="125" t="s">
        <v>26</v>
      </c>
      <c r="K406" s="70">
        <v>120</v>
      </c>
      <c r="L406" s="139">
        <f>VLOOKUP(E406,'[1]MASTER WORKFILE MY26.2'!$H:$AC,22,0)</f>
        <v>67.8</v>
      </c>
      <c r="M406" s="116">
        <f>VLOOKUP(E406,'Essential accessories '!E:M,9,0)</f>
        <v>0</v>
      </c>
      <c r="N406" s="71">
        <f t="shared" si="6"/>
        <v>0</v>
      </c>
      <c r="O406" s="61" t="s">
        <v>1751</v>
      </c>
      <c r="P406" s="61" t="s">
        <v>1751</v>
      </c>
      <c r="Q406" s="61" t="s">
        <v>1625</v>
      </c>
    </row>
    <row r="407" spans="1:17" ht="14.4" x14ac:dyDescent="0.3">
      <c r="A407" s="124">
        <v>394</v>
      </c>
      <c r="B407" s="59" t="s">
        <v>833</v>
      </c>
      <c r="C407" s="59" t="s">
        <v>776</v>
      </c>
      <c r="D407" s="115" t="s">
        <v>998</v>
      </c>
      <c r="E407" s="59" t="s">
        <v>1002</v>
      </c>
      <c r="F407" s="115" t="s">
        <v>1000</v>
      </c>
      <c r="G407" s="59" t="s">
        <v>161</v>
      </c>
      <c r="H407" s="115" t="s">
        <v>162</v>
      </c>
      <c r="I407" s="115" t="s">
        <v>1003</v>
      </c>
      <c r="J407" s="125" t="s">
        <v>26</v>
      </c>
      <c r="K407" s="70">
        <v>130</v>
      </c>
      <c r="L407" s="139">
        <f>VLOOKUP(E407,'[1]MASTER WORKFILE MY26.2'!$H:$AC,22,0)</f>
        <v>73.5</v>
      </c>
      <c r="M407" s="116">
        <f>VLOOKUP(E407,'Essential accessories '!E:M,9,0)</f>
        <v>0</v>
      </c>
      <c r="N407" s="71">
        <f t="shared" si="6"/>
        <v>0</v>
      </c>
      <c r="O407" s="61" t="s">
        <v>1751</v>
      </c>
      <c r="P407" s="61" t="s">
        <v>1751</v>
      </c>
      <c r="Q407" s="61" t="s">
        <v>1625</v>
      </c>
    </row>
    <row r="408" spans="1:17" ht="14.4" x14ac:dyDescent="0.3">
      <c r="A408" s="124">
        <v>395</v>
      </c>
      <c r="B408" s="59" t="s">
        <v>833</v>
      </c>
      <c r="C408" s="59" t="s">
        <v>776</v>
      </c>
      <c r="D408" s="115" t="s">
        <v>1004</v>
      </c>
      <c r="E408" s="59" t="s">
        <v>1005</v>
      </c>
      <c r="F408" s="115" t="s">
        <v>1006</v>
      </c>
      <c r="G408" s="59" t="s">
        <v>133</v>
      </c>
      <c r="H408" s="115" t="s">
        <v>134</v>
      </c>
      <c r="I408" s="115" t="s">
        <v>270</v>
      </c>
      <c r="J408" s="125" t="s">
        <v>26</v>
      </c>
      <c r="K408" s="70">
        <v>50</v>
      </c>
      <c r="L408" s="139">
        <f>VLOOKUP(E408,'[1]MASTER WORKFILE MY26.2'!$H:$AC,22,0)</f>
        <v>28.3</v>
      </c>
      <c r="M408" s="116">
        <f>VLOOKUP(E408,'Essential accessories '!E:M,9,0)</f>
        <v>0</v>
      </c>
      <c r="N408" s="71">
        <f t="shared" si="6"/>
        <v>0</v>
      </c>
      <c r="O408" s="61" t="s">
        <v>1751</v>
      </c>
      <c r="P408" s="61" t="s">
        <v>1751</v>
      </c>
      <c r="Q408" s="61" t="s">
        <v>1625</v>
      </c>
    </row>
    <row r="409" spans="1:17" ht="14.4" x14ac:dyDescent="0.3">
      <c r="A409" s="124">
        <v>396</v>
      </c>
      <c r="B409" s="59" t="s">
        <v>833</v>
      </c>
      <c r="C409" s="59" t="s">
        <v>776</v>
      </c>
      <c r="D409" s="115" t="s">
        <v>1004</v>
      </c>
      <c r="E409" s="59" t="s">
        <v>1007</v>
      </c>
      <c r="F409" s="115" t="s">
        <v>1006</v>
      </c>
      <c r="G409" s="59" t="s">
        <v>133</v>
      </c>
      <c r="H409" s="115" t="s">
        <v>134</v>
      </c>
      <c r="I409" s="115" t="s">
        <v>272</v>
      </c>
      <c r="J409" s="125" t="s">
        <v>26</v>
      </c>
      <c r="K409" s="70">
        <v>50</v>
      </c>
      <c r="L409" s="139">
        <f>VLOOKUP(E409,'[1]MASTER WORKFILE MY26.2'!$H:$AC,22,0)</f>
        <v>28.3</v>
      </c>
      <c r="M409" s="116">
        <f>VLOOKUP(E409,'Essential accessories '!E:M,9,0)</f>
        <v>0</v>
      </c>
      <c r="N409" s="71">
        <f t="shared" si="6"/>
        <v>0</v>
      </c>
      <c r="O409" s="61" t="s">
        <v>1751</v>
      </c>
      <c r="P409" s="61" t="s">
        <v>1751</v>
      </c>
      <c r="Q409" s="61" t="s">
        <v>1625</v>
      </c>
    </row>
    <row r="410" spans="1:17" ht="14.4" x14ac:dyDescent="0.3">
      <c r="A410" s="124">
        <v>397</v>
      </c>
      <c r="B410" s="59" t="s">
        <v>833</v>
      </c>
      <c r="C410" s="59" t="s">
        <v>776</v>
      </c>
      <c r="D410" s="115" t="s">
        <v>1004</v>
      </c>
      <c r="E410" s="59" t="s">
        <v>1008</v>
      </c>
      <c r="F410" s="115" t="s">
        <v>1006</v>
      </c>
      <c r="G410" s="59" t="s">
        <v>133</v>
      </c>
      <c r="H410" s="115" t="s">
        <v>134</v>
      </c>
      <c r="I410" s="115" t="s">
        <v>274</v>
      </c>
      <c r="J410" s="125" t="s">
        <v>26</v>
      </c>
      <c r="K410" s="70">
        <v>50</v>
      </c>
      <c r="L410" s="139">
        <f>VLOOKUP(E410,'[1]MASTER WORKFILE MY26.2'!$H:$AC,22,0)</f>
        <v>28.3</v>
      </c>
      <c r="M410" s="116">
        <f>VLOOKUP(E410,'Essential accessories '!E:M,9,0)</f>
        <v>0</v>
      </c>
      <c r="N410" s="71">
        <f t="shared" si="6"/>
        <v>0</v>
      </c>
      <c r="O410" s="61" t="s">
        <v>1751</v>
      </c>
      <c r="P410" s="61" t="s">
        <v>1751</v>
      </c>
      <c r="Q410" s="61" t="s">
        <v>1625</v>
      </c>
    </row>
    <row r="411" spans="1:17" ht="14.4" x14ac:dyDescent="0.3">
      <c r="A411" s="124">
        <v>398</v>
      </c>
      <c r="B411" s="59" t="s">
        <v>833</v>
      </c>
      <c r="C411" s="59" t="s">
        <v>776</v>
      </c>
      <c r="D411" s="115" t="s">
        <v>1009</v>
      </c>
      <c r="E411" s="59" t="s">
        <v>1010</v>
      </c>
      <c r="F411" s="115" t="s">
        <v>1011</v>
      </c>
      <c r="G411" s="59" t="s">
        <v>161</v>
      </c>
      <c r="H411" s="115" t="s">
        <v>162</v>
      </c>
      <c r="I411" s="115" t="s">
        <v>973</v>
      </c>
      <c r="J411" s="125" t="s">
        <v>101</v>
      </c>
      <c r="K411" s="134">
        <v>500</v>
      </c>
      <c r="L411" s="139">
        <f>VLOOKUP(E411,'[1]MASTER WORKFILE MY26.2'!$H:$AC,22,0)</f>
        <v>254.1</v>
      </c>
      <c r="M411" s="116">
        <f>VLOOKUP(E411,'Essential accessories '!E:M,9,0)</f>
        <v>0</v>
      </c>
      <c r="N411" s="135">
        <f t="shared" si="6"/>
        <v>0</v>
      </c>
      <c r="O411" s="61" t="s">
        <v>1751</v>
      </c>
      <c r="P411" s="61" t="s">
        <v>1751</v>
      </c>
      <c r="Q411" s="61" t="s">
        <v>1625</v>
      </c>
    </row>
    <row r="412" spans="1:17" ht="14.4" x14ac:dyDescent="0.3">
      <c r="A412" s="124">
        <v>399</v>
      </c>
      <c r="B412" s="59" t="s">
        <v>833</v>
      </c>
      <c r="C412" s="59" t="s">
        <v>776</v>
      </c>
      <c r="D412" s="115" t="s">
        <v>1009</v>
      </c>
      <c r="E412" s="59" t="s">
        <v>1012</v>
      </c>
      <c r="F412" s="115" t="s">
        <v>1011</v>
      </c>
      <c r="G412" s="59" t="s">
        <v>161</v>
      </c>
      <c r="H412" s="115" t="s">
        <v>162</v>
      </c>
      <c r="I412" s="115" t="s">
        <v>975</v>
      </c>
      <c r="J412" s="125" t="s">
        <v>101</v>
      </c>
      <c r="K412" s="134">
        <v>550</v>
      </c>
      <c r="L412" s="139">
        <f>VLOOKUP(E412,'[1]MASTER WORKFILE MY26.2'!$H:$AC,22,0)</f>
        <v>279.60000000000002</v>
      </c>
      <c r="M412" s="116">
        <f>VLOOKUP(E412,'Essential accessories '!E:M,9,0)</f>
        <v>0</v>
      </c>
      <c r="N412" s="135">
        <f t="shared" si="6"/>
        <v>0</v>
      </c>
      <c r="O412" s="61" t="s">
        <v>1751</v>
      </c>
      <c r="P412" s="61" t="s">
        <v>1751</v>
      </c>
      <c r="Q412" s="61" t="s">
        <v>1625</v>
      </c>
    </row>
    <row r="413" spans="1:17" ht="14.4" x14ac:dyDescent="0.3">
      <c r="A413" s="124">
        <v>400</v>
      </c>
      <c r="B413" s="59" t="s">
        <v>833</v>
      </c>
      <c r="C413" s="59" t="s">
        <v>776</v>
      </c>
      <c r="D413" s="115" t="s">
        <v>1009</v>
      </c>
      <c r="E413" s="59" t="s">
        <v>1013</v>
      </c>
      <c r="F413" s="115" t="s">
        <v>1011</v>
      </c>
      <c r="G413" s="59" t="s">
        <v>161</v>
      </c>
      <c r="H413" s="115" t="s">
        <v>162</v>
      </c>
      <c r="I413" s="115" t="s">
        <v>977</v>
      </c>
      <c r="J413" s="125" t="s">
        <v>101</v>
      </c>
      <c r="K413" s="134">
        <v>575</v>
      </c>
      <c r="L413" s="139">
        <f>VLOOKUP(E413,'[1]MASTER WORKFILE MY26.2'!$H:$AC,22,0)</f>
        <v>292.3</v>
      </c>
      <c r="M413" s="116">
        <f>VLOOKUP(E413,'Essential accessories '!E:M,9,0)</f>
        <v>0</v>
      </c>
      <c r="N413" s="135">
        <f t="shared" si="6"/>
        <v>0</v>
      </c>
      <c r="O413" s="61" t="s">
        <v>1751</v>
      </c>
      <c r="P413" s="61" t="s">
        <v>1751</v>
      </c>
      <c r="Q413" s="61" t="s">
        <v>1625</v>
      </c>
    </row>
    <row r="414" spans="1:17" ht="14.4" x14ac:dyDescent="0.3">
      <c r="A414" s="124">
        <v>401</v>
      </c>
      <c r="B414" s="59" t="s">
        <v>1014</v>
      </c>
      <c r="C414" s="59" t="s">
        <v>776</v>
      </c>
      <c r="D414" s="115" t="s">
        <v>1015</v>
      </c>
      <c r="E414" s="59" t="s">
        <v>1016</v>
      </c>
      <c r="F414" s="115" t="s">
        <v>1017</v>
      </c>
      <c r="G414" s="59" t="s">
        <v>987</v>
      </c>
      <c r="H414" s="115" t="s">
        <v>988</v>
      </c>
      <c r="I414" s="115" t="s">
        <v>280</v>
      </c>
      <c r="J414" s="125" t="s">
        <v>101</v>
      </c>
      <c r="K414" s="70">
        <v>5</v>
      </c>
      <c r="L414" s="139">
        <f>VLOOKUP(E414,'[1]MASTER WORKFILE MY26.2'!$H:$AC,22,0)</f>
        <v>2.9</v>
      </c>
      <c r="M414" s="116">
        <f>VLOOKUP(E414,'Essential accessories '!E:M,9,0)</f>
        <v>0</v>
      </c>
      <c r="N414" s="71">
        <f t="shared" si="6"/>
        <v>0</v>
      </c>
      <c r="O414" s="61"/>
      <c r="P414" s="61"/>
      <c r="Q414" s="61" t="s">
        <v>1750</v>
      </c>
    </row>
    <row r="415" spans="1:17" ht="14.4" x14ac:dyDescent="0.3">
      <c r="A415" s="124">
        <v>402</v>
      </c>
      <c r="B415" s="59" t="s">
        <v>1014</v>
      </c>
      <c r="C415" s="59" t="s">
        <v>776</v>
      </c>
      <c r="D415" s="115" t="s">
        <v>1018</v>
      </c>
      <c r="E415" s="59" t="s">
        <v>1019</v>
      </c>
      <c r="F415" s="115" t="s">
        <v>1020</v>
      </c>
      <c r="G415" s="59" t="s">
        <v>987</v>
      </c>
      <c r="H415" s="115" t="s">
        <v>988</v>
      </c>
      <c r="I415" s="115" t="s">
        <v>280</v>
      </c>
      <c r="J415" s="125" t="s">
        <v>101</v>
      </c>
      <c r="K415" s="70">
        <v>25</v>
      </c>
      <c r="L415" s="139">
        <f>VLOOKUP(E415,'[1]MASTER WORKFILE MY26.2'!$H:$AC,22,0)</f>
        <v>14.2</v>
      </c>
      <c r="M415" s="116">
        <f>VLOOKUP(E415,'Essential accessories '!E:M,9,0)</f>
        <v>0</v>
      </c>
      <c r="N415" s="71">
        <f t="shared" si="6"/>
        <v>0</v>
      </c>
      <c r="O415" s="61"/>
      <c r="P415" s="61"/>
      <c r="Q415" s="61" t="s">
        <v>1750</v>
      </c>
    </row>
    <row r="416" spans="1:17" ht="14.4" x14ac:dyDescent="0.3">
      <c r="A416" s="124">
        <v>403</v>
      </c>
      <c r="B416" s="59" t="s">
        <v>1014</v>
      </c>
      <c r="C416" s="59" t="s">
        <v>776</v>
      </c>
      <c r="D416" s="115" t="s">
        <v>1021</v>
      </c>
      <c r="E416" s="59" t="s">
        <v>1022</v>
      </c>
      <c r="F416" s="115" t="s">
        <v>1023</v>
      </c>
      <c r="G416" s="59" t="s">
        <v>320</v>
      </c>
      <c r="H416" s="115" t="s">
        <v>321</v>
      </c>
      <c r="I416" s="115" t="s">
        <v>280</v>
      </c>
      <c r="J416" s="125" t="s">
        <v>26</v>
      </c>
      <c r="K416" s="70">
        <v>5.5</v>
      </c>
      <c r="L416" s="139">
        <f>VLOOKUP(E416,'[1]MASTER WORKFILE MY26.2'!$H:$AC,22,0)</f>
        <v>3.2</v>
      </c>
      <c r="M416" s="116">
        <f>VLOOKUP(E416,'Essential accessories '!E:M,9,0)</f>
        <v>0</v>
      </c>
      <c r="N416" s="71">
        <f t="shared" si="6"/>
        <v>0</v>
      </c>
      <c r="O416" s="61"/>
      <c r="P416" s="61"/>
      <c r="Q416" s="61" t="s">
        <v>1750</v>
      </c>
    </row>
    <row r="417" spans="1:17" ht="14.4" x14ac:dyDescent="0.3">
      <c r="A417" s="124">
        <v>404</v>
      </c>
      <c r="B417" s="59" t="s">
        <v>1014</v>
      </c>
      <c r="C417" s="59" t="s">
        <v>776</v>
      </c>
      <c r="D417" s="115" t="s">
        <v>1024</v>
      </c>
      <c r="E417" s="59" t="s">
        <v>1025</v>
      </c>
      <c r="F417" s="115" t="s">
        <v>1026</v>
      </c>
      <c r="G417" s="59" t="s">
        <v>987</v>
      </c>
      <c r="H417" s="115" t="s">
        <v>988</v>
      </c>
      <c r="I417" s="115" t="s">
        <v>280</v>
      </c>
      <c r="J417" s="125" t="s">
        <v>26</v>
      </c>
      <c r="K417" s="70">
        <v>6.5</v>
      </c>
      <c r="L417" s="139">
        <f>VLOOKUP(E417,'[1]MASTER WORKFILE MY26.2'!$H:$AC,22,0)</f>
        <v>3.7</v>
      </c>
      <c r="M417" s="116">
        <f>VLOOKUP(E417,'Essential accessories '!E:M,9,0)</f>
        <v>0</v>
      </c>
      <c r="N417" s="71">
        <f t="shared" si="6"/>
        <v>0</v>
      </c>
      <c r="O417" s="61"/>
      <c r="P417" s="61"/>
      <c r="Q417" s="61" t="s">
        <v>1750</v>
      </c>
    </row>
    <row r="418" spans="1:17" ht="14.4" x14ac:dyDescent="0.3">
      <c r="A418" s="124">
        <v>405</v>
      </c>
      <c r="B418" s="59" t="s">
        <v>1014</v>
      </c>
      <c r="C418" s="59" t="s">
        <v>776</v>
      </c>
      <c r="D418" s="115" t="s">
        <v>1027</v>
      </c>
      <c r="E418" s="59" t="s">
        <v>1028</v>
      </c>
      <c r="F418" s="115" t="s">
        <v>1029</v>
      </c>
      <c r="G418" s="59" t="s">
        <v>133</v>
      </c>
      <c r="H418" s="115" t="s">
        <v>134</v>
      </c>
      <c r="I418" s="115" t="s">
        <v>280</v>
      </c>
      <c r="J418" s="125" t="s">
        <v>26</v>
      </c>
      <c r="K418" s="70">
        <v>25</v>
      </c>
      <c r="L418" s="139">
        <f>VLOOKUP(E418,'[1]MASTER WORKFILE MY26.2'!$H:$AC,22,0)</f>
        <v>14.2</v>
      </c>
      <c r="M418" s="116">
        <f>VLOOKUP(E418,'Essential accessories '!E:M,9,0)</f>
        <v>0</v>
      </c>
      <c r="N418" s="71">
        <f t="shared" si="6"/>
        <v>0</v>
      </c>
      <c r="O418" s="61"/>
      <c r="P418" s="61"/>
      <c r="Q418" s="61" t="s">
        <v>1750</v>
      </c>
    </row>
    <row r="419" spans="1:17" ht="14.4" x14ac:dyDescent="0.3">
      <c r="A419" s="124">
        <v>406</v>
      </c>
      <c r="B419" s="59" t="s">
        <v>1014</v>
      </c>
      <c r="C419" s="59" t="s">
        <v>776</v>
      </c>
      <c r="D419" s="115" t="s">
        <v>1030</v>
      </c>
      <c r="E419" s="59" t="s">
        <v>1031</v>
      </c>
      <c r="F419" s="115" t="s">
        <v>1032</v>
      </c>
      <c r="G419" s="59" t="s">
        <v>133</v>
      </c>
      <c r="H419" s="115" t="s">
        <v>134</v>
      </c>
      <c r="I419" s="115" t="s">
        <v>280</v>
      </c>
      <c r="J419" s="125" t="s">
        <v>26</v>
      </c>
      <c r="K419" s="70">
        <v>15.5</v>
      </c>
      <c r="L419" s="139">
        <f>VLOOKUP(E419,'[1]MASTER WORKFILE MY26.2'!$H:$AC,22,0)</f>
        <v>8.7999999999999989</v>
      </c>
      <c r="M419" s="116">
        <f>VLOOKUP(E419,'Essential accessories '!E:M,9,0)</f>
        <v>0</v>
      </c>
      <c r="N419" s="71">
        <f t="shared" si="6"/>
        <v>0</v>
      </c>
      <c r="O419" s="61"/>
      <c r="P419" s="61"/>
      <c r="Q419" s="61" t="s">
        <v>1750</v>
      </c>
    </row>
    <row r="420" spans="1:17" ht="14.4" x14ac:dyDescent="0.3">
      <c r="A420" s="124">
        <v>407</v>
      </c>
      <c r="B420" s="59" t="s">
        <v>1033</v>
      </c>
      <c r="C420" s="59" t="s">
        <v>776</v>
      </c>
      <c r="D420" s="115" t="s">
        <v>1034</v>
      </c>
      <c r="E420" s="59" t="s">
        <v>1035</v>
      </c>
      <c r="F420" s="115" t="s">
        <v>1036</v>
      </c>
      <c r="G420" s="59" t="s">
        <v>133</v>
      </c>
      <c r="H420" s="59" t="s">
        <v>134</v>
      </c>
      <c r="I420" s="115" t="s">
        <v>280</v>
      </c>
      <c r="J420" s="125" t="s">
        <v>1037</v>
      </c>
      <c r="K420" s="70">
        <v>15</v>
      </c>
      <c r="L420" s="139">
        <f>VLOOKUP(E420,'[1]MASTER WORKFILE MY26.2'!$H:$AC,22,0)</f>
        <v>8.5</v>
      </c>
      <c r="M420" s="116">
        <f>VLOOKUP(E420,'Essential accessories '!E:M,9,0)</f>
        <v>0</v>
      </c>
      <c r="N420" s="71">
        <f t="shared" si="6"/>
        <v>0</v>
      </c>
      <c r="O420" s="61"/>
      <c r="P420" s="61"/>
      <c r="Q420" s="61" t="s">
        <v>1750</v>
      </c>
    </row>
    <row r="421" spans="1:17" ht="14.4" x14ac:dyDescent="0.3">
      <c r="A421" s="124">
        <v>408</v>
      </c>
      <c r="B421" s="59" t="s">
        <v>1033</v>
      </c>
      <c r="C421" s="59" t="s">
        <v>776</v>
      </c>
      <c r="D421" s="115" t="s">
        <v>1038</v>
      </c>
      <c r="E421" s="59" t="s">
        <v>1039</v>
      </c>
      <c r="F421" s="115" t="s">
        <v>1040</v>
      </c>
      <c r="G421" s="59" t="s">
        <v>58</v>
      </c>
      <c r="H421" s="59" t="s">
        <v>59</v>
      </c>
      <c r="I421" s="115" t="s">
        <v>1041</v>
      </c>
      <c r="J421" s="125" t="s">
        <v>1037</v>
      </c>
      <c r="K421" s="70">
        <v>6</v>
      </c>
      <c r="L421" s="139">
        <f>VLOOKUP(E421,'[1]MASTER WORKFILE MY26.2'!$H:$AC,22,0)</f>
        <v>3.4</v>
      </c>
      <c r="M421" s="116">
        <f>VLOOKUP(E421,'Essential accessories '!E:M,9,0)</f>
        <v>0</v>
      </c>
      <c r="N421" s="71">
        <f t="shared" si="6"/>
        <v>0</v>
      </c>
      <c r="O421" s="61"/>
      <c r="P421" s="61"/>
      <c r="Q421" s="61" t="s">
        <v>1750</v>
      </c>
    </row>
    <row r="422" spans="1:17" ht="14.4" x14ac:dyDescent="0.3">
      <c r="A422" s="124">
        <v>409</v>
      </c>
      <c r="B422" s="59" t="s">
        <v>1033</v>
      </c>
      <c r="C422" s="59" t="s">
        <v>776</v>
      </c>
      <c r="D422" s="115" t="s">
        <v>1042</v>
      </c>
      <c r="E422" s="59" t="s">
        <v>1043</v>
      </c>
      <c r="F422" s="115" t="s">
        <v>1044</v>
      </c>
      <c r="G422" s="59" t="s">
        <v>58</v>
      </c>
      <c r="H422" s="59" t="s">
        <v>59</v>
      </c>
      <c r="I422" s="115" t="s">
        <v>800</v>
      </c>
      <c r="J422" s="125" t="s">
        <v>1037</v>
      </c>
      <c r="K422" s="70">
        <v>145</v>
      </c>
      <c r="L422" s="139">
        <f>VLOOKUP(E422,'[1]MASTER WORKFILE MY26.2'!$H:$AC,22,0)</f>
        <v>81.899999999999991</v>
      </c>
      <c r="M422" s="116">
        <f>VLOOKUP(E422,'Essential accessories '!E:M,9,0)</f>
        <v>0</v>
      </c>
      <c r="N422" s="71">
        <f t="shared" si="6"/>
        <v>0</v>
      </c>
      <c r="O422" s="61"/>
      <c r="P422" s="61"/>
      <c r="Q422" s="61" t="s">
        <v>1750</v>
      </c>
    </row>
    <row r="423" spans="1:17" ht="14.4" x14ac:dyDescent="0.3">
      <c r="A423" s="124">
        <v>410</v>
      </c>
      <c r="B423" s="59" t="s">
        <v>1033</v>
      </c>
      <c r="C423" s="59" t="s">
        <v>776</v>
      </c>
      <c r="D423" s="115" t="s">
        <v>1045</v>
      </c>
      <c r="E423" s="59" t="s">
        <v>1046</v>
      </c>
      <c r="F423" s="115" t="s">
        <v>1047</v>
      </c>
      <c r="G423" s="59" t="s">
        <v>133</v>
      </c>
      <c r="H423" s="59" t="s">
        <v>134</v>
      </c>
      <c r="I423" s="115" t="s">
        <v>800</v>
      </c>
      <c r="J423" s="125" t="s">
        <v>1037</v>
      </c>
      <c r="K423" s="70">
        <v>92.5</v>
      </c>
      <c r="L423" s="139">
        <f>VLOOKUP(E423,'[1]MASTER WORKFILE MY26.2'!$H:$AC,22,0)</f>
        <v>52.300000000000004</v>
      </c>
      <c r="M423" s="116">
        <f>VLOOKUP(E423,'Essential accessories '!E:M,9,0)</f>
        <v>0</v>
      </c>
      <c r="N423" s="71">
        <f t="shared" si="6"/>
        <v>0</v>
      </c>
      <c r="O423" s="61"/>
      <c r="P423" s="61"/>
      <c r="Q423" s="61" t="s">
        <v>1750</v>
      </c>
    </row>
    <row r="424" spans="1:17" ht="14.4" x14ac:dyDescent="0.3">
      <c r="A424" s="124">
        <v>411</v>
      </c>
      <c r="B424" s="59" t="s">
        <v>1033</v>
      </c>
      <c r="C424" s="59" t="s">
        <v>776</v>
      </c>
      <c r="D424" s="115" t="s">
        <v>1048</v>
      </c>
      <c r="E424" s="59" t="s">
        <v>1049</v>
      </c>
      <c r="F424" s="115" t="s">
        <v>1050</v>
      </c>
      <c r="G424" s="59" t="s">
        <v>133</v>
      </c>
      <c r="H424" s="59" t="s">
        <v>134</v>
      </c>
      <c r="I424" s="115" t="s">
        <v>272</v>
      </c>
      <c r="J424" s="125" t="s">
        <v>26</v>
      </c>
      <c r="K424" s="70">
        <v>21.5</v>
      </c>
      <c r="L424" s="139">
        <f>VLOOKUP(E424,'[1]MASTER WORKFILE MY26.2'!$H:$AC,22,0)</f>
        <v>12.2</v>
      </c>
      <c r="M424" s="116">
        <f>VLOOKUP(E424,'Essential accessories '!E:M,9,0)</f>
        <v>0</v>
      </c>
      <c r="N424" s="71">
        <f t="shared" si="6"/>
        <v>0</v>
      </c>
      <c r="O424" s="61"/>
      <c r="P424" s="61"/>
      <c r="Q424" s="61" t="s">
        <v>1750</v>
      </c>
    </row>
    <row r="425" spans="1:17" ht="14.4" x14ac:dyDescent="0.3">
      <c r="A425" s="124">
        <v>412</v>
      </c>
      <c r="B425" s="59" t="s">
        <v>1033</v>
      </c>
      <c r="C425" s="59" t="s">
        <v>776</v>
      </c>
      <c r="D425" s="115" t="s">
        <v>1051</v>
      </c>
      <c r="E425" s="59" t="s">
        <v>1052</v>
      </c>
      <c r="F425" s="115" t="s">
        <v>1053</v>
      </c>
      <c r="G425" s="59" t="s">
        <v>133</v>
      </c>
      <c r="H425" s="59" t="s">
        <v>134</v>
      </c>
      <c r="I425" s="115" t="s">
        <v>280</v>
      </c>
      <c r="J425" s="125" t="s">
        <v>26</v>
      </c>
      <c r="K425" s="70">
        <v>8</v>
      </c>
      <c r="L425" s="139">
        <f>VLOOKUP(E425,'[1]MASTER WORKFILE MY26.2'!$H:$AC,22,0)</f>
        <v>4.5999999999999996</v>
      </c>
      <c r="M425" s="116">
        <f>VLOOKUP(E425,'Essential accessories '!E:M,9,0)</f>
        <v>0</v>
      </c>
      <c r="N425" s="71">
        <f t="shared" si="6"/>
        <v>0</v>
      </c>
      <c r="O425" s="61"/>
      <c r="P425" s="61"/>
      <c r="Q425" s="61" t="s">
        <v>1750</v>
      </c>
    </row>
    <row r="426" spans="1:17" ht="14.4" x14ac:dyDescent="0.3">
      <c r="A426" s="124">
        <v>413</v>
      </c>
      <c r="B426" s="59" t="s">
        <v>1033</v>
      </c>
      <c r="C426" s="59" t="s">
        <v>776</v>
      </c>
      <c r="D426" s="115" t="s">
        <v>1054</v>
      </c>
      <c r="E426" s="59" t="s">
        <v>1055</v>
      </c>
      <c r="F426" s="115" t="s">
        <v>1056</v>
      </c>
      <c r="G426" s="59" t="s">
        <v>58</v>
      </c>
      <c r="H426" s="59" t="s">
        <v>59</v>
      </c>
      <c r="I426" s="115" t="s">
        <v>800</v>
      </c>
      <c r="J426" s="125" t="s">
        <v>26</v>
      </c>
      <c r="K426" s="70">
        <v>145</v>
      </c>
      <c r="L426" s="139">
        <f>VLOOKUP(E426,'[1]MASTER WORKFILE MY26.2'!$H:$AC,22,0)</f>
        <v>81.899999999999991</v>
      </c>
      <c r="M426" s="116">
        <f>VLOOKUP(E426,'Essential accessories '!E:M,9,0)</f>
        <v>0</v>
      </c>
      <c r="N426" s="71">
        <f t="shared" si="6"/>
        <v>0</v>
      </c>
      <c r="O426" s="61"/>
      <c r="P426" s="61"/>
      <c r="Q426" s="61" t="s">
        <v>1750</v>
      </c>
    </row>
    <row r="427" spans="1:17" ht="14.4" x14ac:dyDescent="0.3">
      <c r="A427" s="124">
        <v>414</v>
      </c>
      <c r="B427" s="59" t="s">
        <v>1033</v>
      </c>
      <c r="C427" s="59" t="s">
        <v>776</v>
      </c>
      <c r="D427" s="115" t="s">
        <v>1057</v>
      </c>
      <c r="E427" s="59" t="s">
        <v>1058</v>
      </c>
      <c r="F427" s="115" t="s">
        <v>1059</v>
      </c>
      <c r="G427" s="59" t="s">
        <v>1060</v>
      </c>
      <c r="H427" s="59" t="s">
        <v>1061</v>
      </c>
      <c r="I427" s="115" t="s">
        <v>280</v>
      </c>
      <c r="J427" s="125" t="s">
        <v>26</v>
      </c>
      <c r="K427" s="70">
        <v>143.5</v>
      </c>
      <c r="L427" s="139">
        <f>VLOOKUP(E427,'[1]MASTER WORKFILE MY26.2'!$H:$AC,22,0)</f>
        <v>81.099999999999994</v>
      </c>
      <c r="M427" s="116">
        <f>VLOOKUP(E427,'Essential accessories '!E:M,9,0)</f>
        <v>0</v>
      </c>
      <c r="N427" s="71">
        <f t="shared" si="6"/>
        <v>0</v>
      </c>
      <c r="O427" s="61"/>
      <c r="P427" s="61"/>
      <c r="Q427" s="61" t="s">
        <v>1750</v>
      </c>
    </row>
    <row r="428" spans="1:17" ht="14.4" x14ac:dyDescent="0.3">
      <c r="A428" s="124">
        <v>415</v>
      </c>
      <c r="B428" s="15" t="s">
        <v>1062</v>
      </c>
      <c r="C428" s="15" t="s">
        <v>776</v>
      </c>
      <c r="D428" s="16" t="s">
        <v>1763</v>
      </c>
      <c r="E428" s="16" t="s">
        <v>1764</v>
      </c>
      <c r="F428" s="15" t="s">
        <v>1072</v>
      </c>
      <c r="G428" s="16" t="s">
        <v>320</v>
      </c>
      <c r="H428" s="15" t="s">
        <v>321</v>
      </c>
      <c r="I428" s="15" t="s">
        <v>280</v>
      </c>
      <c r="J428" s="136" t="s">
        <v>26</v>
      </c>
      <c r="K428" s="70">
        <v>14.5</v>
      </c>
      <c r="L428" s="139">
        <f>VLOOKUP(E428,'[1]MASTER WORKFILE MY26.2'!$H:$AC,22,0)</f>
        <v>8.1999999999999993</v>
      </c>
      <c r="M428" s="116">
        <f>VLOOKUP(E428,'Essential accessories '!E:M,9,0)</f>
        <v>0</v>
      </c>
      <c r="N428" s="71">
        <f t="shared" si="6"/>
        <v>0</v>
      </c>
      <c r="O428" s="61"/>
      <c r="P428" s="61"/>
      <c r="Q428" s="61" t="s">
        <v>1750</v>
      </c>
    </row>
    <row r="429" spans="1:17" ht="14.4" x14ac:dyDescent="0.3">
      <c r="A429" s="124">
        <v>416</v>
      </c>
      <c r="B429" s="15" t="s">
        <v>1062</v>
      </c>
      <c r="C429" s="15" t="s">
        <v>776</v>
      </c>
      <c r="D429" s="16" t="s">
        <v>1765</v>
      </c>
      <c r="E429" s="16" t="s">
        <v>1766</v>
      </c>
      <c r="F429" s="15" t="s">
        <v>920</v>
      </c>
      <c r="G429" s="16" t="s">
        <v>320</v>
      </c>
      <c r="H429" s="15" t="s">
        <v>321</v>
      </c>
      <c r="I429" s="15" t="s">
        <v>280</v>
      </c>
      <c r="J429" s="136" t="s">
        <v>26</v>
      </c>
      <c r="K429" s="70">
        <v>14.5</v>
      </c>
      <c r="L429" s="139">
        <f>VLOOKUP(E429,'[1]MASTER WORKFILE MY26.2'!$H:$AC,22,0)</f>
        <v>8.1999999999999993</v>
      </c>
      <c r="M429" s="116">
        <f>VLOOKUP(E429,'Essential accessories '!E:M,9,0)</f>
        <v>0</v>
      </c>
      <c r="N429" s="71">
        <f t="shared" si="6"/>
        <v>0</v>
      </c>
      <c r="O429" s="61"/>
      <c r="P429" s="61"/>
      <c r="Q429" s="61" t="s">
        <v>1750</v>
      </c>
    </row>
    <row r="430" spans="1:17" ht="14.4" x14ac:dyDescent="0.3">
      <c r="A430" s="124">
        <v>417</v>
      </c>
      <c r="B430" s="15" t="s">
        <v>1062</v>
      </c>
      <c r="C430" s="15" t="s">
        <v>776</v>
      </c>
      <c r="D430" s="16" t="s">
        <v>1767</v>
      </c>
      <c r="E430" s="16" t="s">
        <v>1768</v>
      </c>
      <c r="F430" s="15" t="s">
        <v>1068</v>
      </c>
      <c r="G430" s="16" t="s">
        <v>320</v>
      </c>
      <c r="H430" s="15" t="s">
        <v>321</v>
      </c>
      <c r="I430" s="15" t="s">
        <v>280</v>
      </c>
      <c r="J430" s="136" t="s">
        <v>26</v>
      </c>
      <c r="K430" s="70">
        <v>14.5</v>
      </c>
      <c r="L430" s="139">
        <f>VLOOKUP(E430,'[1]MASTER WORKFILE MY26.2'!$H:$AC,22,0)</f>
        <v>8.1999999999999993</v>
      </c>
      <c r="M430" s="116">
        <f>VLOOKUP(E430,'Essential accessories '!E:M,9,0)</f>
        <v>0</v>
      </c>
      <c r="N430" s="71">
        <f t="shared" si="6"/>
        <v>0</v>
      </c>
      <c r="O430" s="61"/>
      <c r="P430" s="61"/>
      <c r="Q430" s="61" t="s">
        <v>1750</v>
      </c>
    </row>
    <row r="431" spans="1:17" ht="14.4" x14ac:dyDescent="0.3">
      <c r="A431" s="124">
        <v>418</v>
      </c>
      <c r="B431" s="15" t="s">
        <v>1062</v>
      </c>
      <c r="C431" s="15" t="s">
        <v>776</v>
      </c>
      <c r="D431" s="16" t="s">
        <v>1769</v>
      </c>
      <c r="E431" s="16" t="s">
        <v>1770</v>
      </c>
      <c r="F431" s="15" t="s">
        <v>1067</v>
      </c>
      <c r="G431" s="16" t="s">
        <v>320</v>
      </c>
      <c r="H431" s="15" t="s">
        <v>321</v>
      </c>
      <c r="I431" s="15" t="s">
        <v>280</v>
      </c>
      <c r="J431" s="136" t="s">
        <v>26</v>
      </c>
      <c r="K431" s="70">
        <v>14.5</v>
      </c>
      <c r="L431" s="139">
        <f>VLOOKUP(E431,'[1]MASTER WORKFILE MY26.2'!$H:$AC,22,0)</f>
        <v>8.1999999999999993</v>
      </c>
      <c r="M431" s="116">
        <f>VLOOKUP(E431,'Essential accessories '!E:M,9,0)</f>
        <v>0</v>
      </c>
      <c r="N431" s="71">
        <f t="shared" si="6"/>
        <v>0</v>
      </c>
      <c r="O431" s="61"/>
      <c r="P431" s="61"/>
      <c r="Q431" s="61" t="s">
        <v>1750</v>
      </c>
    </row>
    <row r="432" spans="1:17" ht="14.4" x14ac:dyDescent="0.3">
      <c r="A432" s="124">
        <v>419</v>
      </c>
      <c r="B432" s="15" t="s">
        <v>1062</v>
      </c>
      <c r="C432" s="15" t="s">
        <v>776</v>
      </c>
      <c r="D432" s="16" t="s">
        <v>1771</v>
      </c>
      <c r="E432" s="16" t="s">
        <v>1772</v>
      </c>
      <c r="F432" s="15" t="s">
        <v>1066</v>
      </c>
      <c r="G432" s="16" t="s">
        <v>320</v>
      </c>
      <c r="H432" s="15" t="s">
        <v>321</v>
      </c>
      <c r="I432" s="15" t="s">
        <v>280</v>
      </c>
      <c r="J432" s="136" t="s">
        <v>26</v>
      </c>
      <c r="K432" s="70">
        <v>14.5</v>
      </c>
      <c r="L432" s="139">
        <f>VLOOKUP(E432,'[1]MASTER WORKFILE MY26.2'!$H:$AC,22,0)</f>
        <v>8.1999999999999993</v>
      </c>
      <c r="M432" s="116">
        <f>VLOOKUP(E432,'Essential accessories '!E:M,9,0)</f>
        <v>0</v>
      </c>
      <c r="N432" s="71">
        <f t="shared" si="6"/>
        <v>0</v>
      </c>
      <c r="O432" s="61"/>
      <c r="P432" s="61"/>
      <c r="Q432" s="61" t="s">
        <v>1750</v>
      </c>
    </row>
    <row r="433" spans="1:17" ht="14.4" x14ac:dyDescent="0.3">
      <c r="A433" s="124">
        <v>420</v>
      </c>
      <c r="B433" s="15" t="s">
        <v>1062</v>
      </c>
      <c r="C433" s="15" t="s">
        <v>776</v>
      </c>
      <c r="D433" s="16" t="s">
        <v>1773</v>
      </c>
      <c r="E433" s="16" t="s">
        <v>1774</v>
      </c>
      <c r="F433" s="15" t="s">
        <v>1065</v>
      </c>
      <c r="G433" s="16" t="s">
        <v>320</v>
      </c>
      <c r="H433" s="15" t="s">
        <v>321</v>
      </c>
      <c r="I433" s="15" t="s">
        <v>280</v>
      </c>
      <c r="J433" s="136" t="s">
        <v>26</v>
      </c>
      <c r="K433" s="70">
        <v>10.5</v>
      </c>
      <c r="L433" s="139">
        <f>VLOOKUP(E433,'[1]MASTER WORKFILE MY26.2'!$H:$AC,22,0)</f>
        <v>6</v>
      </c>
      <c r="M433" s="116">
        <f>VLOOKUP(E433,'Essential accessories '!E:M,9,0)</f>
        <v>0</v>
      </c>
      <c r="N433" s="71">
        <f t="shared" si="6"/>
        <v>0</v>
      </c>
      <c r="O433" s="61"/>
      <c r="P433" s="61"/>
      <c r="Q433" s="61" t="s">
        <v>1750</v>
      </c>
    </row>
    <row r="434" spans="1:17" ht="14.4" x14ac:dyDescent="0.3">
      <c r="A434" s="124">
        <v>421</v>
      </c>
      <c r="B434" s="15" t="s">
        <v>1062</v>
      </c>
      <c r="C434" s="15" t="s">
        <v>776</v>
      </c>
      <c r="D434" s="16" t="s">
        <v>1775</v>
      </c>
      <c r="E434" s="16" t="s">
        <v>1776</v>
      </c>
      <c r="F434" s="15" t="s">
        <v>1073</v>
      </c>
      <c r="G434" s="16" t="s">
        <v>320</v>
      </c>
      <c r="H434" s="15" t="s">
        <v>321</v>
      </c>
      <c r="I434" s="15" t="s">
        <v>280</v>
      </c>
      <c r="J434" s="136" t="s">
        <v>26</v>
      </c>
      <c r="K434" s="70">
        <v>14</v>
      </c>
      <c r="L434" s="139">
        <f>VLOOKUP(E434,'[1]MASTER WORKFILE MY26.2'!$H:$AC,22,0)</f>
        <v>8</v>
      </c>
      <c r="M434" s="116">
        <f>VLOOKUP(E434,'Essential accessories '!E:M,9,0)</f>
        <v>0</v>
      </c>
      <c r="N434" s="71">
        <f t="shared" si="6"/>
        <v>0</v>
      </c>
      <c r="O434" s="61"/>
      <c r="P434" s="61"/>
      <c r="Q434" s="61" t="s">
        <v>1750</v>
      </c>
    </row>
    <row r="435" spans="1:17" ht="14.4" x14ac:dyDescent="0.3">
      <c r="A435" s="124">
        <v>422</v>
      </c>
      <c r="B435" s="15" t="s">
        <v>1062</v>
      </c>
      <c r="C435" s="15" t="s">
        <v>776</v>
      </c>
      <c r="D435" s="16" t="s">
        <v>1777</v>
      </c>
      <c r="E435" s="16" t="s">
        <v>1778</v>
      </c>
      <c r="F435" s="15" t="s">
        <v>1064</v>
      </c>
      <c r="G435" s="16" t="s">
        <v>320</v>
      </c>
      <c r="H435" s="15" t="s">
        <v>321</v>
      </c>
      <c r="I435" s="15" t="s">
        <v>280</v>
      </c>
      <c r="J435" s="136" t="s">
        <v>26</v>
      </c>
      <c r="K435" s="70">
        <v>14.5</v>
      </c>
      <c r="L435" s="139">
        <f>VLOOKUP(E435,'[1]MASTER WORKFILE MY26.2'!$H:$AC,22,0)</f>
        <v>8.1999999999999993</v>
      </c>
      <c r="M435" s="116">
        <f>VLOOKUP(E435,'Essential accessories '!E:M,9,0)</f>
        <v>0</v>
      </c>
      <c r="N435" s="71">
        <f t="shared" si="6"/>
        <v>0</v>
      </c>
      <c r="O435" s="61"/>
      <c r="P435" s="61"/>
      <c r="Q435" s="61" t="s">
        <v>1750</v>
      </c>
    </row>
    <row r="436" spans="1:17" ht="14.4" x14ac:dyDescent="0.3">
      <c r="A436" s="124">
        <v>423</v>
      </c>
      <c r="B436" s="15" t="s">
        <v>1062</v>
      </c>
      <c r="C436" s="15" t="s">
        <v>776</v>
      </c>
      <c r="D436" s="16" t="s">
        <v>1779</v>
      </c>
      <c r="E436" s="16" t="s">
        <v>1780</v>
      </c>
      <c r="F436" s="15" t="s">
        <v>1063</v>
      </c>
      <c r="G436" s="16" t="s">
        <v>320</v>
      </c>
      <c r="H436" s="15" t="s">
        <v>321</v>
      </c>
      <c r="I436" s="15" t="s">
        <v>280</v>
      </c>
      <c r="J436" s="136" t="s">
        <v>26</v>
      </c>
      <c r="K436" s="70">
        <v>12.5</v>
      </c>
      <c r="L436" s="139">
        <f>VLOOKUP(E436,'[1]MASTER WORKFILE MY26.2'!$H:$AC,22,0)</f>
        <v>7.1</v>
      </c>
      <c r="M436" s="116">
        <f>VLOOKUP(E436,'Essential accessories '!E:M,9,0)</f>
        <v>0</v>
      </c>
      <c r="N436" s="71">
        <f t="shared" si="6"/>
        <v>0</v>
      </c>
      <c r="O436" s="61"/>
      <c r="P436" s="61"/>
      <c r="Q436" s="61" t="s">
        <v>1750</v>
      </c>
    </row>
    <row r="437" spans="1:17" ht="14.4" x14ac:dyDescent="0.3">
      <c r="A437" s="124">
        <v>424</v>
      </c>
      <c r="B437" s="15" t="s">
        <v>1062</v>
      </c>
      <c r="C437" s="15" t="s">
        <v>776</v>
      </c>
      <c r="D437" s="16" t="s">
        <v>1077</v>
      </c>
      <c r="E437" s="16" t="s">
        <v>1781</v>
      </c>
      <c r="F437" s="15" t="s">
        <v>1078</v>
      </c>
      <c r="G437" s="16" t="s">
        <v>320</v>
      </c>
      <c r="H437" s="15" t="s">
        <v>321</v>
      </c>
      <c r="I437" s="15" t="s">
        <v>280</v>
      </c>
      <c r="J437" s="136" t="s">
        <v>26</v>
      </c>
      <c r="K437" s="70">
        <v>12.5</v>
      </c>
      <c r="L437" s="139">
        <f>VLOOKUP(E437,'[1]MASTER WORKFILE MY26.2'!$H:$AC,22,0)</f>
        <v>7.1</v>
      </c>
      <c r="M437" s="116">
        <f>VLOOKUP(E437,'Essential accessories '!E:M,9,0)</f>
        <v>0</v>
      </c>
      <c r="N437" s="71">
        <f t="shared" si="6"/>
        <v>0</v>
      </c>
      <c r="O437" s="61"/>
      <c r="P437" s="61"/>
      <c r="Q437" s="61" t="s">
        <v>1750</v>
      </c>
    </row>
    <row r="438" spans="1:17" ht="14.4" x14ac:dyDescent="0.3">
      <c r="A438" s="124">
        <v>425</v>
      </c>
      <c r="B438" s="59" t="s">
        <v>1062</v>
      </c>
      <c r="C438" s="59" t="s">
        <v>776</v>
      </c>
      <c r="D438" s="115" t="s">
        <v>1069</v>
      </c>
      <c r="E438" s="59" t="s">
        <v>1070</v>
      </c>
      <c r="F438" s="115" t="s">
        <v>1071</v>
      </c>
      <c r="G438" s="59" t="s">
        <v>133</v>
      </c>
      <c r="H438" s="59" t="s">
        <v>134</v>
      </c>
      <c r="I438" s="115" t="s">
        <v>280</v>
      </c>
      <c r="J438" s="125" t="s">
        <v>26</v>
      </c>
      <c r="K438" s="70">
        <v>30</v>
      </c>
      <c r="L438" s="139">
        <f>VLOOKUP(E438,'[1]MASTER WORKFILE MY26.2'!$H:$AC,22,0)</f>
        <v>17</v>
      </c>
      <c r="M438" s="116">
        <f>VLOOKUP(E438,'Essential accessories '!E:M,9,0)</f>
        <v>0</v>
      </c>
      <c r="N438" s="71">
        <f t="shared" si="6"/>
        <v>0</v>
      </c>
      <c r="O438" s="61"/>
      <c r="P438" s="61"/>
      <c r="Q438" s="61" t="s">
        <v>1750</v>
      </c>
    </row>
    <row r="439" spans="1:17" ht="14.4" x14ac:dyDescent="0.3">
      <c r="A439" s="124">
        <v>426</v>
      </c>
      <c r="B439" s="59" t="s">
        <v>1062</v>
      </c>
      <c r="C439" s="59" t="s">
        <v>776</v>
      </c>
      <c r="D439" s="115" t="s">
        <v>1074</v>
      </c>
      <c r="E439" s="59" t="s">
        <v>1075</v>
      </c>
      <c r="F439" s="115" t="s">
        <v>1076</v>
      </c>
      <c r="G439" s="59" t="s">
        <v>133</v>
      </c>
      <c r="H439" s="59" t="s">
        <v>134</v>
      </c>
      <c r="I439" s="115" t="s">
        <v>280</v>
      </c>
      <c r="J439" s="125" t="s">
        <v>26</v>
      </c>
      <c r="K439" s="70">
        <v>15.5</v>
      </c>
      <c r="L439" s="139">
        <f>VLOOKUP(E439,'[1]MASTER WORKFILE MY26.2'!$H:$AC,22,0)</f>
        <v>8.7999999999999989</v>
      </c>
      <c r="M439" s="116">
        <f>VLOOKUP(E439,'Essential accessories '!E:M,9,0)</f>
        <v>0</v>
      </c>
      <c r="N439" s="71">
        <f t="shared" si="6"/>
        <v>0</v>
      </c>
      <c r="O439" s="61"/>
      <c r="P439" s="61"/>
      <c r="Q439" s="61" t="s">
        <v>1750</v>
      </c>
    </row>
    <row r="440" spans="1:17" ht="14.4" x14ac:dyDescent="0.3">
      <c r="A440" s="124">
        <v>427</v>
      </c>
      <c r="B440" s="59" t="s">
        <v>492</v>
      </c>
      <c r="C440" s="59" t="s">
        <v>1079</v>
      </c>
      <c r="D440" s="115" t="s">
        <v>1080</v>
      </c>
      <c r="E440" s="59" t="s">
        <v>1081</v>
      </c>
      <c r="F440" s="115" t="s">
        <v>1082</v>
      </c>
      <c r="G440" s="59" t="s">
        <v>161</v>
      </c>
      <c r="H440" s="59" t="s">
        <v>162</v>
      </c>
      <c r="I440" s="115" t="s">
        <v>36</v>
      </c>
      <c r="J440" s="125" t="s">
        <v>26</v>
      </c>
      <c r="K440" s="70">
        <v>145</v>
      </c>
      <c r="L440" s="139">
        <f>VLOOKUP(E440,'[1]MASTER WORKFILE MY26.2'!$H:$AC,22,0)</f>
        <v>81.899999999999991</v>
      </c>
      <c r="M440" s="116">
        <f>VLOOKUP(E440,'Bridles &amp; Bladders '!E:M,9,0)</f>
        <v>0</v>
      </c>
      <c r="N440" s="71">
        <f t="shared" si="6"/>
        <v>0</v>
      </c>
      <c r="O440" s="61" t="s">
        <v>1624</v>
      </c>
      <c r="P440" s="61" t="s">
        <v>1624</v>
      </c>
      <c r="Q440" s="61" t="s">
        <v>1625</v>
      </c>
    </row>
    <row r="441" spans="1:17" ht="14.4" x14ac:dyDescent="0.3">
      <c r="A441" s="124">
        <v>428</v>
      </c>
      <c r="B441" s="59" t="s">
        <v>492</v>
      </c>
      <c r="C441" s="59" t="s">
        <v>1079</v>
      </c>
      <c r="D441" s="115" t="s">
        <v>1080</v>
      </c>
      <c r="E441" s="59" t="s">
        <v>1083</v>
      </c>
      <c r="F441" s="115" t="s">
        <v>1082</v>
      </c>
      <c r="G441" s="59" t="s">
        <v>161</v>
      </c>
      <c r="H441" s="59" t="s">
        <v>162</v>
      </c>
      <c r="I441" s="115" t="s">
        <v>40</v>
      </c>
      <c r="J441" s="125" t="s">
        <v>26</v>
      </c>
      <c r="K441" s="70">
        <v>155</v>
      </c>
      <c r="L441" s="139">
        <f>VLOOKUP(E441,'[1]MASTER WORKFILE MY26.2'!$H:$AC,22,0)</f>
        <v>87.6</v>
      </c>
      <c r="M441" s="116">
        <f>VLOOKUP(E441,'Bridles &amp; Bladders '!E:M,9,0)</f>
        <v>0</v>
      </c>
      <c r="N441" s="71">
        <f t="shared" si="6"/>
        <v>0</v>
      </c>
      <c r="O441" s="61" t="s">
        <v>1624</v>
      </c>
      <c r="P441" s="61" t="s">
        <v>1624</v>
      </c>
      <c r="Q441" s="61" t="s">
        <v>1625</v>
      </c>
    </row>
    <row r="442" spans="1:17" ht="14.4" x14ac:dyDescent="0.3">
      <c r="A442" s="124">
        <v>429</v>
      </c>
      <c r="B442" s="59" t="s">
        <v>492</v>
      </c>
      <c r="C442" s="59" t="s">
        <v>1079</v>
      </c>
      <c r="D442" s="115" t="s">
        <v>1080</v>
      </c>
      <c r="E442" s="59" t="s">
        <v>1084</v>
      </c>
      <c r="F442" s="115" t="s">
        <v>1082</v>
      </c>
      <c r="G442" s="59" t="s">
        <v>161</v>
      </c>
      <c r="H442" s="59" t="s">
        <v>162</v>
      </c>
      <c r="I442" s="115" t="s">
        <v>52</v>
      </c>
      <c r="J442" s="125" t="s">
        <v>26</v>
      </c>
      <c r="K442" s="70">
        <v>165</v>
      </c>
      <c r="L442" s="139">
        <f>VLOOKUP(E442,'[1]MASTER WORKFILE MY26.2'!$H:$AC,22,0)</f>
        <v>93.199999999999989</v>
      </c>
      <c r="M442" s="116">
        <f>VLOOKUP(E442,'Bridles &amp; Bladders '!E:M,9,0)</f>
        <v>0</v>
      </c>
      <c r="N442" s="71">
        <f t="shared" si="6"/>
        <v>0</v>
      </c>
      <c r="O442" s="61" t="s">
        <v>1624</v>
      </c>
      <c r="P442" s="61" t="s">
        <v>1624</v>
      </c>
      <c r="Q442" s="61" t="s">
        <v>1625</v>
      </c>
    </row>
    <row r="443" spans="1:17" ht="14.4" x14ac:dyDescent="0.3">
      <c r="A443" s="124">
        <v>430</v>
      </c>
      <c r="B443" s="59" t="s">
        <v>492</v>
      </c>
      <c r="C443" s="59" t="s">
        <v>1079</v>
      </c>
      <c r="D443" s="115" t="s">
        <v>1080</v>
      </c>
      <c r="E443" s="59" t="s">
        <v>1085</v>
      </c>
      <c r="F443" s="115" t="s">
        <v>1082</v>
      </c>
      <c r="G443" s="59" t="s">
        <v>161</v>
      </c>
      <c r="H443" s="59" t="s">
        <v>162</v>
      </c>
      <c r="I443" s="115" t="s">
        <v>54</v>
      </c>
      <c r="J443" s="125" t="s">
        <v>26</v>
      </c>
      <c r="K443" s="70">
        <v>175</v>
      </c>
      <c r="L443" s="139">
        <f>VLOOKUP(E443,'[1]MASTER WORKFILE MY26.2'!$H:$AC,22,0)</f>
        <v>98.899999999999991</v>
      </c>
      <c r="M443" s="116">
        <f>VLOOKUP(E443,'Bridles &amp; Bladders '!E:M,9,0)</f>
        <v>0</v>
      </c>
      <c r="N443" s="71">
        <f t="shared" si="6"/>
        <v>0</v>
      </c>
      <c r="O443" s="61" t="s">
        <v>1624</v>
      </c>
      <c r="P443" s="61" t="s">
        <v>1624</v>
      </c>
      <c r="Q443" s="61" t="s">
        <v>1625</v>
      </c>
    </row>
    <row r="444" spans="1:17" ht="14.4" x14ac:dyDescent="0.3">
      <c r="A444" s="124">
        <v>431</v>
      </c>
      <c r="B444" s="59" t="s">
        <v>492</v>
      </c>
      <c r="C444" s="59" t="s">
        <v>1079</v>
      </c>
      <c r="D444" s="115" t="s">
        <v>1086</v>
      </c>
      <c r="E444" s="59" t="s">
        <v>1087</v>
      </c>
      <c r="F444" s="115" t="s">
        <v>1088</v>
      </c>
      <c r="G444" s="59" t="s">
        <v>161</v>
      </c>
      <c r="H444" s="59" t="s">
        <v>162</v>
      </c>
      <c r="I444" s="115" t="s">
        <v>1089</v>
      </c>
      <c r="J444" s="125" t="s">
        <v>26</v>
      </c>
      <c r="K444" s="70">
        <v>154.5</v>
      </c>
      <c r="L444" s="139">
        <f>VLOOKUP(E444,'[1]MASTER WORKFILE MY26.2'!$H:$AC,22,0)</f>
        <v>87.3</v>
      </c>
      <c r="M444" s="116">
        <f>VLOOKUP(E444,'Bridles &amp; Bladders '!E:M,9,0)</f>
        <v>0</v>
      </c>
      <c r="N444" s="71">
        <f t="shared" si="6"/>
        <v>0</v>
      </c>
      <c r="O444" s="61" t="s">
        <v>1624</v>
      </c>
      <c r="P444" s="61" t="s">
        <v>1624</v>
      </c>
      <c r="Q444" s="61" t="s">
        <v>1625</v>
      </c>
    </row>
    <row r="445" spans="1:17" ht="14.4" x14ac:dyDescent="0.3">
      <c r="A445" s="124">
        <v>432</v>
      </c>
      <c r="B445" s="59" t="s">
        <v>492</v>
      </c>
      <c r="C445" s="59" t="s">
        <v>1079</v>
      </c>
      <c r="D445" s="115" t="s">
        <v>1086</v>
      </c>
      <c r="E445" s="59" t="s">
        <v>1090</v>
      </c>
      <c r="F445" s="115" t="s">
        <v>1088</v>
      </c>
      <c r="G445" s="59" t="s">
        <v>161</v>
      </c>
      <c r="H445" s="59" t="s">
        <v>162</v>
      </c>
      <c r="I445" s="115" t="s">
        <v>1091</v>
      </c>
      <c r="J445" s="125" t="s">
        <v>26</v>
      </c>
      <c r="K445" s="70">
        <v>158.5</v>
      </c>
      <c r="L445" s="139">
        <f>VLOOKUP(E445,'[1]MASTER WORKFILE MY26.2'!$H:$AC,22,0)</f>
        <v>89.5</v>
      </c>
      <c r="M445" s="116">
        <f>VLOOKUP(E445,'Bridles &amp; Bladders '!E:M,9,0)</f>
        <v>0</v>
      </c>
      <c r="N445" s="71">
        <f t="shared" si="6"/>
        <v>0</v>
      </c>
      <c r="O445" s="61" t="s">
        <v>1624</v>
      </c>
      <c r="P445" s="61" t="s">
        <v>1624</v>
      </c>
      <c r="Q445" s="61" t="s">
        <v>1625</v>
      </c>
    </row>
    <row r="446" spans="1:17" ht="14.4" x14ac:dyDescent="0.3">
      <c r="A446" s="124">
        <v>433</v>
      </c>
      <c r="B446" s="59" t="s">
        <v>492</v>
      </c>
      <c r="C446" s="59" t="s">
        <v>1079</v>
      </c>
      <c r="D446" s="115" t="s">
        <v>1086</v>
      </c>
      <c r="E446" s="59" t="s">
        <v>1092</v>
      </c>
      <c r="F446" s="115" t="s">
        <v>1088</v>
      </c>
      <c r="G446" s="59" t="s">
        <v>161</v>
      </c>
      <c r="H446" s="59" t="s">
        <v>162</v>
      </c>
      <c r="I446" s="115" t="s">
        <v>1093</v>
      </c>
      <c r="J446" s="125" t="s">
        <v>26</v>
      </c>
      <c r="K446" s="70">
        <v>165.5</v>
      </c>
      <c r="L446" s="139">
        <f>VLOOKUP(E446,'[1]MASTER WORKFILE MY26.2'!$H:$AC,22,0)</f>
        <v>93.5</v>
      </c>
      <c r="M446" s="116">
        <f>VLOOKUP(E446,'Bridles &amp; Bladders '!E:M,9,0)</f>
        <v>0</v>
      </c>
      <c r="N446" s="71">
        <f t="shared" si="6"/>
        <v>0</v>
      </c>
      <c r="O446" s="61" t="s">
        <v>1624</v>
      </c>
      <c r="P446" s="61" t="s">
        <v>1624</v>
      </c>
      <c r="Q446" s="61" t="s">
        <v>1625</v>
      </c>
    </row>
    <row r="447" spans="1:17" ht="14.4" x14ac:dyDescent="0.3">
      <c r="A447" s="124">
        <v>434</v>
      </c>
      <c r="B447" s="59" t="s">
        <v>492</v>
      </c>
      <c r="C447" s="59" t="s">
        <v>1079</v>
      </c>
      <c r="D447" s="115" t="s">
        <v>1086</v>
      </c>
      <c r="E447" s="59" t="s">
        <v>1094</v>
      </c>
      <c r="F447" s="115" t="s">
        <v>1088</v>
      </c>
      <c r="G447" s="59" t="s">
        <v>161</v>
      </c>
      <c r="H447" s="59" t="s">
        <v>162</v>
      </c>
      <c r="I447" s="115" t="s">
        <v>44</v>
      </c>
      <c r="J447" s="125" t="s">
        <v>26</v>
      </c>
      <c r="K447" s="70">
        <v>172.5</v>
      </c>
      <c r="L447" s="139">
        <f>VLOOKUP(E447,'[1]MASTER WORKFILE MY26.2'!$H:$AC,22,0)</f>
        <v>97.5</v>
      </c>
      <c r="M447" s="116">
        <f>VLOOKUP(E447,'Bridles &amp; Bladders '!E:M,9,0)</f>
        <v>0</v>
      </c>
      <c r="N447" s="71">
        <f t="shared" si="6"/>
        <v>0</v>
      </c>
      <c r="O447" s="61" t="s">
        <v>1624</v>
      </c>
      <c r="P447" s="61" t="s">
        <v>1624</v>
      </c>
      <c r="Q447" s="61" t="s">
        <v>1625</v>
      </c>
    </row>
    <row r="448" spans="1:17" ht="14.4" x14ac:dyDescent="0.3">
      <c r="A448" s="124">
        <v>435</v>
      </c>
      <c r="B448" s="59" t="s">
        <v>492</v>
      </c>
      <c r="C448" s="59" t="s">
        <v>1079</v>
      </c>
      <c r="D448" s="115" t="s">
        <v>1095</v>
      </c>
      <c r="E448" s="59" t="s">
        <v>1096</v>
      </c>
      <c r="F448" s="115" t="s">
        <v>1097</v>
      </c>
      <c r="G448" s="59" t="s">
        <v>1098</v>
      </c>
      <c r="H448" s="59" t="s">
        <v>1099</v>
      </c>
      <c r="I448" s="115" t="s">
        <v>804</v>
      </c>
      <c r="J448" s="125" t="s">
        <v>26</v>
      </c>
      <c r="K448" s="70">
        <v>174.5</v>
      </c>
      <c r="L448" s="139">
        <f>VLOOKUP(E448,'[1]MASTER WORKFILE MY26.2'!$H:$AC,22,0)</f>
        <v>98.6</v>
      </c>
      <c r="M448" s="116">
        <f>VLOOKUP(E448,'Bridles &amp; Bladders '!E:M,9,0)</f>
        <v>0</v>
      </c>
      <c r="N448" s="71">
        <f t="shared" si="6"/>
        <v>0</v>
      </c>
      <c r="O448" s="61"/>
      <c r="P448" s="61"/>
      <c r="Q448" s="61" t="s">
        <v>1750</v>
      </c>
    </row>
    <row r="449" spans="1:17" ht="14.4" x14ac:dyDescent="0.3">
      <c r="A449" s="124">
        <v>436</v>
      </c>
      <c r="B449" s="59" t="s">
        <v>492</v>
      </c>
      <c r="C449" s="59" t="s">
        <v>1079</v>
      </c>
      <c r="D449" s="115" t="s">
        <v>1100</v>
      </c>
      <c r="E449" s="59" t="s">
        <v>1101</v>
      </c>
      <c r="F449" s="115" t="s">
        <v>1102</v>
      </c>
      <c r="G449" s="59" t="s">
        <v>161</v>
      </c>
      <c r="H449" s="59" t="s">
        <v>162</v>
      </c>
      <c r="I449" s="115" t="s">
        <v>34</v>
      </c>
      <c r="J449" s="125" t="s">
        <v>26</v>
      </c>
      <c r="K449" s="70">
        <v>73</v>
      </c>
      <c r="L449" s="139">
        <f>VLOOKUP(E449,'[1]MASTER WORKFILE MY26.2'!$H:$AC,22,0)</f>
        <v>41.300000000000004</v>
      </c>
      <c r="M449" s="116">
        <f>VLOOKUP(E449,'Bridles &amp; Bladders '!E:M,9,0)</f>
        <v>0</v>
      </c>
      <c r="N449" s="71">
        <f t="shared" si="6"/>
        <v>0</v>
      </c>
      <c r="O449" s="61" t="s">
        <v>1751</v>
      </c>
      <c r="P449" s="61" t="s">
        <v>1751</v>
      </c>
      <c r="Q449" s="61" t="s">
        <v>1625</v>
      </c>
    </row>
    <row r="450" spans="1:17" ht="14.4" x14ac:dyDescent="0.3">
      <c r="A450" s="124">
        <v>437</v>
      </c>
      <c r="B450" s="59" t="s">
        <v>492</v>
      </c>
      <c r="C450" s="59" t="s">
        <v>1079</v>
      </c>
      <c r="D450" s="115" t="s">
        <v>1100</v>
      </c>
      <c r="E450" s="59" t="s">
        <v>1103</v>
      </c>
      <c r="F450" s="115" t="s">
        <v>1102</v>
      </c>
      <c r="G450" s="59" t="s">
        <v>161</v>
      </c>
      <c r="H450" s="59" t="s">
        <v>162</v>
      </c>
      <c r="I450" s="115" t="s">
        <v>36</v>
      </c>
      <c r="J450" s="125" t="s">
        <v>26</v>
      </c>
      <c r="K450" s="70">
        <v>75</v>
      </c>
      <c r="L450" s="139">
        <f>VLOOKUP(E450,'[1]MASTER WORKFILE MY26.2'!$H:$AC,22,0)</f>
        <v>42.4</v>
      </c>
      <c r="M450" s="116">
        <f>VLOOKUP(E450,'Bridles &amp; Bladders '!E:M,9,0)</f>
        <v>0</v>
      </c>
      <c r="N450" s="71">
        <f t="shared" si="6"/>
        <v>0</v>
      </c>
      <c r="O450" s="61" t="s">
        <v>1751</v>
      </c>
      <c r="P450" s="61" t="s">
        <v>1751</v>
      </c>
      <c r="Q450" s="61" t="s">
        <v>1625</v>
      </c>
    </row>
    <row r="451" spans="1:17" ht="14.4" x14ac:dyDescent="0.3">
      <c r="A451" s="124">
        <v>438</v>
      </c>
      <c r="B451" s="59" t="s">
        <v>492</v>
      </c>
      <c r="C451" s="59" t="s">
        <v>1079</v>
      </c>
      <c r="D451" s="115" t="s">
        <v>1100</v>
      </c>
      <c r="E451" s="59" t="s">
        <v>1104</v>
      </c>
      <c r="F451" s="115" t="s">
        <v>1102</v>
      </c>
      <c r="G451" s="59" t="s">
        <v>161</v>
      </c>
      <c r="H451" s="59" t="s">
        <v>162</v>
      </c>
      <c r="I451" s="115" t="s">
        <v>38</v>
      </c>
      <c r="J451" s="125" t="s">
        <v>26</v>
      </c>
      <c r="K451" s="70">
        <v>78</v>
      </c>
      <c r="L451" s="139">
        <f>VLOOKUP(E451,'[1]MASTER WORKFILE MY26.2'!$H:$AC,22,0)</f>
        <v>44.1</v>
      </c>
      <c r="M451" s="116">
        <f>VLOOKUP(E451,'Bridles &amp; Bladders '!E:M,9,0)</f>
        <v>0</v>
      </c>
      <c r="N451" s="71">
        <f t="shared" si="6"/>
        <v>0</v>
      </c>
      <c r="O451" s="61" t="s">
        <v>1751</v>
      </c>
      <c r="P451" s="61" t="s">
        <v>1751</v>
      </c>
      <c r="Q451" s="61" t="s">
        <v>1625</v>
      </c>
    </row>
    <row r="452" spans="1:17" ht="14.4" x14ac:dyDescent="0.3">
      <c r="A452" s="124">
        <v>439</v>
      </c>
      <c r="B452" s="59" t="s">
        <v>492</v>
      </c>
      <c r="C452" s="59" t="s">
        <v>1079</v>
      </c>
      <c r="D452" s="115" t="s">
        <v>1100</v>
      </c>
      <c r="E452" s="59" t="s">
        <v>1105</v>
      </c>
      <c r="F452" s="115" t="s">
        <v>1102</v>
      </c>
      <c r="G452" s="59" t="s">
        <v>161</v>
      </c>
      <c r="H452" s="59" t="s">
        <v>162</v>
      </c>
      <c r="I452" s="115" t="s">
        <v>40</v>
      </c>
      <c r="J452" s="125" t="s">
        <v>26</v>
      </c>
      <c r="K452" s="70">
        <v>81</v>
      </c>
      <c r="L452" s="139">
        <f>VLOOKUP(E452,'[1]MASTER WORKFILE MY26.2'!$H:$AC,22,0)</f>
        <v>45.800000000000004</v>
      </c>
      <c r="M452" s="116">
        <f>VLOOKUP(E452,'Bridles &amp; Bladders '!E:M,9,0)</f>
        <v>0</v>
      </c>
      <c r="N452" s="71">
        <f t="shared" si="6"/>
        <v>0</v>
      </c>
      <c r="O452" s="61" t="s">
        <v>1751</v>
      </c>
      <c r="P452" s="61" t="s">
        <v>1751</v>
      </c>
      <c r="Q452" s="61" t="s">
        <v>1625</v>
      </c>
    </row>
    <row r="453" spans="1:17" ht="14.4" x14ac:dyDescent="0.3">
      <c r="A453" s="124">
        <v>440</v>
      </c>
      <c r="B453" s="59" t="s">
        <v>492</v>
      </c>
      <c r="C453" s="59" t="s">
        <v>1079</v>
      </c>
      <c r="D453" s="115" t="s">
        <v>1100</v>
      </c>
      <c r="E453" s="59" t="s">
        <v>1106</v>
      </c>
      <c r="F453" s="115" t="s">
        <v>1102</v>
      </c>
      <c r="G453" s="59" t="s">
        <v>161</v>
      </c>
      <c r="H453" s="59" t="s">
        <v>162</v>
      </c>
      <c r="I453" s="115" t="s">
        <v>42</v>
      </c>
      <c r="J453" s="125" t="s">
        <v>26</v>
      </c>
      <c r="K453" s="70">
        <v>84</v>
      </c>
      <c r="L453" s="139">
        <f>VLOOKUP(E453,'[1]MASTER WORKFILE MY26.2'!$H:$AC,22,0)</f>
        <v>47.5</v>
      </c>
      <c r="M453" s="116">
        <f>VLOOKUP(E453,'Bridles &amp; Bladders '!E:M,9,0)</f>
        <v>0</v>
      </c>
      <c r="N453" s="71">
        <f t="shared" si="6"/>
        <v>0</v>
      </c>
      <c r="O453" s="61" t="s">
        <v>1751</v>
      </c>
      <c r="P453" s="61" t="s">
        <v>1751</v>
      </c>
      <c r="Q453" s="61" t="s">
        <v>1625</v>
      </c>
    </row>
    <row r="454" spans="1:17" ht="14.4" x14ac:dyDescent="0.3">
      <c r="A454" s="124">
        <v>441</v>
      </c>
      <c r="B454" s="59" t="s">
        <v>492</v>
      </c>
      <c r="C454" s="59" t="s">
        <v>1079</v>
      </c>
      <c r="D454" s="115" t="s">
        <v>1100</v>
      </c>
      <c r="E454" s="59" t="s">
        <v>1107</v>
      </c>
      <c r="F454" s="115" t="s">
        <v>1102</v>
      </c>
      <c r="G454" s="59" t="s">
        <v>161</v>
      </c>
      <c r="H454" s="59" t="s">
        <v>162</v>
      </c>
      <c r="I454" s="115" t="s">
        <v>52</v>
      </c>
      <c r="J454" s="125" t="s">
        <v>26</v>
      </c>
      <c r="K454" s="70">
        <v>87</v>
      </c>
      <c r="L454" s="139">
        <f>VLOOKUP(E454,'[1]MASTER WORKFILE MY26.2'!$H:$AC,22,0)</f>
        <v>49.2</v>
      </c>
      <c r="M454" s="116">
        <f>VLOOKUP(E454,'Bridles &amp; Bladders '!E:M,9,0)</f>
        <v>0</v>
      </c>
      <c r="N454" s="71">
        <f t="shared" si="6"/>
        <v>0</v>
      </c>
      <c r="O454" s="61" t="s">
        <v>1751</v>
      </c>
      <c r="P454" s="61" t="s">
        <v>1751</v>
      </c>
      <c r="Q454" s="61" t="s">
        <v>1625</v>
      </c>
    </row>
    <row r="455" spans="1:17" ht="14.4" x14ac:dyDescent="0.3">
      <c r="A455" s="124">
        <v>442</v>
      </c>
      <c r="B455" s="59" t="s">
        <v>492</v>
      </c>
      <c r="C455" s="59" t="s">
        <v>1079</v>
      </c>
      <c r="D455" s="115" t="s">
        <v>1100</v>
      </c>
      <c r="E455" s="59" t="s">
        <v>1108</v>
      </c>
      <c r="F455" s="115" t="s">
        <v>1102</v>
      </c>
      <c r="G455" s="59" t="s">
        <v>161</v>
      </c>
      <c r="H455" s="59" t="s">
        <v>162</v>
      </c>
      <c r="I455" s="115" t="s">
        <v>44</v>
      </c>
      <c r="J455" s="125" t="s">
        <v>26</v>
      </c>
      <c r="K455" s="70">
        <v>90</v>
      </c>
      <c r="L455" s="139">
        <f>VLOOKUP(E455,'[1]MASTER WORKFILE MY26.2'!$H:$AC,22,0)</f>
        <v>50.9</v>
      </c>
      <c r="M455" s="116">
        <f>VLOOKUP(E455,'Bridles &amp; Bladders '!E:M,9,0)</f>
        <v>0</v>
      </c>
      <c r="N455" s="71">
        <f t="shared" si="6"/>
        <v>0</v>
      </c>
      <c r="O455" s="61" t="s">
        <v>1751</v>
      </c>
      <c r="P455" s="61" t="s">
        <v>1751</v>
      </c>
      <c r="Q455" s="61" t="s">
        <v>1625</v>
      </c>
    </row>
    <row r="456" spans="1:17" ht="14.4" x14ac:dyDescent="0.3">
      <c r="A456" s="124">
        <v>443</v>
      </c>
      <c r="B456" s="59" t="s">
        <v>492</v>
      </c>
      <c r="C456" s="59" t="s">
        <v>1079</v>
      </c>
      <c r="D456" s="115" t="s">
        <v>1100</v>
      </c>
      <c r="E456" s="59" t="s">
        <v>1109</v>
      </c>
      <c r="F456" s="115" t="s">
        <v>1102</v>
      </c>
      <c r="G456" s="59" t="s">
        <v>161</v>
      </c>
      <c r="H456" s="59" t="s">
        <v>162</v>
      </c>
      <c r="I456" s="115" t="s">
        <v>71</v>
      </c>
      <c r="J456" s="125" t="s">
        <v>26</v>
      </c>
      <c r="K456" s="70">
        <v>93</v>
      </c>
      <c r="L456" s="139">
        <f>VLOOKUP(E456,'[1]MASTER WORKFILE MY26.2'!$H:$AC,22,0)</f>
        <v>52.6</v>
      </c>
      <c r="M456" s="116">
        <f>VLOOKUP(E456,'Bridles &amp; Bladders '!E:M,9,0)</f>
        <v>0</v>
      </c>
      <c r="N456" s="71">
        <f t="shared" si="6"/>
        <v>0</v>
      </c>
      <c r="O456" s="61" t="s">
        <v>1751</v>
      </c>
      <c r="P456" s="61" t="s">
        <v>1751</v>
      </c>
      <c r="Q456" s="61" t="s">
        <v>1625</v>
      </c>
    </row>
    <row r="457" spans="1:17" ht="14.4" x14ac:dyDescent="0.3">
      <c r="A457" s="124">
        <v>444</v>
      </c>
      <c r="B457" s="59" t="s">
        <v>492</v>
      </c>
      <c r="C457" s="59" t="s">
        <v>1079</v>
      </c>
      <c r="D457" s="115" t="s">
        <v>1110</v>
      </c>
      <c r="E457" s="59" t="s">
        <v>1111</v>
      </c>
      <c r="F457" s="115" t="s">
        <v>1112</v>
      </c>
      <c r="G457" s="59" t="s">
        <v>161</v>
      </c>
      <c r="H457" s="59" t="s">
        <v>162</v>
      </c>
      <c r="I457" s="115" t="s">
        <v>32</v>
      </c>
      <c r="J457" s="125" t="s">
        <v>101</v>
      </c>
      <c r="K457" s="70">
        <v>61.5</v>
      </c>
      <c r="L457" s="139">
        <f>VLOOKUP(E457,'[1]MASTER WORKFILE MY26.2'!$H:$AC,22,0)</f>
        <v>34.800000000000004</v>
      </c>
      <c r="M457" s="116">
        <f>VLOOKUP(E457,'Bridles &amp; Bladders '!E:M,9,0)</f>
        <v>0</v>
      </c>
      <c r="N457" s="71">
        <f t="shared" si="6"/>
        <v>0</v>
      </c>
      <c r="O457" s="61" t="s">
        <v>1624</v>
      </c>
      <c r="P457" s="61" t="s">
        <v>1624</v>
      </c>
      <c r="Q457" s="61" t="s">
        <v>1625</v>
      </c>
    </row>
    <row r="458" spans="1:17" ht="14.4" x14ac:dyDescent="0.3">
      <c r="A458" s="124">
        <v>445</v>
      </c>
      <c r="B458" s="59" t="s">
        <v>492</v>
      </c>
      <c r="C458" s="59" t="s">
        <v>1079</v>
      </c>
      <c r="D458" s="115" t="s">
        <v>1110</v>
      </c>
      <c r="E458" s="59" t="s">
        <v>1113</v>
      </c>
      <c r="F458" s="115" t="s">
        <v>1112</v>
      </c>
      <c r="G458" s="59" t="s">
        <v>161</v>
      </c>
      <c r="H458" s="59" t="s">
        <v>162</v>
      </c>
      <c r="I458" s="115" t="s">
        <v>34</v>
      </c>
      <c r="J458" s="125" t="s">
        <v>101</v>
      </c>
      <c r="K458" s="70">
        <v>63.5</v>
      </c>
      <c r="L458" s="139">
        <f>VLOOKUP(E458,'[1]MASTER WORKFILE MY26.2'!$H:$AC,22,0)</f>
        <v>35.9</v>
      </c>
      <c r="M458" s="116">
        <f>VLOOKUP(E458,'Bridles &amp; Bladders '!E:M,9,0)</f>
        <v>0</v>
      </c>
      <c r="N458" s="71">
        <f t="shared" si="6"/>
        <v>0</v>
      </c>
      <c r="O458" s="61" t="s">
        <v>1624</v>
      </c>
      <c r="P458" s="61" t="s">
        <v>1624</v>
      </c>
      <c r="Q458" s="61" t="s">
        <v>1625</v>
      </c>
    </row>
    <row r="459" spans="1:17" ht="14.4" x14ac:dyDescent="0.3">
      <c r="A459" s="124">
        <v>446</v>
      </c>
      <c r="B459" s="59" t="s">
        <v>492</v>
      </c>
      <c r="C459" s="59" t="s">
        <v>1079</v>
      </c>
      <c r="D459" s="115" t="s">
        <v>1110</v>
      </c>
      <c r="E459" s="59" t="s">
        <v>1114</v>
      </c>
      <c r="F459" s="115" t="s">
        <v>1112</v>
      </c>
      <c r="G459" s="59" t="s">
        <v>161</v>
      </c>
      <c r="H459" s="59" t="s">
        <v>162</v>
      </c>
      <c r="I459" s="115" t="s">
        <v>36</v>
      </c>
      <c r="J459" s="125" t="s">
        <v>101</v>
      </c>
      <c r="K459" s="70">
        <v>65.5</v>
      </c>
      <c r="L459" s="139">
        <f>VLOOKUP(E459,'[1]MASTER WORKFILE MY26.2'!$H:$AC,22,0)</f>
        <v>37</v>
      </c>
      <c r="M459" s="116">
        <f>VLOOKUP(E459,'Bridles &amp; Bladders '!E:M,9,0)</f>
        <v>0</v>
      </c>
      <c r="N459" s="71">
        <f t="shared" si="6"/>
        <v>0</v>
      </c>
      <c r="O459" s="61" t="s">
        <v>1624</v>
      </c>
      <c r="P459" s="61" t="s">
        <v>1624</v>
      </c>
      <c r="Q459" s="61" t="s">
        <v>1625</v>
      </c>
    </row>
    <row r="460" spans="1:17" ht="14.4" x14ac:dyDescent="0.3">
      <c r="A460" s="124">
        <v>447</v>
      </c>
      <c r="B460" s="59" t="s">
        <v>492</v>
      </c>
      <c r="C460" s="59" t="s">
        <v>1079</v>
      </c>
      <c r="D460" s="115" t="s">
        <v>1110</v>
      </c>
      <c r="E460" s="59" t="s">
        <v>1115</v>
      </c>
      <c r="F460" s="115" t="s">
        <v>1112</v>
      </c>
      <c r="G460" s="59" t="s">
        <v>161</v>
      </c>
      <c r="H460" s="59" t="s">
        <v>162</v>
      </c>
      <c r="I460" s="115" t="s">
        <v>38</v>
      </c>
      <c r="J460" s="125" t="s">
        <v>101</v>
      </c>
      <c r="K460" s="70">
        <v>67.5</v>
      </c>
      <c r="L460" s="139">
        <f>VLOOKUP(E460,'[1]MASTER WORKFILE MY26.2'!$H:$AC,22,0)</f>
        <v>38.200000000000003</v>
      </c>
      <c r="M460" s="116">
        <f>VLOOKUP(E460,'Bridles &amp; Bladders '!E:M,9,0)</f>
        <v>0</v>
      </c>
      <c r="N460" s="71">
        <f t="shared" si="6"/>
        <v>0</v>
      </c>
      <c r="O460" s="61" t="s">
        <v>1624</v>
      </c>
      <c r="P460" s="61" t="s">
        <v>1624</v>
      </c>
      <c r="Q460" s="61" t="s">
        <v>1625</v>
      </c>
    </row>
    <row r="461" spans="1:17" ht="14.4" x14ac:dyDescent="0.3">
      <c r="A461" s="124">
        <v>448</v>
      </c>
      <c r="B461" s="59" t="s">
        <v>492</v>
      </c>
      <c r="C461" s="59" t="s">
        <v>1079</v>
      </c>
      <c r="D461" s="115" t="s">
        <v>1110</v>
      </c>
      <c r="E461" s="59" t="s">
        <v>1116</v>
      </c>
      <c r="F461" s="115" t="s">
        <v>1112</v>
      </c>
      <c r="G461" s="59" t="s">
        <v>161</v>
      </c>
      <c r="H461" s="59" t="s">
        <v>162</v>
      </c>
      <c r="I461" s="115" t="s">
        <v>40</v>
      </c>
      <c r="J461" s="125" t="s">
        <v>101</v>
      </c>
      <c r="K461" s="70">
        <v>69.5</v>
      </c>
      <c r="L461" s="139">
        <f>VLOOKUP(E461,'[1]MASTER WORKFILE MY26.2'!$H:$AC,22,0)</f>
        <v>39.300000000000004</v>
      </c>
      <c r="M461" s="116">
        <f>VLOOKUP(E461,'Bridles &amp; Bladders '!E:M,9,0)</f>
        <v>0</v>
      </c>
      <c r="N461" s="71">
        <f t="shared" ref="N461:N524" si="7">L461*M461</f>
        <v>0</v>
      </c>
      <c r="O461" s="61" t="s">
        <v>1624</v>
      </c>
      <c r="P461" s="61" t="s">
        <v>1624</v>
      </c>
      <c r="Q461" s="61" t="s">
        <v>1625</v>
      </c>
    </row>
    <row r="462" spans="1:17" ht="14.4" x14ac:dyDescent="0.3">
      <c r="A462" s="124">
        <v>449</v>
      </c>
      <c r="B462" s="59" t="s">
        <v>492</v>
      </c>
      <c r="C462" s="59" t="s">
        <v>1079</v>
      </c>
      <c r="D462" s="115" t="s">
        <v>1110</v>
      </c>
      <c r="E462" s="59" t="s">
        <v>1117</v>
      </c>
      <c r="F462" s="115" t="s">
        <v>1112</v>
      </c>
      <c r="G462" s="59" t="s">
        <v>161</v>
      </c>
      <c r="H462" s="59" t="s">
        <v>162</v>
      </c>
      <c r="I462" s="115" t="s">
        <v>42</v>
      </c>
      <c r="J462" s="125" t="s">
        <v>101</v>
      </c>
      <c r="K462" s="70">
        <v>71.5</v>
      </c>
      <c r="L462" s="139">
        <f>VLOOKUP(E462,'[1]MASTER WORKFILE MY26.2'!$H:$AC,22,0)</f>
        <v>40.4</v>
      </c>
      <c r="M462" s="116">
        <f>VLOOKUP(E462,'Bridles &amp; Bladders '!E:M,9,0)</f>
        <v>0</v>
      </c>
      <c r="N462" s="71">
        <f t="shared" si="7"/>
        <v>0</v>
      </c>
      <c r="O462" s="61" t="s">
        <v>1624</v>
      </c>
      <c r="P462" s="61" t="s">
        <v>1624</v>
      </c>
      <c r="Q462" s="61" t="s">
        <v>1625</v>
      </c>
    </row>
    <row r="463" spans="1:17" ht="14.4" x14ac:dyDescent="0.3">
      <c r="A463" s="124">
        <v>450</v>
      </c>
      <c r="B463" s="59" t="s">
        <v>492</v>
      </c>
      <c r="C463" s="59" t="s">
        <v>1079</v>
      </c>
      <c r="D463" s="115" t="s">
        <v>1110</v>
      </c>
      <c r="E463" s="59" t="s">
        <v>1118</v>
      </c>
      <c r="F463" s="115" t="s">
        <v>1112</v>
      </c>
      <c r="G463" s="59" t="s">
        <v>161</v>
      </c>
      <c r="H463" s="59" t="s">
        <v>162</v>
      </c>
      <c r="I463" s="115" t="s">
        <v>52</v>
      </c>
      <c r="J463" s="125" t="s">
        <v>101</v>
      </c>
      <c r="K463" s="70">
        <v>73.5</v>
      </c>
      <c r="L463" s="139">
        <f>VLOOKUP(E463,'[1]MASTER WORKFILE MY26.2'!$H:$AC,22,0)</f>
        <v>41.6</v>
      </c>
      <c r="M463" s="116">
        <f>VLOOKUP(E463,'Bridles &amp; Bladders '!E:M,9,0)</f>
        <v>0</v>
      </c>
      <c r="N463" s="71">
        <f t="shared" si="7"/>
        <v>0</v>
      </c>
      <c r="O463" s="61" t="s">
        <v>1624</v>
      </c>
      <c r="P463" s="61" t="s">
        <v>1624</v>
      </c>
      <c r="Q463" s="61" t="s">
        <v>1625</v>
      </c>
    </row>
    <row r="464" spans="1:17" ht="14.4" x14ac:dyDescent="0.3">
      <c r="A464" s="124">
        <v>451</v>
      </c>
      <c r="B464" s="59" t="s">
        <v>492</v>
      </c>
      <c r="C464" s="59" t="s">
        <v>1079</v>
      </c>
      <c r="D464" s="115" t="s">
        <v>1110</v>
      </c>
      <c r="E464" s="59" t="s">
        <v>1119</v>
      </c>
      <c r="F464" s="115" t="s">
        <v>1112</v>
      </c>
      <c r="G464" s="59" t="s">
        <v>161</v>
      </c>
      <c r="H464" s="59" t="s">
        <v>162</v>
      </c>
      <c r="I464" s="115" t="s">
        <v>44</v>
      </c>
      <c r="J464" s="125" t="s">
        <v>101</v>
      </c>
      <c r="K464" s="70">
        <v>75.5</v>
      </c>
      <c r="L464" s="139">
        <f>VLOOKUP(E464,'[1]MASTER WORKFILE MY26.2'!$H:$AC,22,0)</f>
        <v>42.7</v>
      </c>
      <c r="M464" s="116">
        <f>VLOOKUP(E464,'Bridles &amp; Bladders '!E:M,9,0)</f>
        <v>0</v>
      </c>
      <c r="N464" s="71">
        <f t="shared" si="7"/>
        <v>0</v>
      </c>
      <c r="O464" s="61" t="s">
        <v>1624</v>
      </c>
      <c r="P464" s="61" t="s">
        <v>1624</v>
      </c>
      <c r="Q464" s="61" t="s">
        <v>1625</v>
      </c>
    </row>
    <row r="465" spans="1:17" ht="14.4" x14ac:dyDescent="0.3">
      <c r="A465" s="124">
        <v>452</v>
      </c>
      <c r="B465" s="59" t="s">
        <v>492</v>
      </c>
      <c r="C465" s="59" t="s">
        <v>1079</v>
      </c>
      <c r="D465" s="115" t="s">
        <v>1110</v>
      </c>
      <c r="E465" s="59" t="s">
        <v>1120</v>
      </c>
      <c r="F465" s="115" t="s">
        <v>1112</v>
      </c>
      <c r="G465" s="59" t="s">
        <v>161</v>
      </c>
      <c r="H465" s="59" t="s">
        <v>162</v>
      </c>
      <c r="I465" s="115" t="s">
        <v>54</v>
      </c>
      <c r="J465" s="125" t="s">
        <v>101</v>
      </c>
      <c r="K465" s="70">
        <v>77.5</v>
      </c>
      <c r="L465" s="139">
        <f>VLOOKUP(E465,'[1]MASTER WORKFILE MY26.2'!$H:$AC,22,0)</f>
        <v>43.800000000000004</v>
      </c>
      <c r="M465" s="116">
        <f>VLOOKUP(E465,'Bridles &amp; Bladders '!E:M,9,0)</f>
        <v>0</v>
      </c>
      <c r="N465" s="71">
        <f t="shared" si="7"/>
        <v>0</v>
      </c>
      <c r="O465" s="61" t="s">
        <v>1624</v>
      </c>
      <c r="P465" s="61" t="s">
        <v>1624</v>
      </c>
      <c r="Q465" s="61" t="s">
        <v>1625</v>
      </c>
    </row>
    <row r="466" spans="1:17" ht="14.4" x14ac:dyDescent="0.3">
      <c r="A466" s="124">
        <v>453</v>
      </c>
      <c r="B466" s="59" t="s">
        <v>492</v>
      </c>
      <c r="C466" s="59" t="s">
        <v>1079</v>
      </c>
      <c r="D466" s="115" t="s">
        <v>1110</v>
      </c>
      <c r="E466" s="59" t="s">
        <v>1121</v>
      </c>
      <c r="F466" s="115" t="s">
        <v>1112</v>
      </c>
      <c r="G466" s="59" t="s">
        <v>161</v>
      </c>
      <c r="H466" s="59" t="s">
        <v>162</v>
      </c>
      <c r="I466" s="115" t="s">
        <v>118</v>
      </c>
      <c r="J466" s="125" t="s">
        <v>101</v>
      </c>
      <c r="K466" s="70">
        <v>79.5</v>
      </c>
      <c r="L466" s="139">
        <f>VLOOKUP(E466,'[1]MASTER WORKFILE MY26.2'!$H:$AC,22,0)</f>
        <v>44.9</v>
      </c>
      <c r="M466" s="116">
        <f>VLOOKUP(E466,'Bridles &amp; Bladders '!E:M,9,0)</f>
        <v>0</v>
      </c>
      <c r="N466" s="71">
        <f t="shared" si="7"/>
        <v>0</v>
      </c>
      <c r="O466" s="61" t="s">
        <v>1624</v>
      </c>
      <c r="P466" s="61" t="s">
        <v>1624</v>
      </c>
      <c r="Q466" s="61" t="s">
        <v>1625</v>
      </c>
    </row>
    <row r="467" spans="1:17" ht="14.4" x14ac:dyDescent="0.3">
      <c r="A467" s="124">
        <v>454</v>
      </c>
      <c r="B467" s="59" t="s">
        <v>492</v>
      </c>
      <c r="C467" s="59" t="s">
        <v>1079</v>
      </c>
      <c r="D467" s="115" t="s">
        <v>1110</v>
      </c>
      <c r="E467" s="59" t="s">
        <v>1122</v>
      </c>
      <c r="F467" s="115" t="s">
        <v>1112</v>
      </c>
      <c r="G467" s="59" t="s">
        <v>161</v>
      </c>
      <c r="H467" s="59" t="s">
        <v>162</v>
      </c>
      <c r="I467" s="115" t="s">
        <v>120</v>
      </c>
      <c r="J467" s="125" t="s">
        <v>101</v>
      </c>
      <c r="K467" s="70">
        <v>82</v>
      </c>
      <c r="L467" s="139">
        <f>VLOOKUP(E467,'[1]MASTER WORKFILE MY26.2'!$H:$AC,22,0)</f>
        <v>46.4</v>
      </c>
      <c r="M467" s="116">
        <f>VLOOKUP(E467,'Bridles &amp; Bladders '!E:M,9,0)</f>
        <v>0</v>
      </c>
      <c r="N467" s="71">
        <f t="shared" si="7"/>
        <v>0</v>
      </c>
      <c r="O467" s="61" t="s">
        <v>1624</v>
      </c>
      <c r="P467" s="61" t="s">
        <v>1624</v>
      </c>
      <c r="Q467" s="61" t="s">
        <v>1625</v>
      </c>
    </row>
    <row r="468" spans="1:17" ht="14.4" x14ac:dyDescent="0.3">
      <c r="A468" s="124">
        <v>455</v>
      </c>
      <c r="B468" s="59" t="s">
        <v>492</v>
      </c>
      <c r="C468" s="59" t="s">
        <v>1079</v>
      </c>
      <c r="D468" s="115" t="s">
        <v>1110</v>
      </c>
      <c r="E468" s="59" t="s">
        <v>1123</v>
      </c>
      <c r="F468" s="115" t="s">
        <v>1112</v>
      </c>
      <c r="G468" s="59" t="s">
        <v>161</v>
      </c>
      <c r="H468" s="59" t="s">
        <v>162</v>
      </c>
      <c r="I468" s="115" t="s">
        <v>122</v>
      </c>
      <c r="J468" s="125" t="s">
        <v>101</v>
      </c>
      <c r="K468" s="70">
        <v>84</v>
      </c>
      <c r="L468" s="139">
        <f>VLOOKUP(E468,'[1]MASTER WORKFILE MY26.2'!$H:$AC,22,0)</f>
        <v>47.5</v>
      </c>
      <c r="M468" s="116">
        <f>VLOOKUP(E468,'Bridles &amp; Bladders '!E:M,9,0)</f>
        <v>0</v>
      </c>
      <c r="N468" s="71">
        <f t="shared" si="7"/>
        <v>0</v>
      </c>
      <c r="O468" s="61" t="s">
        <v>1624</v>
      </c>
      <c r="P468" s="61" t="s">
        <v>1624</v>
      </c>
      <c r="Q468" s="61" t="s">
        <v>1625</v>
      </c>
    </row>
    <row r="469" spans="1:17" ht="14.4" x14ac:dyDescent="0.3">
      <c r="A469" s="124">
        <v>456</v>
      </c>
      <c r="B469" s="59" t="s">
        <v>492</v>
      </c>
      <c r="C469" s="59" t="s">
        <v>1079</v>
      </c>
      <c r="D469" s="115" t="s">
        <v>1124</v>
      </c>
      <c r="E469" s="59" t="s">
        <v>1125</v>
      </c>
      <c r="F469" s="115" t="s">
        <v>1126</v>
      </c>
      <c r="G469" s="59" t="s">
        <v>161</v>
      </c>
      <c r="H469" s="59" t="s">
        <v>162</v>
      </c>
      <c r="I469" s="115" t="s">
        <v>135</v>
      </c>
      <c r="J469" s="125" t="s">
        <v>101</v>
      </c>
      <c r="K469" s="70">
        <v>65</v>
      </c>
      <c r="L469" s="139">
        <f>VLOOKUP(E469,'[1]MASTER WORKFILE MY26.2'!$H:$AC,22,0)</f>
        <v>36.800000000000004</v>
      </c>
      <c r="M469" s="116">
        <f>VLOOKUP(E469,'Bridles &amp; Bladders '!E:M,9,0)</f>
        <v>0</v>
      </c>
      <c r="N469" s="71">
        <f t="shared" si="7"/>
        <v>0</v>
      </c>
      <c r="O469" s="61" t="s">
        <v>1751</v>
      </c>
      <c r="P469" s="61" t="s">
        <v>1751</v>
      </c>
      <c r="Q469" s="61" t="s">
        <v>1625</v>
      </c>
    </row>
    <row r="470" spans="1:17" ht="14.4" x14ac:dyDescent="0.3">
      <c r="A470" s="124">
        <v>457</v>
      </c>
      <c r="B470" s="59" t="s">
        <v>492</v>
      </c>
      <c r="C470" s="59" t="s">
        <v>1079</v>
      </c>
      <c r="D470" s="115" t="s">
        <v>1124</v>
      </c>
      <c r="E470" s="59" t="s">
        <v>1127</v>
      </c>
      <c r="F470" s="115" t="s">
        <v>1126</v>
      </c>
      <c r="G470" s="59" t="s">
        <v>161</v>
      </c>
      <c r="H470" s="59" t="s">
        <v>162</v>
      </c>
      <c r="I470" s="115" t="s">
        <v>137</v>
      </c>
      <c r="J470" s="125" t="s">
        <v>101</v>
      </c>
      <c r="K470" s="70">
        <v>70</v>
      </c>
      <c r="L470" s="139">
        <f>VLOOKUP(E470,'[1]MASTER WORKFILE MY26.2'!$H:$AC,22,0)</f>
        <v>39.6</v>
      </c>
      <c r="M470" s="116">
        <f>VLOOKUP(E470,'Bridles &amp; Bladders '!E:M,9,0)</f>
        <v>0</v>
      </c>
      <c r="N470" s="71">
        <f t="shared" si="7"/>
        <v>0</v>
      </c>
      <c r="O470" s="61" t="s">
        <v>1751</v>
      </c>
      <c r="P470" s="61" t="s">
        <v>1751</v>
      </c>
      <c r="Q470" s="61" t="s">
        <v>1625</v>
      </c>
    </row>
    <row r="471" spans="1:17" ht="14.4" x14ac:dyDescent="0.3">
      <c r="A471" s="124">
        <v>458</v>
      </c>
      <c r="B471" s="59" t="s">
        <v>492</v>
      </c>
      <c r="C471" s="59" t="s">
        <v>1079</v>
      </c>
      <c r="D471" s="115" t="s">
        <v>1124</v>
      </c>
      <c r="E471" s="59" t="s">
        <v>1128</v>
      </c>
      <c r="F471" s="115" t="s">
        <v>1126</v>
      </c>
      <c r="G471" s="59" t="s">
        <v>161</v>
      </c>
      <c r="H471" s="59" t="s">
        <v>162</v>
      </c>
      <c r="I471" s="115" t="s">
        <v>139</v>
      </c>
      <c r="J471" s="125" t="s">
        <v>101</v>
      </c>
      <c r="K471" s="70">
        <v>75</v>
      </c>
      <c r="L471" s="139">
        <f>VLOOKUP(E471,'[1]MASTER WORKFILE MY26.2'!$H:$AC,22,0)</f>
        <v>42.4</v>
      </c>
      <c r="M471" s="116">
        <f>VLOOKUP(E471,'Bridles &amp; Bladders '!E:M,9,0)</f>
        <v>0</v>
      </c>
      <c r="N471" s="71">
        <f t="shared" si="7"/>
        <v>0</v>
      </c>
      <c r="O471" s="61" t="s">
        <v>1751</v>
      </c>
      <c r="P471" s="61" t="s">
        <v>1751</v>
      </c>
      <c r="Q471" s="61" t="s">
        <v>1625</v>
      </c>
    </row>
    <row r="472" spans="1:17" ht="14.4" x14ac:dyDescent="0.3">
      <c r="A472" s="124">
        <v>459</v>
      </c>
      <c r="B472" s="59" t="s">
        <v>492</v>
      </c>
      <c r="C472" s="59" t="s">
        <v>1079</v>
      </c>
      <c r="D472" s="115" t="s">
        <v>1124</v>
      </c>
      <c r="E472" s="59" t="s">
        <v>1129</v>
      </c>
      <c r="F472" s="115" t="s">
        <v>1126</v>
      </c>
      <c r="G472" s="59" t="s">
        <v>161</v>
      </c>
      <c r="H472" s="59" t="s">
        <v>162</v>
      </c>
      <c r="I472" s="115" t="s">
        <v>141</v>
      </c>
      <c r="J472" s="125" t="s">
        <v>101</v>
      </c>
      <c r="K472" s="70">
        <v>80</v>
      </c>
      <c r="L472" s="139">
        <f>VLOOKUP(E472,'[1]MASTER WORKFILE MY26.2'!$H:$AC,22,0)</f>
        <v>45.2</v>
      </c>
      <c r="M472" s="116">
        <f>VLOOKUP(E472,'Bridles &amp; Bladders '!E:M,9,0)</f>
        <v>0</v>
      </c>
      <c r="N472" s="71">
        <f t="shared" si="7"/>
        <v>0</v>
      </c>
      <c r="O472" s="61" t="s">
        <v>1751</v>
      </c>
      <c r="P472" s="61" t="s">
        <v>1751</v>
      </c>
      <c r="Q472" s="61" t="s">
        <v>1625</v>
      </c>
    </row>
    <row r="473" spans="1:17" ht="14.4" x14ac:dyDescent="0.3">
      <c r="A473" s="124">
        <v>460</v>
      </c>
      <c r="B473" s="59" t="s">
        <v>492</v>
      </c>
      <c r="C473" s="59" t="s">
        <v>1079</v>
      </c>
      <c r="D473" s="115" t="s">
        <v>1124</v>
      </c>
      <c r="E473" s="59" t="s">
        <v>1130</v>
      </c>
      <c r="F473" s="115" t="s">
        <v>1126</v>
      </c>
      <c r="G473" s="59" t="s">
        <v>161</v>
      </c>
      <c r="H473" s="59" t="s">
        <v>162</v>
      </c>
      <c r="I473" s="115" t="s">
        <v>40</v>
      </c>
      <c r="J473" s="125" t="s">
        <v>101</v>
      </c>
      <c r="K473" s="70">
        <v>85</v>
      </c>
      <c r="L473" s="139">
        <f>VLOOKUP(E473,'[1]MASTER WORKFILE MY26.2'!$H:$AC,22,0)</f>
        <v>48</v>
      </c>
      <c r="M473" s="116">
        <f>VLOOKUP(E473,'Bridles &amp; Bladders '!E:M,9,0)</f>
        <v>0</v>
      </c>
      <c r="N473" s="71">
        <f t="shared" si="7"/>
        <v>0</v>
      </c>
      <c r="O473" s="61" t="s">
        <v>1751</v>
      </c>
      <c r="P473" s="61" t="s">
        <v>1751</v>
      </c>
      <c r="Q473" s="61" t="s">
        <v>1625</v>
      </c>
    </row>
    <row r="474" spans="1:17" ht="14.4" x14ac:dyDescent="0.3">
      <c r="A474" s="124">
        <v>461</v>
      </c>
      <c r="B474" s="59" t="s">
        <v>492</v>
      </c>
      <c r="C474" s="59" t="s">
        <v>1079</v>
      </c>
      <c r="D474" s="115" t="s">
        <v>1124</v>
      </c>
      <c r="E474" s="59" t="s">
        <v>1131</v>
      </c>
      <c r="F474" s="115" t="s">
        <v>1126</v>
      </c>
      <c r="G474" s="59" t="s">
        <v>161</v>
      </c>
      <c r="H474" s="59" t="s">
        <v>162</v>
      </c>
      <c r="I474" s="115" t="s">
        <v>42</v>
      </c>
      <c r="J474" s="125" t="s">
        <v>101</v>
      </c>
      <c r="K474" s="70">
        <v>90</v>
      </c>
      <c r="L474" s="139">
        <f>VLOOKUP(E474,'[1]MASTER WORKFILE MY26.2'!$H:$AC,22,0)</f>
        <v>50.9</v>
      </c>
      <c r="M474" s="116">
        <f>VLOOKUP(E474,'Bridles &amp; Bladders '!E:M,9,0)</f>
        <v>0</v>
      </c>
      <c r="N474" s="71">
        <f t="shared" si="7"/>
        <v>0</v>
      </c>
      <c r="O474" s="61" t="s">
        <v>1751</v>
      </c>
      <c r="P474" s="61" t="s">
        <v>1751</v>
      </c>
      <c r="Q474" s="61" t="s">
        <v>1625</v>
      </c>
    </row>
    <row r="475" spans="1:17" ht="14.4" x14ac:dyDescent="0.3">
      <c r="A475" s="124">
        <v>462</v>
      </c>
      <c r="B475" s="59" t="s">
        <v>492</v>
      </c>
      <c r="C475" s="59" t="s">
        <v>1079</v>
      </c>
      <c r="D475" s="115" t="s">
        <v>1124</v>
      </c>
      <c r="E475" s="59" t="s">
        <v>1132</v>
      </c>
      <c r="F475" s="115" t="s">
        <v>1126</v>
      </c>
      <c r="G475" s="59" t="s">
        <v>161</v>
      </c>
      <c r="H475" s="59" t="s">
        <v>162</v>
      </c>
      <c r="I475" s="115" t="s">
        <v>52</v>
      </c>
      <c r="J475" s="125" t="s">
        <v>101</v>
      </c>
      <c r="K475" s="70">
        <v>95</v>
      </c>
      <c r="L475" s="139">
        <f>VLOOKUP(E475,'[1]MASTER WORKFILE MY26.2'!$H:$AC,22,0)</f>
        <v>53.7</v>
      </c>
      <c r="M475" s="116">
        <f>VLOOKUP(E475,'Bridles &amp; Bladders '!E:M,9,0)</f>
        <v>0</v>
      </c>
      <c r="N475" s="71">
        <f t="shared" si="7"/>
        <v>0</v>
      </c>
      <c r="O475" s="61" t="s">
        <v>1751</v>
      </c>
      <c r="P475" s="61" t="s">
        <v>1751</v>
      </c>
      <c r="Q475" s="61" t="s">
        <v>1625</v>
      </c>
    </row>
    <row r="476" spans="1:17" ht="14.4" x14ac:dyDescent="0.3">
      <c r="A476" s="124">
        <v>463</v>
      </c>
      <c r="B476" s="59" t="s">
        <v>492</v>
      </c>
      <c r="C476" s="59" t="s">
        <v>1079</v>
      </c>
      <c r="D476" s="115" t="s">
        <v>1124</v>
      </c>
      <c r="E476" s="59" t="s">
        <v>1133</v>
      </c>
      <c r="F476" s="115" t="s">
        <v>1126</v>
      </c>
      <c r="G476" s="59" t="s">
        <v>161</v>
      </c>
      <c r="H476" s="59" t="s">
        <v>162</v>
      </c>
      <c r="I476" s="115" t="s">
        <v>44</v>
      </c>
      <c r="J476" s="125" t="s">
        <v>101</v>
      </c>
      <c r="K476" s="70">
        <v>100</v>
      </c>
      <c r="L476" s="139">
        <f>VLOOKUP(E476,'[1]MASTER WORKFILE MY26.2'!$H:$AC,22,0)</f>
        <v>56.5</v>
      </c>
      <c r="M476" s="116">
        <f>VLOOKUP(E476,'Bridles &amp; Bladders '!E:M,9,0)</f>
        <v>0</v>
      </c>
      <c r="N476" s="71">
        <f t="shared" si="7"/>
        <v>0</v>
      </c>
      <c r="O476" s="61" t="s">
        <v>1751</v>
      </c>
      <c r="P476" s="61" t="s">
        <v>1751</v>
      </c>
      <c r="Q476" s="61" t="s">
        <v>1625</v>
      </c>
    </row>
    <row r="477" spans="1:17" ht="14.4" x14ac:dyDescent="0.3">
      <c r="A477" s="124">
        <v>464</v>
      </c>
      <c r="B477" s="59" t="s">
        <v>492</v>
      </c>
      <c r="C477" s="59" t="s">
        <v>1079</v>
      </c>
      <c r="D477" s="115" t="s">
        <v>1134</v>
      </c>
      <c r="E477" s="59" t="s">
        <v>1135</v>
      </c>
      <c r="F477" s="115" t="s">
        <v>1136</v>
      </c>
      <c r="G477" s="59" t="s">
        <v>161</v>
      </c>
      <c r="H477" s="59" t="s">
        <v>162</v>
      </c>
      <c r="I477" s="115" t="s">
        <v>36</v>
      </c>
      <c r="J477" s="125" t="s">
        <v>101</v>
      </c>
      <c r="K477" s="70">
        <v>65</v>
      </c>
      <c r="L477" s="139">
        <f>VLOOKUP(E477,'[1]MASTER WORKFILE MY26.2'!$H:$AC,22,0)</f>
        <v>36.800000000000004</v>
      </c>
      <c r="M477" s="116">
        <f>VLOOKUP(E477,'Bridles &amp; Bladders '!E:M,9,0)</f>
        <v>0</v>
      </c>
      <c r="N477" s="71">
        <f t="shared" si="7"/>
        <v>0</v>
      </c>
      <c r="O477" s="61" t="s">
        <v>1751</v>
      </c>
      <c r="P477" s="61" t="s">
        <v>1751</v>
      </c>
      <c r="Q477" s="61" t="s">
        <v>1625</v>
      </c>
    </row>
    <row r="478" spans="1:17" ht="14.4" x14ac:dyDescent="0.3">
      <c r="A478" s="124">
        <v>465</v>
      </c>
      <c r="B478" s="59" t="s">
        <v>492</v>
      </c>
      <c r="C478" s="59" t="s">
        <v>1079</v>
      </c>
      <c r="D478" s="115" t="s">
        <v>1134</v>
      </c>
      <c r="E478" s="59" t="s">
        <v>1137</v>
      </c>
      <c r="F478" s="115" t="s">
        <v>1136</v>
      </c>
      <c r="G478" s="59" t="s">
        <v>161</v>
      </c>
      <c r="H478" s="59" t="s">
        <v>162</v>
      </c>
      <c r="I478" s="115" t="s">
        <v>38</v>
      </c>
      <c r="J478" s="125" t="s">
        <v>101</v>
      </c>
      <c r="K478" s="70">
        <v>70</v>
      </c>
      <c r="L478" s="139">
        <f>VLOOKUP(E478,'[1]MASTER WORKFILE MY26.2'!$H:$AC,22,0)</f>
        <v>39.6</v>
      </c>
      <c r="M478" s="116">
        <f>VLOOKUP(E478,'Bridles &amp; Bladders '!E:M,9,0)</f>
        <v>0</v>
      </c>
      <c r="N478" s="71">
        <f t="shared" si="7"/>
        <v>0</v>
      </c>
      <c r="O478" s="61" t="s">
        <v>1751</v>
      </c>
      <c r="P478" s="61" t="s">
        <v>1751</v>
      </c>
      <c r="Q478" s="61" t="s">
        <v>1625</v>
      </c>
    </row>
    <row r="479" spans="1:17" ht="14.4" x14ac:dyDescent="0.3">
      <c r="A479" s="124">
        <v>466</v>
      </c>
      <c r="B479" s="59" t="s">
        <v>492</v>
      </c>
      <c r="C479" s="59" t="s">
        <v>1079</v>
      </c>
      <c r="D479" s="115" t="s">
        <v>1134</v>
      </c>
      <c r="E479" s="59" t="s">
        <v>1138</v>
      </c>
      <c r="F479" s="115" t="s">
        <v>1136</v>
      </c>
      <c r="G479" s="59" t="s">
        <v>161</v>
      </c>
      <c r="H479" s="59" t="s">
        <v>162</v>
      </c>
      <c r="I479" s="115" t="s">
        <v>40</v>
      </c>
      <c r="J479" s="125" t="s">
        <v>101</v>
      </c>
      <c r="K479" s="70">
        <v>75</v>
      </c>
      <c r="L479" s="139">
        <f>VLOOKUP(E479,'[1]MASTER WORKFILE MY26.2'!$H:$AC,22,0)</f>
        <v>42.4</v>
      </c>
      <c r="M479" s="116">
        <f>VLOOKUP(E479,'Bridles &amp; Bladders '!E:M,9,0)</f>
        <v>0</v>
      </c>
      <c r="N479" s="71">
        <f t="shared" si="7"/>
        <v>0</v>
      </c>
      <c r="O479" s="61" t="s">
        <v>1751</v>
      </c>
      <c r="P479" s="61" t="s">
        <v>1751</v>
      </c>
      <c r="Q479" s="61" t="s">
        <v>1625</v>
      </c>
    </row>
    <row r="480" spans="1:17" ht="14.4" x14ac:dyDescent="0.3">
      <c r="A480" s="124">
        <v>467</v>
      </c>
      <c r="B480" s="59" t="s">
        <v>492</v>
      </c>
      <c r="C480" s="59" t="s">
        <v>1079</v>
      </c>
      <c r="D480" s="115" t="s">
        <v>1134</v>
      </c>
      <c r="E480" s="59" t="s">
        <v>1139</v>
      </c>
      <c r="F480" s="115" t="s">
        <v>1136</v>
      </c>
      <c r="G480" s="59" t="s">
        <v>161</v>
      </c>
      <c r="H480" s="59" t="s">
        <v>162</v>
      </c>
      <c r="I480" s="115" t="s">
        <v>42</v>
      </c>
      <c r="J480" s="125" t="s">
        <v>101</v>
      </c>
      <c r="K480" s="70">
        <v>80</v>
      </c>
      <c r="L480" s="139">
        <f>VLOOKUP(E480,'[1]MASTER WORKFILE MY26.2'!$H:$AC,22,0)</f>
        <v>45.2</v>
      </c>
      <c r="M480" s="116">
        <f>VLOOKUP(E480,'Bridles &amp; Bladders '!E:M,9,0)</f>
        <v>0</v>
      </c>
      <c r="N480" s="71">
        <f t="shared" si="7"/>
        <v>0</v>
      </c>
      <c r="O480" s="61" t="s">
        <v>1751</v>
      </c>
      <c r="P480" s="61" t="s">
        <v>1751</v>
      </c>
      <c r="Q480" s="61" t="s">
        <v>1625</v>
      </c>
    </row>
    <row r="481" spans="1:17" ht="14.4" x14ac:dyDescent="0.3">
      <c r="A481" s="124">
        <v>468</v>
      </c>
      <c r="B481" s="59" t="s">
        <v>492</v>
      </c>
      <c r="C481" s="59" t="s">
        <v>1079</v>
      </c>
      <c r="D481" s="115" t="s">
        <v>1134</v>
      </c>
      <c r="E481" s="59" t="s">
        <v>1140</v>
      </c>
      <c r="F481" s="115" t="s">
        <v>1136</v>
      </c>
      <c r="G481" s="59" t="s">
        <v>161</v>
      </c>
      <c r="H481" s="59" t="s">
        <v>162</v>
      </c>
      <c r="I481" s="115" t="s">
        <v>52</v>
      </c>
      <c r="J481" s="125" t="s">
        <v>101</v>
      </c>
      <c r="K481" s="70">
        <v>85</v>
      </c>
      <c r="L481" s="139">
        <f>VLOOKUP(E481,'[1]MASTER WORKFILE MY26.2'!$H:$AC,22,0)</f>
        <v>48</v>
      </c>
      <c r="M481" s="116">
        <f>VLOOKUP(E481,'Bridles &amp; Bladders '!E:M,9,0)</f>
        <v>0</v>
      </c>
      <c r="N481" s="71">
        <f t="shared" si="7"/>
        <v>0</v>
      </c>
      <c r="O481" s="61" t="s">
        <v>1751</v>
      </c>
      <c r="P481" s="61" t="s">
        <v>1751</v>
      </c>
      <c r="Q481" s="61" t="s">
        <v>1625</v>
      </c>
    </row>
    <row r="482" spans="1:17" ht="14.4" x14ac:dyDescent="0.3">
      <c r="A482" s="124">
        <v>469</v>
      </c>
      <c r="B482" s="59" t="s">
        <v>492</v>
      </c>
      <c r="C482" s="59" t="s">
        <v>1079</v>
      </c>
      <c r="D482" s="115" t="s">
        <v>1134</v>
      </c>
      <c r="E482" s="59" t="s">
        <v>1141</v>
      </c>
      <c r="F482" s="115" t="s">
        <v>1136</v>
      </c>
      <c r="G482" s="59" t="s">
        <v>161</v>
      </c>
      <c r="H482" s="59" t="s">
        <v>162</v>
      </c>
      <c r="I482" s="115" t="s">
        <v>44</v>
      </c>
      <c r="J482" s="125" t="s">
        <v>101</v>
      </c>
      <c r="K482" s="70">
        <v>90</v>
      </c>
      <c r="L482" s="139">
        <f>VLOOKUP(E482,'[1]MASTER WORKFILE MY26.2'!$H:$AC,22,0)</f>
        <v>50.9</v>
      </c>
      <c r="M482" s="116">
        <f>VLOOKUP(E482,'Bridles &amp; Bladders '!E:M,9,0)</f>
        <v>0</v>
      </c>
      <c r="N482" s="71">
        <f t="shared" si="7"/>
        <v>0</v>
      </c>
      <c r="O482" s="61" t="s">
        <v>1751</v>
      </c>
      <c r="P482" s="61" t="s">
        <v>1751</v>
      </c>
      <c r="Q482" s="61" t="s">
        <v>1625</v>
      </c>
    </row>
    <row r="483" spans="1:17" ht="14.4" x14ac:dyDescent="0.3">
      <c r="A483" s="124">
        <v>470</v>
      </c>
      <c r="B483" s="59" t="s">
        <v>492</v>
      </c>
      <c r="C483" s="59" t="s">
        <v>1079</v>
      </c>
      <c r="D483" s="115" t="s">
        <v>1134</v>
      </c>
      <c r="E483" s="59" t="s">
        <v>1142</v>
      </c>
      <c r="F483" s="115" t="s">
        <v>1136</v>
      </c>
      <c r="G483" s="59" t="s">
        <v>161</v>
      </c>
      <c r="H483" s="59" t="s">
        <v>162</v>
      </c>
      <c r="I483" s="115" t="s">
        <v>54</v>
      </c>
      <c r="J483" s="125" t="s">
        <v>101</v>
      </c>
      <c r="K483" s="70">
        <v>95</v>
      </c>
      <c r="L483" s="139">
        <f>VLOOKUP(E483,'[1]MASTER WORKFILE MY26.2'!$H:$AC,22,0)</f>
        <v>53.7</v>
      </c>
      <c r="M483" s="116">
        <f>VLOOKUP(E483,'Bridles &amp; Bladders '!E:M,9,0)</f>
        <v>0</v>
      </c>
      <c r="N483" s="71">
        <f t="shared" si="7"/>
        <v>0</v>
      </c>
      <c r="O483" s="61" t="s">
        <v>1751</v>
      </c>
      <c r="P483" s="61" t="s">
        <v>1751</v>
      </c>
      <c r="Q483" s="61" t="s">
        <v>1625</v>
      </c>
    </row>
    <row r="484" spans="1:17" ht="14.4" x14ac:dyDescent="0.3">
      <c r="A484" s="124">
        <v>471</v>
      </c>
      <c r="B484" s="59" t="s">
        <v>492</v>
      </c>
      <c r="C484" s="59" t="s">
        <v>1079</v>
      </c>
      <c r="D484" s="115" t="s">
        <v>1134</v>
      </c>
      <c r="E484" s="59" t="s">
        <v>1143</v>
      </c>
      <c r="F484" s="115" t="s">
        <v>1136</v>
      </c>
      <c r="G484" s="59" t="s">
        <v>161</v>
      </c>
      <c r="H484" s="59" t="s">
        <v>162</v>
      </c>
      <c r="I484" s="115" t="s">
        <v>118</v>
      </c>
      <c r="J484" s="125" t="s">
        <v>101</v>
      </c>
      <c r="K484" s="70">
        <v>100</v>
      </c>
      <c r="L484" s="139">
        <f>VLOOKUP(E484,'[1]MASTER WORKFILE MY26.2'!$H:$AC,22,0)</f>
        <v>56.5</v>
      </c>
      <c r="M484" s="116">
        <f>VLOOKUP(E484,'Bridles &amp; Bladders '!E:M,9,0)</f>
        <v>0</v>
      </c>
      <c r="N484" s="71">
        <f t="shared" si="7"/>
        <v>0</v>
      </c>
      <c r="O484" s="61" t="s">
        <v>1751</v>
      </c>
      <c r="P484" s="61" t="s">
        <v>1751</v>
      </c>
      <c r="Q484" s="61" t="s">
        <v>1625</v>
      </c>
    </row>
    <row r="485" spans="1:17" ht="14.4" x14ac:dyDescent="0.3">
      <c r="A485" s="124">
        <v>472</v>
      </c>
      <c r="B485" s="59" t="s">
        <v>492</v>
      </c>
      <c r="C485" s="59" t="s">
        <v>1079</v>
      </c>
      <c r="D485" s="115" t="s">
        <v>1134</v>
      </c>
      <c r="E485" s="59" t="s">
        <v>1144</v>
      </c>
      <c r="F485" s="115" t="s">
        <v>1136</v>
      </c>
      <c r="G485" s="59" t="s">
        <v>161</v>
      </c>
      <c r="H485" s="59" t="s">
        <v>162</v>
      </c>
      <c r="I485" s="115" t="s">
        <v>120</v>
      </c>
      <c r="J485" s="125" t="s">
        <v>101</v>
      </c>
      <c r="K485" s="70">
        <v>105</v>
      </c>
      <c r="L485" s="139">
        <f>VLOOKUP(E485,'[1]MASTER WORKFILE MY26.2'!$H:$AC,22,0)</f>
        <v>59.300000000000004</v>
      </c>
      <c r="M485" s="116">
        <f>VLOOKUP(E485,'Bridles &amp; Bladders '!E:M,9,0)</f>
        <v>0</v>
      </c>
      <c r="N485" s="71">
        <f t="shared" si="7"/>
        <v>0</v>
      </c>
      <c r="O485" s="61" t="s">
        <v>1751</v>
      </c>
      <c r="P485" s="61" t="s">
        <v>1751</v>
      </c>
      <c r="Q485" s="61" t="s">
        <v>1625</v>
      </c>
    </row>
    <row r="486" spans="1:17" ht="14.4" x14ac:dyDescent="0.3">
      <c r="A486" s="124">
        <v>473</v>
      </c>
      <c r="B486" s="59" t="s">
        <v>492</v>
      </c>
      <c r="C486" s="59" t="s">
        <v>1079</v>
      </c>
      <c r="D486" s="115" t="s">
        <v>1145</v>
      </c>
      <c r="E486" s="59" t="s">
        <v>1146</v>
      </c>
      <c r="F486" s="115" t="s">
        <v>1147</v>
      </c>
      <c r="G486" s="59" t="s">
        <v>161</v>
      </c>
      <c r="H486" s="59" t="s">
        <v>162</v>
      </c>
      <c r="I486" s="115" t="s">
        <v>440</v>
      </c>
      <c r="J486" s="125" t="s">
        <v>26</v>
      </c>
      <c r="K486" s="70">
        <v>160</v>
      </c>
      <c r="L486" s="139">
        <f>VLOOKUP(E486,'[1]MASTER WORKFILE MY26.2'!$H:$AC,22,0)</f>
        <v>90.399999999999991</v>
      </c>
      <c r="M486" s="116">
        <f>VLOOKUP(E486,'Bridles &amp; Bladders '!E:M,9,0)</f>
        <v>0</v>
      </c>
      <c r="N486" s="71">
        <f t="shared" si="7"/>
        <v>0</v>
      </c>
      <c r="O486" s="61" t="s">
        <v>1751</v>
      </c>
      <c r="P486" s="61" t="s">
        <v>1751</v>
      </c>
      <c r="Q486" s="61" t="s">
        <v>1625</v>
      </c>
    </row>
    <row r="487" spans="1:17" ht="14.4" x14ac:dyDescent="0.3">
      <c r="A487" s="124">
        <v>474</v>
      </c>
      <c r="B487" s="59" t="s">
        <v>492</v>
      </c>
      <c r="C487" s="59" t="s">
        <v>1079</v>
      </c>
      <c r="D487" s="115" t="s">
        <v>1145</v>
      </c>
      <c r="E487" s="59" t="s">
        <v>1148</v>
      </c>
      <c r="F487" s="115" t="s">
        <v>1147</v>
      </c>
      <c r="G487" s="59" t="s">
        <v>161</v>
      </c>
      <c r="H487" s="59" t="s">
        <v>162</v>
      </c>
      <c r="I487" s="115" t="s">
        <v>461</v>
      </c>
      <c r="J487" s="125" t="s">
        <v>26</v>
      </c>
      <c r="K487" s="70">
        <v>180</v>
      </c>
      <c r="L487" s="139">
        <f>VLOOKUP(E487,'[1]MASTER WORKFILE MY26.2'!$H:$AC,22,0)</f>
        <v>101.69999999999999</v>
      </c>
      <c r="M487" s="116">
        <f>VLOOKUP(E487,'Bridles &amp; Bladders '!E:M,9,0)</f>
        <v>0</v>
      </c>
      <c r="N487" s="71">
        <f t="shared" si="7"/>
        <v>0</v>
      </c>
      <c r="O487" s="61" t="s">
        <v>1751</v>
      </c>
      <c r="P487" s="61" t="s">
        <v>1751</v>
      </c>
      <c r="Q487" s="61" t="s">
        <v>1625</v>
      </c>
    </row>
    <row r="488" spans="1:17" ht="14.4" x14ac:dyDescent="0.3">
      <c r="A488" s="124">
        <v>475</v>
      </c>
      <c r="B488" s="59" t="s">
        <v>492</v>
      </c>
      <c r="C488" s="59" t="s">
        <v>1079</v>
      </c>
      <c r="D488" s="115" t="s">
        <v>1145</v>
      </c>
      <c r="E488" s="59" t="s">
        <v>1149</v>
      </c>
      <c r="F488" s="115" t="s">
        <v>1147</v>
      </c>
      <c r="G488" s="59" t="s">
        <v>161</v>
      </c>
      <c r="H488" s="59" t="s">
        <v>162</v>
      </c>
      <c r="I488" s="115" t="s">
        <v>404</v>
      </c>
      <c r="J488" s="125" t="s">
        <v>26</v>
      </c>
      <c r="K488" s="70">
        <v>200</v>
      </c>
      <c r="L488" s="139">
        <f>VLOOKUP(E488,'[1]MASTER WORKFILE MY26.2'!$H:$AC,22,0)</f>
        <v>113</v>
      </c>
      <c r="M488" s="116">
        <f>VLOOKUP(E488,'Bridles &amp; Bladders '!E:M,9,0)</f>
        <v>0</v>
      </c>
      <c r="N488" s="71">
        <f t="shared" si="7"/>
        <v>0</v>
      </c>
      <c r="O488" s="61" t="s">
        <v>1751</v>
      </c>
      <c r="P488" s="61" t="s">
        <v>1751</v>
      </c>
      <c r="Q488" s="61" t="s">
        <v>1625</v>
      </c>
    </row>
    <row r="489" spans="1:17" ht="14.4" x14ac:dyDescent="0.3">
      <c r="A489" s="124">
        <v>476</v>
      </c>
      <c r="B489" s="59" t="s">
        <v>492</v>
      </c>
      <c r="C489" s="59" t="s">
        <v>1079</v>
      </c>
      <c r="D489" s="115" t="s">
        <v>1145</v>
      </c>
      <c r="E489" s="59" t="s">
        <v>1150</v>
      </c>
      <c r="F489" s="115" t="s">
        <v>1147</v>
      </c>
      <c r="G489" s="59" t="s">
        <v>161</v>
      </c>
      <c r="H489" s="59" t="s">
        <v>162</v>
      </c>
      <c r="I489" s="115" t="s">
        <v>464</v>
      </c>
      <c r="J489" s="125" t="s">
        <v>26</v>
      </c>
      <c r="K489" s="70">
        <v>220</v>
      </c>
      <c r="L489" s="139">
        <f>VLOOKUP(E489,'[1]MASTER WORKFILE MY26.2'!$H:$AC,22,0)</f>
        <v>124.3</v>
      </c>
      <c r="M489" s="116">
        <f>VLOOKUP(E489,'Bridles &amp; Bladders '!E:M,9,0)</f>
        <v>0</v>
      </c>
      <c r="N489" s="71">
        <f t="shared" si="7"/>
        <v>0</v>
      </c>
      <c r="O489" s="61" t="s">
        <v>1751</v>
      </c>
      <c r="P489" s="61" t="s">
        <v>1751</v>
      </c>
      <c r="Q489" s="61" t="s">
        <v>1625</v>
      </c>
    </row>
    <row r="490" spans="1:17" ht="14.4" x14ac:dyDescent="0.3">
      <c r="A490" s="124">
        <v>477</v>
      </c>
      <c r="B490" s="59" t="s">
        <v>1033</v>
      </c>
      <c r="C490" s="59" t="s">
        <v>1079</v>
      </c>
      <c r="D490" s="115" t="s">
        <v>1151</v>
      </c>
      <c r="E490" s="59" t="s">
        <v>1152</v>
      </c>
      <c r="F490" s="115" t="s">
        <v>1153</v>
      </c>
      <c r="G490" s="59" t="s">
        <v>1154</v>
      </c>
      <c r="H490" s="115" t="s">
        <v>1155</v>
      </c>
      <c r="I490" s="115" t="s">
        <v>1156</v>
      </c>
      <c r="J490" s="125" t="s">
        <v>26</v>
      </c>
      <c r="K490" s="70">
        <v>52.5</v>
      </c>
      <c r="L490" s="139">
        <f>VLOOKUP(E490,'[1]MASTER WORKFILE MY26.2'!$H:$AC,22,0)</f>
        <v>29.700000000000003</v>
      </c>
      <c r="M490" s="116">
        <f>VLOOKUP(E490,'Bridles &amp; Bladders '!E:M,9,0)</f>
        <v>0</v>
      </c>
      <c r="N490" s="71">
        <f t="shared" si="7"/>
        <v>0</v>
      </c>
      <c r="O490" s="61" t="s">
        <v>1624</v>
      </c>
      <c r="P490" s="61" t="s">
        <v>1624</v>
      </c>
      <c r="Q490" s="61" t="s">
        <v>1625</v>
      </c>
    </row>
    <row r="491" spans="1:17" ht="14.4" x14ac:dyDescent="0.3">
      <c r="A491" s="124">
        <v>478</v>
      </c>
      <c r="B491" s="59" t="s">
        <v>1033</v>
      </c>
      <c r="C491" s="59" t="s">
        <v>1079</v>
      </c>
      <c r="D491" s="115" t="s">
        <v>1151</v>
      </c>
      <c r="E491" s="59" t="s">
        <v>1157</v>
      </c>
      <c r="F491" s="115" t="s">
        <v>1153</v>
      </c>
      <c r="G491" s="59" t="s">
        <v>1154</v>
      </c>
      <c r="H491" s="115" t="s">
        <v>1155</v>
      </c>
      <c r="I491" s="115" t="s">
        <v>1158</v>
      </c>
      <c r="J491" s="125" t="s">
        <v>26</v>
      </c>
      <c r="K491" s="70">
        <v>55</v>
      </c>
      <c r="L491" s="139">
        <f>VLOOKUP(E491,'[1]MASTER WORKFILE MY26.2'!$H:$AC,22,0)</f>
        <v>31.1</v>
      </c>
      <c r="M491" s="116">
        <f>VLOOKUP(E491,'Bridles &amp; Bladders '!E:M,9,0)</f>
        <v>0</v>
      </c>
      <c r="N491" s="71">
        <f t="shared" si="7"/>
        <v>0</v>
      </c>
      <c r="O491" s="61" t="s">
        <v>1624</v>
      </c>
      <c r="P491" s="61" t="s">
        <v>1624</v>
      </c>
      <c r="Q491" s="61" t="s">
        <v>1625</v>
      </c>
    </row>
    <row r="492" spans="1:17" ht="14.4" x14ac:dyDescent="0.3">
      <c r="A492" s="124">
        <v>479</v>
      </c>
      <c r="B492" s="59" t="s">
        <v>1033</v>
      </c>
      <c r="C492" s="59" t="s">
        <v>1079</v>
      </c>
      <c r="D492" s="115" t="s">
        <v>1151</v>
      </c>
      <c r="E492" s="59" t="s">
        <v>1159</v>
      </c>
      <c r="F492" s="115" t="s">
        <v>1153</v>
      </c>
      <c r="G492" s="59" t="s">
        <v>1154</v>
      </c>
      <c r="H492" s="115" t="s">
        <v>1155</v>
      </c>
      <c r="I492" s="115" t="s">
        <v>1160</v>
      </c>
      <c r="J492" s="125" t="s">
        <v>353</v>
      </c>
      <c r="K492" s="70">
        <v>57.5</v>
      </c>
      <c r="L492" s="139">
        <f>VLOOKUP(E492,'[1]MASTER WORKFILE MY26.2'!$H:$AC,22,0)</f>
        <v>32.5</v>
      </c>
      <c r="M492" s="116">
        <f>VLOOKUP(E492,'Bridles &amp; Bladders '!E:M,9,0)</f>
        <v>0</v>
      </c>
      <c r="N492" s="71">
        <f t="shared" si="7"/>
        <v>0</v>
      </c>
      <c r="O492" s="61" t="s">
        <v>1624</v>
      </c>
      <c r="P492" s="61" t="s">
        <v>1624</v>
      </c>
      <c r="Q492" s="61" t="s">
        <v>1625</v>
      </c>
    </row>
    <row r="493" spans="1:17" ht="14.4" x14ac:dyDescent="0.3">
      <c r="A493" s="124">
        <v>480</v>
      </c>
      <c r="B493" s="122" t="s">
        <v>1033</v>
      </c>
      <c r="C493" s="122" t="s">
        <v>1079</v>
      </c>
      <c r="D493" s="123" t="s">
        <v>1151</v>
      </c>
      <c r="E493" s="122" t="s">
        <v>1161</v>
      </c>
      <c r="F493" s="123" t="s">
        <v>1153</v>
      </c>
      <c r="G493" s="122" t="s">
        <v>1154</v>
      </c>
      <c r="H493" s="122" t="s">
        <v>1155</v>
      </c>
      <c r="I493" s="123" t="s">
        <v>1162</v>
      </c>
      <c r="J493" s="125" t="s">
        <v>26</v>
      </c>
      <c r="K493" s="70">
        <v>60</v>
      </c>
      <c r="L493" s="139">
        <f>VLOOKUP(E493,'[1]MASTER WORKFILE MY26.2'!$H:$AC,22,0)</f>
        <v>33.9</v>
      </c>
      <c r="M493" s="116">
        <f>VLOOKUP(E493,'Bridles &amp; Bladders '!E:M,9,0)</f>
        <v>0</v>
      </c>
      <c r="N493" s="71">
        <f t="shared" si="7"/>
        <v>0</v>
      </c>
      <c r="O493" s="61" t="s">
        <v>1624</v>
      </c>
      <c r="P493" s="61" t="s">
        <v>1624</v>
      </c>
      <c r="Q493" s="61" t="s">
        <v>1625</v>
      </c>
    </row>
    <row r="494" spans="1:17" ht="14.4" x14ac:dyDescent="0.3">
      <c r="A494" s="124">
        <v>481</v>
      </c>
      <c r="B494" s="122" t="s">
        <v>1033</v>
      </c>
      <c r="C494" s="122" t="s">
        <v>1079</v>
      </c>
      <c r="D494" s="123" t="s">
        <v>1151</v>
      </c>
      <c r="E494" s="122" t="s">
        <v>1163</v>
      </c>
      <c r="F494" s="123" t="s">
        <v>1153</v>
      </c>
      <c r="G494" s="122" t="s">
        <v>1154</v>
      </c>
      <c r="H494" s="122" t="s">
        <v>1155</v>
      </c>
      <c r="I494" s="123" t="s">
        <v>1164</v>
      </c>
      <c r="J494" s="125" t="s">
        <v>353</v>
      </c>
      <c r="K494" s="70">
        <v>62.5</v>
      </c>
      <c r="L494" s="139">
        <f>VLOOKUP(E494,'[1]MASTER WORKFILE MY26.2'!$H:$AC,22,0)</f>
        <v>35.300000000000004</v>
      </c>
      <c r="M494" s="116">
        <f>VLOOKUP(E494,'Bridles &amp; Bladders '!E:M,9,0)</f>
        <v>0</v>
      </c>
      <c r="N494" s="71">
        <f t="shared" si="7"/>
        <v>0</v>
      </c>
      <c r="O494" s="61" t="s">
        <v>1624</v>
      </c>
      <c r="P494" s="61" t="s">
        <v>1624</v>
      </c>
      <c r="Q494" s="61" t="s">
        <v>1625</v>
      </c>
    </row>
    <row r="495" spans="1:17" ht="14.4" x14ac:dyDescent="0.3">
      <c r="A495" s="124">
        <v>482</v>
      </c>
      <c r="B495" s="122" t="s">
        <v>1033</v>
      </c>
      <c r="C495" s="122" t="s">
        <v>1079</v>
      </c>
      <c r="D495" s="123" t="s">
        <v>1151</v>
      </c>
      <c r="E495" s="122" t="s">
        <v>1165</v>
      </c>
      <c r="F495" s="123" t="s">
        <v>1153</v>
      </c>
      <c r="G495" s="122" t="s">
        <v>1154</v>
      </c>
      <c r="H495" s="122" t="s">
        <v>1155</v>
      </c>
      <c r="I495" s="123" t="s">
        <v>1166</v>
      </c>
      <c r="J495" s="125" t="s">
        <v>26</v>
      </c>
      <c r="K495" s="70">
        <v>65</v>
      </c>
      <c r="L495" s="139">
        <f>VLOOKUP(E495,'[1]MASTER WORKFILE MY26.2'!$H:$AC,22,0)</f>
        <v>36.800000000000004</v>
      </c>
      <c r="M495" s="116">
        <f>VLOOKUP(E495,'Bridles &amp; Bladders '!E:M,9,0)</f>
        <v>0</v>
      </c>
      <c r="N495" s="71">
        <f t="shared" si="7"/>
        <v>0</v>
      </c>
      <c r="O495" s="61" t="s">
        <v>1624</v>
      </c>
      <c r="P495" s="61" t="s">
        <v>1624</v>
      </c>
      <c r="Q495" s="61" t="s">
        <v>1625</v>
      </c>
    </row>
    <row r="496" spans="1:17" ht="14.4" x14ac:dyDescent="0.3">
      <c r="A496" s="124">
        <v>483</v>
      </c>
      <c r="B496" s="122" t="s">
        <v>1033</v>
      </c>
      <c r="C496" s="122" t="s">
        <v>1079</v>
      </c>
      <c r="D496" s="123" t="s">
        <v>1151</v>
      </c>
      <c r="E496" s="122" t="s">
        <v>1167</v>
      </c>
      <c r="F496" s="123" t="s">
        <v>1153</v>
      </c>
      <c r="G496" s="122" t="s">
        <v>1154</v>
      </c>
      <c r="H496" s="122" t="s">
        <v>1155</v>
      </c>
      <c r="I496" s="123" t="s">
        <v>1168</v>
      </c>
      <c r="J496" s="125" t="s">
        <v>353</v>
      </c>
      <c r="K496" s="70">
        <v>67.5</v>
      </c>
      <c r="L496" s="139">
        <f>VLOOKUP(E496,'[1]MASTER WORKFILE MY26.2'!$H:$AC,22,0)</f>
        <v>38.200000000000003</v>
      </c>
      <c r="M496" s="116">
        <f>VLOOKUP(E496,'Bridles &amp; Bladders '!E:M,9,0)</f>
        <v>0</v>
      </c>
      <c r="N496" s="71">
        <f t="shared" si="7"/>
        <v>0</v>
      </c>
      <c r="O496" s="61" t="s">
        <v>1624</v>
      </c>
      <c r="P496" s="61" t="s">
        <v>1624</v>
      </c>
      <c r="Q496" s="61" t="s">
        <v>1625</v>
      </c>
    </row>
    <row r="497" spans="1:17" ht="14.4" x14ac:dyDescent="0.3">
      <c r="A497" s="124">
        <v>484</v>
      </c>
      <c r="B497" s="122" t="s">
        <v>1033</v>
      </c>
      <c r="C497" s="122" t="s">
        <v>1079</v>
      </c>
      <c r="D497" s="123" t="s">
        <v>1151</v>
      </c>
      <c r="E497" s="122" t="s">
        <v>1169</v>
      </c>
      <c r="F497" s="123" t="s">
        <v>1153</v>
      </c>
      <c r="G497" s="122" t="s">
        <v>1154</v>
      </c>
      <c r="H497" s="122" t="s">
        <v>1155</v>
      </c>
      <c r="I497" s="123" t="s">
        <v>1170</v>
      </c>
      <c r="J497" s="125" t="s">
        <v>26</v>
      </c>
      <c r="K497" s="70">
        <v>70</v>
      </c>
      <c r="L497" s="139">
        <f>VLOOKUP(E497,'[1]MASTER WORKFILE MY26.2'!$H:$AC,22,0)</f>
        <v>39.6</v>
      </c>
      <c r="M497" s="116">
        <f>VLOOKUP(E497,'Bridles &amp; Bladders '!E:M,9,0)</f>
        <v>0</v>
      </c>
      <c r="N497" s="60">
        <f t="shared" si="7"/>
        <v>0</v>
      </c>
      <c r="O497" s="61" t="s">
        <v>1624</v>
      </c>
      <c r="P497" s="61" t="s">
        <v>1624</v>
      </c>
      <c r="Q497" s="61" t="s">
        <v>1625</v>
      </c>
    </row>
    <row r="498" spans="1:17" ht="14.4" x14ac:dyDescent="0.3">
      <c r="A498" s="124">
        <v>485</v>
      </c>
      <c r="B498" s="122" t="s">
        <v>1033</v>
      </c>
      <c r="C498" s="122" t="s">
        <v>1079</v>
      </c>
      <c r="D498" s="123" t="s">
        <v>1151</v>
      </c>
      <c r="E498" s="122" t="s">
        <v>1171</v>
      </c>
      <c r="F498" s="123" t="s">
        <v>1153</v>
      </c>
      <c r="G498" s="122" t="s">
        <v>1154</v>
      </c>
      <c r="H498" s="122" t="s">
        <v>1155</v>
      </c>
      <c r="I498" s="123" t="s">
        <v>1172</v>
      </c>
      <c r="J498" s="125" t="s">
        <v>26</v>
      </c>
      <c r="K498" s="70">
        <v>72.5</v>
      </c>
      <c r="L498" s="139">
        <f>VLOOKUP(E498,'[1]MASTER WORKFILE MY26.2'!$H:$AC,22,0)</f>
        <v>41</v>
      </c>
      <c r="M498" s="116">
        <f>VLOOKUP(E498,'Bridles &amp; Bladders '!E:M,9,0)</f>
        <v>0</v>
      </c>
      <c r="N498" s="71">
        <f t="shared" si="7"/>
        <v>0</v>
      </c>
      <c r="O498" s="61" t="s">
        <v>1624</v>
      </c>
      <c r="P498" s="61" t="s">
        <v>1624</v>
      </c>
      <c r="Q498" s="61" t="s">
        <v>1625</v>
      </c>
    </row>
    <row r="499" spans="1:17" ht="14.4" x14ac:dyDescent="0.3">
      <c r="A499" s="124">
        <v>486</v>
      </c>
      <c r="B499" s="122" t="s">
        <v>1033</v>
      </c>
      <c r="C499" s="122" t="s">
        <v>1079</v>
      </c>
      <c r="D499" s="123" t="s">
        <v>1151</v>
      </c>
      <c r="E499" s="122" t="s">
        <v>1173</v>
      </c>
      <c r="F499" s="123" t="s">
        <v>1153</v>
      </c>
      <c r="G499" s="122" t="s">
        <v>1154</v>
      </c>
      <c r="H499" s="122" t="s">
        <v>1155</v>
      </c>
      <c r="I499" s="123" t="s">
        <v>1174</v>
      </c>
      <c r="J499" s="125" t="s">
        <v>353</v>
      </c>
      <c r="K499" s="70">
        <v>75</v>
      </c>
      <c r="L499" s="139">
        <f>VLOOKUP(E499,'[1]MASTER WORKFILE MY26.2'!$H:$AC,22,0)</f>
        <v>42.4</v>
      </c>
      <c r="M499" s="116">
        <f>VLOOKUP(E499,'Bridles &amp; Bladders '!E:M,9,0)</f>
        <v>0</v>
      </c>
      <c r="N499" s="71">
        <f t="shared" si="7"/>
        <v>0</v>
      </c>
      <c r="O499" s="61" t="s">
        <v>1624</v>
      </c>
      <c r="P499" s="61" t="s">
        <v>1624</v>
      </c>
      <c r="Q499" s="61" t="s">
        <v>1625</v>
      </c>
    </row>
    <row r="500" spans="1:17" ht="14.4" x14ac:dyDescent="0.3">
      <c r="A500" s="124">
        <v>487</v>
      </c>
      <c r="B500" s="122" t="s">
        <v>1033</v>
      </c>
      <c r="C500" s="122" t="s">
        <v>1079</v>
      </c>
      <c r="D500" s="123" t="s">
        <v>1151</v>
      </c>
      <c r="E500" s="122" t="s">
        <v>1175</v>
      </c>
      <c r="F500" s="123" t="s">
        <v>1153</v>
      </c>
      <c r="G500" s="122" t="s">
        <v>1154</v>
      </c>
      <c r="H500" s="122" t="s">
        <v>1155</v>
      </c>
      <c r="I500" s="123" t="s">
        <v>1176</v>
      </c>
      <c r="J500" s="125" t="s">
        <v>353</v>
      </c>
      <c r="K500" s="70">
        <v>77.5</v>
      </c>
      <c r="L500" s="139">
        <f>VLOOKUP(E500,'[1]MASTER WORKFILE MY26.2'!$H:$AC,22,0)</f>
        <v>43.800000000000004</v>
      </c>
      <c r="M500" s="116">
        <f>VLOOKUP(E500,'Bridles &amp; Bladders '!E:M,9,0)</f>
        <v>0</v>
      </c>
      <c r="N500" s="71">
        <f t="shared" si="7"/>
        <v>0</v>
      </c>
      <c r="O500" s="61" t="s">
        <v>1624</v>
      </c>
      <c r="P500" s="61" t="s">
        <v>1624</v>
      </c>
      <c r="Q500" s="61" t="s">
        <v>1625</v>
      </c>
    </row>
    <row r="501" spans="1:17" ht="14.4" x14ac:dyDescent="0.3">
      <c r="A501" s="124">
        <v>488</v>
      </c>
      <c r="B501" s="59" t="s">
        <v>1033</v>
      </c>
      <c r="C501" s="59" t="s">
        <v>1079</v>
      </c>
      <c r="D501" s="115" t="s">
        <v>1151</v>
      </c>
      <c r="E501" s="59" t="s">
        <v>1177</v>
      </c>
      <c r="F501" s="115" t="s">
        <v>1153</v>
      </c>
      <c r="G501" s="59" t="s">
        <v>1154</v>
      </c>
      <c r="H501" s="115" t="s">
        <v>1155</v>
      </c>
      <c r="I501" s="115" t="s">
        <v>1178</v>
      </c>
      <c r="J501" s="125" t="s">
        <v>353</v>
      </c>
      <c r="K501" s="70">
        <v>80</v>
      </c>
      <c r="L501" s="139">
        <f>VLOOKUP(E501,'[1]MASTER WORKFILE MY26.2'!$H:$AC,22,0)</f>
        <v>45.2</v>
      </c>
      <c r="M501" s="116">
        <f>VLOOKUP(E501,'Bridles &amp; Bladders '!E:M,9,0)</f>
        <v>0</v>
      </c>
      <c r="N501" s="71">
        <f t="shared" si="7"/>
        <v>0</v>
      </c>
      <c r="O501" s="61" t="s">
        <v>1624</v>
      </c>
      <c r="P501" s="61" t="s">
        <v>1624</v>
      </c>
      <c r="Q501" s="61" t="s">
        <v>1625</v>
      </c>
    </row>
    <row r="502" spans="1:17" ht="14.4" x14ac:dyDescent="0.3">
      <c r="A502" s="124">
        <v>489</v>
      </c>
      <c r="B502" s="59" t="s">
        <v>1033</v>
      </c>
      <c r="C502" s="59" t="s">
        <v>1079</v>
      </c>
      <c r="D502" s="115" t="s">
        <v>1151</v>
      </c>
      <c r="E502" s="59" t="s">
        <v>1179</v>
      </c>
      <c r="F502" s="115" t="s">
        <v>1153</v>
      </c>
      <c r="G502" s="59" t="s">
        <v>1154</v>
      </c>
      <c r="H502" s="115" t="s">
        <v>1155</v>
      </c>
      <c r="I502" s="115" t="s">
        <v>1180</v>
      </c>
      <c r="J502" s="125" t="s">
        <v>26</v>
      </c>
      <c r="K502" s="70">
        <v>85</v>
      </c>
      <c r="L502" s="139">
        <f>VLOOKUP(E502,'[1]MASTER WORKFILE MY26.2'!$H:$AC,22,0)</f>
        <v>48</v>
      </c>
      <c r="M502" s="116">
        <f>VLOOKUP(E502,'Bridles &amp; Bladders '!E:M,9,0)</f>
        <v>0</v>
      </c>
      <c r="N502" s="71">
        <f t="shared" si="7"/>
        <v>0</v>
      </c>
      <c r="O502" s="61" t="s">
        <v>1624</v>
      </c>
      <c r="P502" s="61" t="s">
        <v>1624</v>
      </c>
      <c r="Q502" s="61" t="s">
        <v>1625</v>
      </c>
    </row>
    <row r="503" spans="1:17" ht="14.4" x14ac:dyDescent="0.3">
      <c r="A503" s="124">
        <v>490</v>
      </c>
      <c r="B503" s="59" t="s">
        <v>1033</v>
      </c>
      <c r="C503" s="59" t="s">
        <v>1079</v>
      </c>
      <c r="D503" s="115" t="s">
        <v>1151</v>
      </c>
      <c r="E503" s="59" t="s">
        <v>1181</v>
      </c>
      <c r="F503" s="115" t="s">
        <v>1153</v>
      </c>
      <c r="G503" s="59" t="s">
        <v>1154</v>
      </c>
      <c r="H503" s="115" t="s">
        <v>1155</v>
      </c>
      <c r="I503" s="115" t="s">
        <v>1182</v>
      </c>
      <c r="J503" s="125" t="s">
        <v>353</v>
      </c>
      <c r="K503" s="70">
        <v>90</v>
      </c>
      <c r="L503" s="139">
        <f>VLOOKUP(E503,'[1]MASTER WORKFILE MY26.2'!$H:$AC,22,0)</f>
        <v>50.9</v>
      </c>
      <c r="M503" s="116">
        <f>VLOOKUP(E503,'Bridles &amp; Bladders '!E:M,9,0)</f>
        <v>0</v>
      </c>
      <c r="N503" s="71">
        <f t="shared" si="7"/>
        <v>0</v>
      </c>
      <c r="O503" s="61" t="s">
        <v>1624</v>
      </c>
      <c r="P503" s="61" t="s">
        <v>1624</v>
      </c>
      <c r="Q503" s="61" t="s">
        <v>1625</v>
      </c>
    </row>
    <row r="504" spans="1:17" ht="14.4" x14ac:dyDescent="0.3">
      <c r="A504" s="124">
        <v>491</v>
      </c>
      <c r="B504" s="59" t="s">
        <v>1033</v>
      </c>
      <c r="C504" s="59" t="s">
        <v>1079</v>
      </c>
      <c r="D504" s="115" t="s">
        <v>1183</v>
      </c>
      <c r="E504" s="59" t="s">
        <v>1184</v>
      </c>
      <c r="F504" s="115" t="s">
        <v>1185</v>
      </c>
      <c r="G504" s="59" t="s">
        <v>1154</v>
      </c>
      <c r="H504" s="115" t="s">
        <v>1155</v>
      </c>
      <c r="I504" s="115" t="s">
        <v>1186</v>
      </c>
      <c r="J504" s="125" t="s">
        <v>26</v>
      </c>
      <c r="K504" s="70">
        <v>92.5</v>
      </c>
      <c r="L504" s="139">
        <f>VLOOKUP(E504,'[1]MASTER WORKFILE MY26.2'!$H:$AC,22,0)</f>
        <v>52.300000000000004</v>
      </c>
      <c r="M504" s="116">
        <f>VLOOKUP(E504,'Bridles &amp; Bladders '!E:M,9,0)</f>
        <v>0</v>
      </c>
      <c r="N504" s="71">
        <f t="shared" si="7"/>
        <v>0</v>
      </c>
      <c r="O504" s="61" t="s">
        <v>1624</v>
      </c>
      <c r="P504" s="61" t="s">
        <v>1624</v>
      </c>
      <c r="Q504" s="61" t="s">
        <v>1625</v>
      </c>
    </row>
    <row r="505" spans="1:17" ht="14.4" x14ac:dyDescent="0.3">
      <c r="A505" s="124">
        <v>492</v>
      </c>
      <c r="B505" s="59" t="s">
        <v>1033</v>
      </c>
      <c r="C505" s="59" t="s">
        <v>1079</v>
      </c>
      <c r="D505" s="115" t="s">
        <v>1183</v>
      </c>
      <c r="E505" s="59" t="s">
        <v>1187</v>
      </c>
      <c r="F505" s="115" t="s">
        <v>1185</v>
      </c>
      <c r="G505" s="59" t="s">
        <v>1154</v>
      </c>
      <c r="H505" s="115" t="s">
        <v>1155</v>
      </c>
      <c r="I505" s="115" t="s">
        <v>1188</v>
      </c>
      <c r="J505" s="125" t="s">
        <v>26</v>
      </c>
      <c r="K505" s="70">
        <v>97.5</v>
      </c>
      <c r="L505" s="139">
        <f>VLOOKUP(E505,'[1]MASTER WORKFILE MY26.2'!$H:$AC,22,0)</f>
        <v>55.1</v>
      </c>
      <c r="M505" s="116">
        <f>VLOOKUP(E505,'Bridles &amp; Bladders '!E:M,9,0)</f>
        <v>0</v>
      </c>
      <c r="N505" s="71">
        <f t="shared" si="7"/>
        <v>0</v>
      </c>
      <c r="O505" s="61" t="s">
        <v>1624</v>
      </c>
      <c r="P505" s="61" t="s">
        <v>1624</v>
      </c>
      <c r="Q505" s="61" t="s">
        <v>1625</v>
      </c>
    </row>
    <row r="506" spans="1:17" ht="14.4" x14ac:dyDescent="0.3">
      <c r="A506" s="124">
        <v>493</v>
      </c>
      <c r="B506" s="59" t="s">
        <v>1033</v>
      </c>
      <c r="C506" s="59" t="s">
        <v>1079</v>
      </c>
      <c r="D506" s="115" t="s">
        <v>1183</v>
      </c>
      <c r="E506" s="59" t="s">
        <v>1189</v>
      </c>
      <c r="F506" s="115" t="s">
        <v>1185</v>
      </c>
      <c r="G506" s="59" t="s">
        <v>1154</v>
      </c>
      <c r="H506" s="115" t="s">
        <v>1155</v>
      </c>
      <c r="I506" s="115" t="s">
        <v>1190</v>
      </c>
      <c r="J506" s="125" t="s">
        <v>26</v>
      </c>
      <c r="K506" s="70">
        <v>102.5</v>
      </c>
      <c r="L506" s="139">
        <f>VLOOKUP(E506,'[1]MASTER WORKFILE MY26.2'!$H:$AC,22,0)</f>
        <v>57.9</v>
      </c>
      <c r="M506" s="116">
        <f>VLOOKUP(E506,'Bridles &amp; Bladders '!E:M,9,0)</f>
        <v>0</v>
      </c>
      <c r="N506" s="71">
        <f t="shared" si="7"/>
        <v>0</v>
      </c>
      <c r="O506" s="61" t="s">
        <v>1624</v>
      </c>
      <c r="P506" s="61" t="s">
        <v>1624</v>
      </c>
      <c r="Q506" s="61" t="s">
        <v>1625</v>
      </c>
    </row>
    <row r="507" spans="1:17" ht="14.4" x14ac:dyDescent="0.3">
      <c r="A507" s="124">
        <v>494</v>
      </c>
      <c r="B507" s="59" t="s">
        <v>1033</v>
      </c>
      <c r="C507" s="59" t="s">
        <v>1079</v>
      </c>
      <c r="D507" s="115" t="s">
        <v>1183</v>
      </c>
      <c r="E507" s="59" t="s">
        <v>1191</v>
      </c>
      <c r="F507" s="115" t="s">
        <v>1185</v>
      </c>
      <c r="G507" s="59" t="s">
        <v>1154</v>
      </c>
      <c r="H507" s="115" t="s">
        <v>1155</v>
      </c>
      <c r="I507" s="115" t="s">
        <v>1192</v>
      </c>
      <c r="J507" s="125" t="s">
        <v>353</v>
      </c>
      <c r="K507" s="70">
        <v>107.5</v>
      </c>
      <c r="L507" s="139">
        <f>VLOOKUP(E507,'[1]MASTER WORKFILE MY26.2'!$H:$AC,22,0)</f>
        <v>60.800000000000004</v>
      </c>
      <c r="M507" s="116">
        <f>VLOOKUP(E507,'Bridles &amp; Bladders '!E:M,9,0)</f>
        <v>0</v>
      </c>
      <c r="N507" s="71">
        <f t="shared" si="7"/>
        <v>0</v>
      </c>
      <c r="O507" s="61" t="s">
        <v>1624</v>
      </c>
      <c r="P507" s="61" t="s">
        <v>1624</v>
      </c>
      <c r="Q507" s="61" t="s">
        <v>1625</v>
      </c>
    </row>
    <row r="508" spans="1:17" ht="14.4" x14ac:dyDescent="0.3">
      <c r="A508" s="124">
        <v>495</v>
      </c>
      <c r="B508" s="59" t="s">
        <v>1033</v>
      </c>
      <c r="C508" s="59" t="s">
        <v>1079</v>
      </c>
      <c r="D508" s="115" t="s">
        <v>1183</v>
      </c>
      <c r="E508" s="59" t="s">
        <v>1193</v>
      </c>
      <c r="F508" s="115" t="s">
        <v>1185</v>
      </c>
      <c r="G508" s="59" t="s">
        <v>1154</v>
      </c>
      <c r="H508" s="115" t="s">
        <v>1155</v>
      </c>
      <c r="I508" s="115" t="s">
        <v>1194</v>
      </c>
      <c r="J508" s="125" t="s">
        <v>26</v>
      </c>
      <c r="K508" s="70">
        <v>112.5</v>
      </c>
      <c r="L508" s="139">
        <f>VLOOKUP(E508,'[1]MASTER WORKFILE MY26.2'!$H:$AC,22,0)</f>
        <v>63.6</v>
      </c>
      <c r="M508" s="116">
        <f>VLOOKUP(E508,'Bridles &amp; Bladders '!E:M,9,0)</f>
        <v>0</v>
      </c>
      <c r="N508" s="71">
        <f t="shared" si="7"/>
        <v>0</v>
      </c>
      <c r="O508" s="61" t="s">
        <v>1624</v>
      </c>
      <c r="P508" s="61" t="s">
        <v>1624</v>
      </c>
      <c r="Q508" s="61" t="s">
        <v>1625</v>
      </c>
    </row>
    <row r="509" spans="1:17" ht="14.4" x14ac:dyDescent="0.3">
      <c r="A509" s="124">
        <v>496</v>
      </c>
      <c r="B509" s="59" t="s">
        <v>1033</v>
      </c>
      <c r="C509" s="59" t="s">
        <v>1079</v>
      </c>
      <c r="D509" s="115" t="s">
        <v>1183</v>
      </c>
      <c r="E509" s="59" t="s">
        <v>1195</v>
      </c>
      <c r="F509" s="115" t="s">
        <v>1185</v>
      </c>
      <c r="G509" s="59" t="s">
        <v>1154</v>
      </c>
      <c r="H509" s="115" t="s">
        <v>1155</v>
      </c>
      <c r="I509" s="115" t="s">
        <v>1196</v>
      </c>
      <c r="J509" s="125" t="s">
        <v>26</v>
      </c>
      <c r="K509" s="70">
        <v>117.5</v>
      </c>
      <c r="L509" s="139">
        <f>VLOOKUP(E509,'[1]MASTER WORKFILE MY26.2'!$H:$AC,22,0)</f>
        <v>66.399999999999991</v>
      </c>
      <c r="M509" s="116">
        <f>VLOOKUP(E509,'Bridles &amp; Bladders '!E:M,9,0)</f>
        <v>0</v>
      </c>
      <c r="N509" s="71">
        <f t="shared" si="7"/>
        <v>0</v>
      </c>
      <c r="O509" s="61" t="s">
        <v>1624</v>
      </c>
      <c r="P509" s="61" t="s">
        <v>1624</v>
      </c>
      <c r="Q509" s="61" t="s">
        <v>1625</v>
      </c>
    </row>
    <row r="510" spans="1:17" ht="14.4" x14ac:dyDescent="0.3">
      <c r="A510" s="124">
        <v>497</v>
      </c>
      <c r="B510" s="59" t="s">
        <v>1033</v>
      </c>
      <c r="C510" s="59" t="s">
        <v>1079</v>
      </c>
      <c r="D510" s="115" t="s">
        <v>1183</v>
      </c>
      <c r="E510" s="59" t="s">
        <v>1197</v>
      </c>
      <c r="F510" s="115" t="s">
        <v>1185</v>
      </c>
      <c r="G510" s="59" t="s">
        <v>1154</v>
      </c>
      <c r="H510" s="115" t="s">
        <v>1155</v>
      </c>
      <c r="I510" s="115" t="s">
        <v>1198</v>
      </c>
      <c r="J510" s="125" t="s">
        <v>353</v>
      </c>
      <c r="K510" s="70">
        <v>122.5</v>
      </c>
      <c r="L510" s="139">
        <f>VLOOKUP(E510,'[1]MASTER WORKFILE MY26.2'!$H:$AC,22,0)</f>
        <v>69.199999999999989</v>
      </c>
      <c r="M510" s="116">
        <f>VLOOKUP(E510,'Bridles &amp; Bladders '!E:M,9,0)</f>
        <v>0</v>
      </c>
      <c r="N510" s="71">
        <f t="shared" si="7"/>
        <v>0</v>
      </c>
      <c r="O510" s="61" t="s">
        <v>1624</v>
      </c>
      <c r="P510" s="61" t="s">
        <v>1624</v>
      </c>
      <c r="Q510" s="61" t="s">
        <v>1625</v>
      </c>
    </row>
    <row r="511" spans="1:17" ht="14.4" x14ac:dyDescent="0.3">
      <c r="A511" s="124">
        <v>498</v>
      </c>
      <c r="B511" s="59" t="s">
        <v>1033</v>
      </c>
      <c r="C511" s="59" t="s">
        <v>1079</v>
      </c>
      <c r="D511" s="115" t="s">
        <v>1183</v>
      </c>
      <c r="E511" s="59" t="s">
        <v>1199</v>
      </c>
      <c r="F511" s="115" t="s">
        <v>1185</v>
      </c>
      <c r="G511" s="59" t="s">
        <v>1154</v>
      </c>
      <c r="H511" s="115" t="s">
        <v>1155</v>
      </c>
      <c r="I511" s="115" t="s">
        <v>1200</v>
      </c>
      <c r="J511" s="125" t="s">
        <v>26</v>
      </c>
      <c r="K511" s="70">
        <v>127.5</v>
      </c>
      <c r="L511" s="139">
        <f>VLOOKUP(E511,'[1]MASTER WORKFILE MY26.2'!$H:$AC,22,0)</f>
        <v>72</v>
      </c>
      <c r="M511" s="116">
        <f>VLOOKUP(E511,'Bridles &amp; Bladders '!E:M,9,0)</f>
        <v>0</v>
      </c>
      <c r="N511" s="71">
        <f t="shared" si="7"/>
        <v>0</v>
      </c>
      <c r="O511" s="61" t="s">
        <v>1624</v>
      </c>
      <c r="P511" s="61" t="s">
        <v>1624</v>
      </c>
      <c r="Q511" s="61" t="s">
        <v>1625</v>
      </c>
    </row>
    <row r="512" spans="1:17" ht="14.4" x14ac:dyDescent="0.3">
      <c r="A512" s="124">
        <v>499</v>
      </c>
      <c r="B512" s="59" t="s">
        <v>1033</v>
      </c>
      <c r="C512" s="59" t="s">
        <v>1079</v>
      </c>
      <c r="D512" s="115" t="s">
        <v>1183</v>
      </c>
      <c r="E512" s="59" t="s">
        <v>1201</v>
      </c>
      <c r="F512" s="115" t="s">
        <v>1185</v>
      </c>
      <c r="G512" s="59" t="s">
        <v>1154</v>
      </c>
      <c r="H512" s="115" t="s">
        <v>1155</v>
      </c>
      <c r="I512" s="115" t="s">
        <v>1202</v>
      </c>
      <c r="J512" s="125" t="s">
        <v>353</v>
      </c>
      <c r="K512" s="70">
        <v>132.5</v>
      </c>
      <c r="L512" s="139">
        <f>VLOOKUP(E512,'[1]MASTER WORKFILE MY26.2'!$H:$AC,22,0)</f>
        <v>74.899999999999991</v>
      </c>
      <c r="M512" s="116">
        <f>VLOOKUP(E512,'Bridles &amp; Bladders '!E:M,9,0)</f>
        <v>0</v>
      </c>
      <c r="N512" s="71">
        <f t="shared" si="7"/>
        <v>0</v>
      </c>
      <c r="O512" s="61" t="s">
        <v>1624</v>
      </c>
      <c r="P512" s="61" t="s">
        <v>1624</v>
      </c>
      <c r="Q512" s="61" t="s">
        <v>1625</v>
      </c>
    </row>
    <row r="513" spans="1:17" ht="14.4" x14ac:dyDescent="0.3">
      <c r="A513" s="124">
        <v>500</v>
      </c>
      <c r="B513" s="59" t="s">
        <v>1033</v>
      </c>
      <c r="C513" s="59" t="s">
        <v>1079</v>
      </c>
      <c r="D513" s="115" t="s">
        <v>1183</v>
      </c>
      <c r="E513" s="59" t="s">
        <v>1203</v>
      </c>
      <c r="F513" s="115" t="s">
        <v>1185</v>
      </c>
      <c r="G513" s="59" t="s">
        <v>1154</v>
      </c>
      <c r="H513" s="115" t="s">
        <v>1155</v>
      </c>
      <c r="I513" s="115" t="s">
        <v>1204</v>
      </c>
      <c r="J513" s="125" t="s">
        <v>26</v>
      </c>
      <c r="K513" s="70">
        <v>137.5</v>
      </c>
      <c r="L513" s="139">
        <f>VLOOKUP(E513,'[1]MASTER WORKFILE MY26.2'!$H:$AC,22,0)</f>
        <v>77.699999999999989</v>
      </c>
      <c r="M513" s="116">
        <f>VLOOKUP(E513,'Bridles &amp; Bladders '!E:M,9,0)</f>
        <v>0</v>
      </c>
      <c r="N513" s="71">
        <f t="shared" si="7"/>
        <v>0</v>
      </c>
      <c r="O513" s="61" t="s">
        <v>1624</v>
      </c>
      <c r="P513" s="61" t="s">
        <v>1624</v>
      </c>
      <c r="Q513" s="61" t="s">
        <v>1625</v>
      </c>
    </row>
    <row r="514" spans="1:17" ht="14.4" x14ac:dyDescent="0.3">
      <c r="A514" s="124">
        <v>501</v>
      </c>
      <c r="B514" s="59" t="s">
        <v>1033</v>
      </c>
      <c r="C514" s="59" t="s">
        <v>1079</v>
      </c>
      <c r="D514" s="115" t="s">
        <v>1183</v>
      </c>
      <c r="E514" s="59" t="s">
        <v>1205</v>
      </c>
      <c r="F514" s="115" t="s">
        <v>1185</v>
      </c>
      <c r="G514" s="59" t="s">
        <v>1154</v>
      </c>
      <c r="H514" s="115" t="s">
        <v>1155</v>
      </c>
      <c r="I514" s="115" t="s">
        <v>1206</v>
      </c>
      <c r="J514" s="125" t="s">
        <v>353</v>
      </c>
      <c r="K514" s="70">
        <v>143.5</v>
      </c>
      <c r="L514" s="139">
        <f>VLOOKUP(E514,'[1]MASTER WORKFILE MY26.2'!$H:$AC,22,0)</f>
        <v>81.099999999999994</v>
      </c>
      <c r="M514" s="116">
        <f>VLOOKUP(E514,'Bridles &amp; Bladders '!E:M,9,0)</f>
        <v>0</v>
      </c>
      <c r="N514" s="71">
        <f t="shared" si="7"/>
        <v>0</v>
      </c>
      <c r="O514" s="61" t="s">
        <v>1624</v>
      </c>
      <c r="P514" s="61" t="s">
        <v>1624</v>
      </c>
      <c r="Q514" s="61" t="s">
        <v>1625</v>
      </c>
    </row>
    <row r="515" spans="1:17" ht="14.4" x14ac:dyDescent="0.3">
      <c r="A515" s="124">
        <v>502</v>
      </c>
      <c r="B515" s="59" t="s">
        <v>1033</v>
      </c>
      <c r="C515" s="59" t="s">
        <v>1079</v>
      </c>
      <c r="D515" s="115" t="s">
        <v>1183</v>
      </c>
      <c r="E515" s="59" t="s">
        <v>1207</v>
      </c>
      <c r="F515" s="115" t="s">
        <v>1185</v>
      </c>
      <c r="G515" s="59" t="s">
        <v>1154</v>
      </c>
      <c r="H515" s="115" t="s">
        <v>1155</v>
      </c>
      <c r="I515" s="115" t="s">
        <v>1208</v>
      </c>
      <c r="J515" s="125" t="s">
        <v>353</v>
      </c>
      <c r="K515" s="70">
        <v>148.5</v>
      </c>
      <c r="L515" s="139">
        <f>VLOOKUP(E515,'[1]MASTER WORKFILE MY26.2'!$H:$AC,22,0)</f>
        <v>83.899999999999991</v>
      </c>
      <c r="M515" s="116">
        <f>VLOOKUP(E515,'Bridles &amp; Bladders '!E:M,9,0)</f>
        <v>0</v>
      </c>
      <c r="N515" s="71">
        <f t="shared" si="7"/>
        <v>0</v>
      </c>
      <c r="O515" s="61" t="s">
        <v>1624</v>
      </c>
      <c r="P515" s="61" t="s">
        <v>1624</v>
      </c>
      <c r="Q515" s="61" t="s">
        <v>1625</v>
      </c>
    </row>
    <row r="516" spans="1:17" ht="14.4" x14ac:dyDescent="0.3">
      <c r="A516" s="124">
        <v>503</v>
      </c>
      <c r="B516" s="59" t="s">
        <v>1033</v>
      </c>
      <c r="C516" s="59" t="s">
        <v>1079</v>
      </c>
      <c r="D516" s="115" t="s">
        <v>1183</v>
      </c>
      <c r="E516" s="59" t="s">
        <v>1209</v>
      </c>
      <c r="F516" s="115" t="s">
        <v>1185</v>
      </c>
      <c r="G516" s="59" t="s">
        <v>1154</v>
      </c>
      <c r="H516" s="59" t="s">
        <v>1155</v>
      </c>
      <c r="I516" s="115" t="s">
        <v>1210</v>
      </c>
      <c r="J516" s="125" t="s">
        <v>353</v>
      </c>
      <c r="K516" s="70">
        <v>145</v>
      </c>
      <c r="L516" s="139">
        <f>VLOOKUP(E516,'[1]MASTER WORKFILE MY26.2'!$H:$AC,22,0)</f>
        <v>81.899999999999991</v>
      </c>
      <c r="M516" s="116">
        <f>VLOOKUP(E516,'Bridles &amp; Bladders '!E:M,9,0)</f>
        <v>0</v>
      </c>
      <c r="N516" s="71">
        <f t="shared" si="7"/>
        <v>0</v>
      </c>
      <c r="O516" s="61" t="s">
        <v>1624</v>
      </c>
      <c r="P516" s="61" t="s">
        <v>1624</v>
      </c>
      <c r="Q516" s="61" t="s">
        <v>1625</v>
      </c>
    </row>
    <row r="517" spans="1:17" ht="14.4" x14ac:dyDescent="0.3">
      <c r="A517" s="124">
        <v>504</v>
      </c>
      <c r="B517" s="59" t="s">
        <v>1033</v>
      </c>
      <c r="C517" s="59" t="s">
        <v>1079</v>
      </c>
      <c r="D517" s="115" t="s">
        <v>1211</v>
      </c>
      <c r="E517" s="59" t="s">
        <v>1212</v>
      </c>
      <c r="F517" s="115" t="s">
        <v>1213</v>
      </c>
      <c r="G517" s="59" t="s">
        <v>133</v>
      </c>
      <c r="H517" s="59" t="s">
        <v>134</v>
      </c>
      <c r="I517" s="115" t="s">
        <v>800</v>
      </c>
      <c r="J517" s="125" t="s">
        <v>26</v>
      </c>
      <c r="K517" s="70">
        <v>92.5</v>
      </c>
      <c r="L517" s="139">
        <f>VLOOKUP(E517,'[1]MASTER WORKFILE MY26.2'!$H:$AC,22,0)</f>
        <v>52.300000000000004</v>
      </c>
      <c r="M517" s="116">
        <f>VLOOKUP(E517,'Bridles &amp; Bladders '!E:M,9,0)</f>
        <v>0</v>
      </c>
      <c r="N517" s="71">
        <f t="shared" si="7"/>
        <v>0</v>
      </c>
      <c r="O517" s="61"/>
      <c r="P517" s="61"/>
      <c r="Q517" s="61" t="s">
        <v>1750</v>
      </c>
    </row>
    <row r="518" spans="1:17" ht="14.4" x14ac:dyDescent="0.3">
      <c r="A518" s="124">
        <v>505</v>
      </c>
      <c r="B518" s="59" t="s">
        <v>1033</v>
      </c>
      <c r="C518" s="59" t="s">
        <v>1079</v>
      </c>
      <c r="D518" s="115" t="s">
        <v>1214</v>
      </c>
      <c r="E518" s="59" t="s">
        <v>1215</v>
      </c>
      <c r="F518" s="115" t="s">
        <v>1216</v>
      </c>
      <c r="G518" s="59" t="s">
        <v>133</v>
      </c>
      <c r="H518" s="59" t="s">
        <v>134</v>
      </c>
      <c r="I518" s="115" t="s">
        <v>804</v>
      </c>
      <c r="J518" s="125" t="s">
        <v>26</v>
      </c>
      <c r="K518" s="70">
        <v>92</v>
      </c>
      <c r="L518" s="139">
        <f>VLOOKUP(E518,'[1]MASTER WORKFILE MY26.2'!$H:$AC,22,0)</f>
        <v>52</v>
      </c>
      <c r="M518" s="116">
        <f>VLOOKUP(E518,'Bridles &amp; Bladders '!E:M,9,0)</f>
        <v>0</v>
      </c>
      <c r="N518" s="71">
        <f t="shared" si="7"/>
        <v>0</v>
      </c>
      <c r="O518" s="61"/>
      <c r="P518" s="61"/>
      <c r="Q518" s="61" t="s">
        <v>1750</v>
      </c>
    </row>
    <row r="519" spans="1:17" ht="14.4" x14ac:dyDescent="0.3">
      <c r="A519" s="124">
        <v>506</v>
      </c>
      <c r="B519" s="59" t="s">
        <v>492</v>
      </c>
      <c r="C519" s="59" t="s">
        <v>1217</v>
      </c>
      <c r="D519" s="115" t="s">
        <v>1218</v>
      </c>
      <c r="E519" s="59" t="s">
        <v>1219</v>
      </c>
      <c r="F519" s="115" t="s">
        <v>1220</v>
      </c>
      <c r="G519" s="59" t="s">
        <v>133</v>
      </c>
      <c r="H519" s="59" t="s">
        <v>134</v>
      </c>
      <c r="I519" s="115" t="s">
        <v>280</v>
      </c>
      <c r="J519" s="125" t="s">
        <v>26</v>
      </c>
      <c r="K519" s="70">
        <v>7.25</v>
      </c>
      <c r="L519" s="139">
        <f>VLOOKUP(E519,'[1]MASTER WORKFILE MY26.2'!$H:$AC,22,0)</f>
        <v>4.0999999999999996</v>
      </c>
      <c r="M519" s="116">
        <f>VLOOKUP(E519,'Spare Parts '!E:M,9,0)</f>
        <v>0</v>
      </c>
      <c r="N519" s="71">
        <f t="shared" si="7"/>
        <v>0</v>
      </c>
      <c r="O519" s="61"/>
      <c r="P519" s="61"/>
      <c r="Q519" s="61" t="s">
        <v>1750</v>
      </c>
    </row>
    <row r="520" spans="1:17" ht="14.4" x14ac:dyDescent="0.3">
      <c r="A520" s="124">
        <v>507</v>
      </c>
      <c r="B520" s="59" t="s">
        <v>492</v>
      </c>
      <c r="C520" s="59" t="s">
        <v>1217</v>
      </c>
      <c r="D520" s="115" t="s">
        <v>1221</v>
      </c>
      <c r="E520" s="59" t="s">
        <v>1222</v>
      </c>
      <c r="F520" s="115" t="s">
        <v>1223</v>
      </c>
      <c r="G520" s="59" t="s">
        <v>133</v>
      </c>
      <c r="H520" s="59" t="s">
        <v>134</v>
      </c>
      <c r="I520" s="115" t="s">
        <v>280</v>
      </c>
      <c r="J520" s="125" t="s">
        <v>26</v>
      </c>
      <c r="K520" s="70">
        <v>7.25</v>
      </c>
      <c r="L520" s="139">
        <f>VLOOKUP(E520,'[1]MASTER WORKFILE MY26.2'!$H:$AC,22,0)</f>
        <v>4.0999999999999996</v>
      </c>
      <c r="M520" s="116">
        <f>VLOOKUP(E520,'Spare Parts '!E:M,9,0)</f>
        <v>0</v>
      </c>
      <c r="N520" s="71">
        <f t="shared" si="7"/>
        <v>0</v>
      </c>
      <c r="O520" s="61"/>
      <c r="P520" s="61"/>
      <c r="Q520" s="61" t="s">
        <v>1750</v>
      </c>
    </row>
    <row r="521" spans="1:17" ht="14.4" x14ac:dyDescent="0.3">
      <c r="A521" s="124">
        <v>508</v>
      </c>
      <c r="B521" s="59" t="s">
        <v>492</v>
      </c>
      <c r="C521" s="59" t="s">
        <v>1217</v>
      </c>
      <c r="D521" s="115" t="s">
        <v>1224</v>
      </c>
      <c r="E521" s="59" t="s">
        <v>1225</v>
      </c>
      <c r="F521" s="115" t="s">
        <v>1226</v>
      </c>
      <c r="G521" s="59" t="s">
        <v>133</v>
      </c>
      <c r="H521" s="59" t="s">
        <v>134</v>
      </c>
      <c r="I521" s="115" t="s">
        <v>280</v>
      </c>
      <c r="J521" s="125" t="s">
        <v>26</v>
      </c>
      <c r="K521" s="70">
        <v>12.5</v>
      </c>
      <c r="L521" s="139">
        <f>VLOOKUP(E521,'[1]MASTER WORKFILE MY26.2'!$H:$AC,22,0)</f>
        <v>7.1</v>
      </c>
      <c r="M521" s="116">
        <f>VLOOKUP(E521,'Spare Parts '!E:M,9,0)</f>
        <v>0</v>
      </c>
      <c r="N521" s="71">
        <f t="shared" si="7"/>
        <v>0</v>
      </c>
      <c r="O521" s="61"/>
      <c r="P521" s="61"/>
      <c r="Q521" s="61" t="s">
        <v>1750</v>
      </c>
    </row>
    <row r="522" spans="1:17" ht="14.4" x14ac:dyDescent="0.3">
      <c r="A522" s="124">
        <v>509</v>
      </c>
      <c r="B522" s="59" t="s">
        <v>492</v>
      </c>
      <c r="C522" s="59" t="s">
        <v>1217</v>
      </c>
      <c r="D522" s="115" t="s">
        <v>1227</v>
      </c>
      <c r="E522" s="59" t="s">
        <v>1228</v>
      </c>
      <c r="F522" s="115" t="s">
        <v>1229</v>
      </c>
      <c r="G522" s="59" t="s">
        <v>133</v>
      </c>
      <c r="H522" s="59" t="s">
        <v>134</v>
      </c>
      <c r="I522" s="115" t="s">
        <v>280</v>
      </c>
      <c r="J522" s="125" t="s">
        <v>26</v>
      </c>
      <c r="K522" s="70">
        <v>35.5</v>
      </c>
      <c r="L522" s="139">
        <f>VLOOKUP(E522,'[1]MASTER WORKFILE MY26.2'!$H:$AC,22,0)</f>
        <v>20.100000000000001</v>
      </c>
      <c r="M522" s="116">
        <f>VLOOKUP(E522,'Spare Parts '!E:M,9,0)</f>
        <v>0</v>
      </c>
      <c r="N522" s="71">
        <f t="shared" si="7"/>
        <v>0</v>
      </c>
      <c r="O522" s="61"/>
      <c r="P522" s="61"/>
      <c r="Q522" s="61" t="s">
        <v>1750</v>
      </c>
    </row>
    <row r="523" spans="1:17" ht="14.4" x14ac:dyDescent="0.3">
      <c r="A523" s="124">
        <v>510</v>
      </c>
      <c r="B523" s="59" t="s">
        <v>833</v>
      </c>
      <c r="C523" s="59" t="s">
        <v>1217</v>
      </c>
      <c r="D523" s="115" t="s">
        <v>1230</v>
      </c>
      <c r="E523" s="59" t="s">
        <v>1231</v>
      </c>
      <c r="F523" s="115" t="s">
        <v>1232</v>
      </c>
      <c r="G523" s="59" t="s">
        <v>133</v>
      </c>
      <c r="H523" s="59" t="s">
        <v>134</v>
      </c>
      <c r="I523" s="115" t="s">
        <v>280</v>
      </c>
      <c r="J523" s="125" t="s">
        <v>26</v>
      </c>
      <c r="K523" s="70">
        <v>41.5</v>
      </c>
      <c r="L523" s="139">
        <f>VLOOKUP(E523,'[1]MASTER WORKFILE MY26.2'!$H:$AC,22,0)</f>
        <v>23.5</v>
      </c>
      <c r="M523" s="116">
        <f>VLOOKUP(E523,'Spare Parts '!E:M,9,0)</f>
        <v>0</v>
      </c>
      <c r="N523" s="71">
        <f t="shared" si="7"/>
        <v>0</v>
      </c>
      <c r="O523" s="61" t="s">
        <v>1751</v>
      </c>
      <c r="P523" s="61" t="s">
        <v>1751</v>
      </c>
      <c r="Q523" s="61" t="s">
        <v>1625</v>
      </c>
    </row>
    <row r="524" spans="1:17" ht="14.4" x14ac:dyDescent="0.3">
      <c r="A524" s="124">
        <v>511</v>
      </c>
      <c r="B524" s="59" t="s">
        <v>833</v>
      </c>
      <c r="C524" s="59" t="s">
        <v>1217</v>
      </c>
      <c r="D524" s="115" t="s">
        <v>1233</v>
      </c>
      <c r="E524" s="59" t="s">
        <v>1234</v>
      </c>
      <c r="F524" s="115" t="s">
        <v>1235</v>
      </c>
      <c r="G524" s="59" t="s">
        <v>133</v>
      </c>
      <c r="H524" s="59" t="s">
        <v>134</v>
      </c>
      <c r="I524" s="115" t="s">
        <v>280</v>
      </c>
      <c r="J524" s="125" t="s">
        <v>26</v>
      </c>
      <c r="K524" s="70">
        <v>41.5</v>
      </c>
      <c r="L524" s="139">
        <f>VLOOKUP(E524,'[1]MASTER WORKFILE MY26.2'!$H:$AC,22,0)</f>
        <v>23.5</v>
      </c>
      <c r="M524" s="116">
        <f>VLOOKUP(E524,'Spare Parts '!E:M,9,0)</f>
        <v>0</v>
      </c>
      <c r="N524" s="71">
        <f t="shared" si="7"/>
        <v>0</v>
      </c>
      <c r="O524" s="61" t="s">
        <v>1751</v>
      </c>
      <c r="P524" s="61" t="s">
        <v>1751</v>
      </c>
      <c r="Q524" s="61" t="s">
        <v>1625</v>
      </c>
    </row>
    <row r="525" spans="1:17" ht="14.4" x14ac:dyDescent="0.3">
      <c r="A525" s="124">
        <v>512</v>
      </c>
      <c r="B525" s="59" t="s">
        <v>833</v>
      </c>
      <c r="C525" s="59" t="s">
        <v>1217</v>
      </c>
      <c r="D525" s="115" t="s">
        <v>1236</v>
      </c>
      <c r="E525" s="59" t="s">
        <v>1237</v>
      </c>
      <c r="F525" s="115" t="s">
        <v>1238</v>
      </c>
      <c r="G525" s="59" t="s">
        <v>133</v>
      </c>
      <c r="H525" s="59" t="s">
        <v>134</v>
      </c>
      <c r="I525" s="115" t="s">
        <v>280</v>
      </c>
      <c r="J525" s="125" t="s">
        <v>26</v>
      </c>
      <c r="K525" s="70">
        <v>46</v>
      </c>
      <c r="L525" s="139">
        <f>VLOOKUP(E525,'[1]MASTER WORKFILE MY26.2'!$H:$AC,22,0)</f>
        <v>26</v>
      </c>
      <c r="M525" s="116">
        <f>VLOOKUP(E525,'Spare Parts '!E:M,9,0)</f>
        <v>0</v>
      </c>
      <c r="N525" s="71">
        <f t="shared" ref="N525:N588" si="8">L525*M525</f>
        <v>0</v>
      </c>
      <c r="O525" s="61" t="s">
        <v>1751</v>
      </c>
      <c r="P525" s="61" t="s">
        <v>1751</v>
      </c>
      <c r="Q525" s="61" t="s">
        <v>1625</v>
      </c>
    </row>
    <row r="526" spans="1:17" ht="14.4" x14ac:dyDescent="0.3">
      <c r="A526" s="124">
        <v>513</v>
      </c>
      <c r="B526" s="59" t="s">
        <v>833</v>
      </c>
      <c r="C526" s="59" t="s">
        <v>1217</v>
      </c>
      <c r="D526" s="115" t="s">
        <v>1239</v>
      </c>
      <c r="E526" s="59" t="s">
        <v>1240</v>
      </c>
      <c r="F526" s="115" t="s">
        <v>1241</v>
      </c>
      <c r="G526" s="59" t="s">
        <v>133</v>
      </c>
      <c r="H526" s="59" t="s">
        <v>134</v>
      </c>
      <c r="I526" s="115" t="s">
        <v>280</v>
      </c>
      <c r="J526" s="125" t="s">
        <v>26</v>
      </c>
      <c r="K526" s="70">
        <v>40</v>
      </c>
      <c r="L526" s="139">
        <f>VLOOKUP(E526,'[1]MASTER WORKFILE MY26.2'!$H:$AC,22,0)</f>
        <v>22.6</v>
      </c>
      <c r="M526" s="116">
        <f>VLOOKUP(E526,'Spare Parts '!E:M,9,0)</f>
        <v>0</v>
      </c>
      <c r="N526" s="71">
        <f t="shared" si="8"/>
        <v>0</v>
      </c>
      <c r="O526" s="61" t="s">
        <v>1751</v>
      </c>
      <c r="P526" s="61" t="s">
        <v>1751</v>
      </c>
      <c r="Q526" s="61" t="s">
        <v>1625</v>
      </c>
    </row>
    <row r="527" spans="1:17" ht="14.4" x14ac:dyDescent="0.3">
      <c r="A527" s="124">
        <v>514</v>
      </c>
      <c r="B527" s="59" t="s">
        <v>833</v>
      </c>
      <c r="C527" s="59" t="s">
        <v>1217</v>
      </c>
      <c r="D527" s="115" t="s">
        <v>1242</v>
      </c>
      <c r="E527" s="59" t="s">
        <v>1243</v>
      </c>
      <c r="F527" s="115" t="s">
        <v>1244</v>
      </c>
      <c r="G527" s="59" t="s">
        <v>133</v>
      </c>
      <c r="H527" s="59" t="s">
        <v>134</v>
      </c>
      <c r="I527" s="115" t="s">
        <v>280</v>
      </c>
      <c r="J527" s="125" t="s">
        <v>26</v>
      </c>
      <c r="K527" s="70">
        <v>466</v>
      </c>
      <c r="L527" s="139">
        <f>VLOOKUP(E527,'[1]MASTER WORKFILE MY26.2'!$H:$AC,22,0)</f>
        <v>263.20000000000005</v>
      </c>
      <c r="M527" s="116">
        <f>VLOOKUP(E527,'Spare Parts '!E:M,9,0)</f>
        <v>0</v>
      </c>
      <c r="N527" s="71">
        <f t="shared" si="8"/>
        <v>0</v>
      </c>
      <c r="O527" s="61" t="s">
        <v>1751</v>
      </c>
      <c r="P527" s="61" t="s">
        <v>1751</v>
      </c>
      <c r="Q527" s="61" t="s">
        <v>1625</v>
      </c>
    </row>
    <row r="528" spans="1:17" ht="14.4" x14ac:dyDescent="0.3">
      <c r="A528" s="124">
        <v>515</v>
      </c>
      <c r="B528" s="59" t="s">
        <v>833</v>
      </c>
      <c r="C528" s="59" t="s">
        <v>1217</v>
      </c>
      <c r="D528" s="115" t="s">
        <v>1245</v>
      </c>
      <c r="E528" s="59" t="s">
        <v>1246</v>
      </c>
      <c r="F528" s="115" t="s">
        <v>1247</v>
      </c>
      <c r="G528" s="59" t="s">
        <v>161</v>
      </c>
      <c r="H528" s="59" t="s">
        <v>162</v>
      </c>
      <c r="I528" s="115" t="s">
        <v>280</v>
      </c>
      <c r="J528" s="125" t="s">
        <v>26</v>
      </c>
      <c r="K528" s="70">
        <v>102.5</v>
      </c>
      <c r="L528" s="139">
        <f>VLOOKUP(E528,'[1]MASTER WORKFILE MY26.2'!$H:$AC,22,0)</f>
        <v>57.9</v>
      </c>
      <c r="M528" s="116">
        <f>VLOOKUP(E528,'Spare Parts '!E:M,9,0)</f>
        <v>0</v>
      </c>
      <c r="N528" s="71">
        <f t="shared" si="8"/>
        <v>0</v>
      </c>
      <c r="O528" s="61" t="s">
        <v>1756</v>
      </c>
      <c r="P528" s="61" t="s">
        <v>1756</v>
      </c>
      <c r="Q528" s="61" t="s">
        <v>1625</v>
      </c>
    </row>
    <row r="529" spans="1:17" ht="14.4" x14ac:dyDescent="0.3">
      <c r="A529" s="124">
        <v>516</v>
      </c>
      <c r="B529" s="122" t="s">
        <v>833</v>
      </c>
      <c r="C529" s="122" t="s">
        <v>1217</v>
      </c>
      <c r="D529" s="123" t="s">
        <v>1248</v>
      </c>
      <c r="E529" s="122" t="s">
        <v>1249</v>
      </c>
      <c r="F529" s="123" t="s">
        <v>1250</v>
      </c>
      <c r="G529" s="122" t="s">
        <v>886</v>
      </c>
      <c r="H529" s="122" t="s">
        <v>887</v>
      </c>
      <c r="I529" s="123" t="s">
        <v>280</v>
      </c>
      <c r="J529" s="125" t="s">
        <v>26</v>
      </c>
      <c r="K529" s="70">
        <v>12.5</v>
      </c>
      <c r="L529" s="139">
        <f>VLOOKUP(E529,'[1]MASTER WORKFILE MY26.2'!$H:$AC,22,0)</f>
        <v>7.1</v>
      </c>
      <c r="M529" s="116">
        <f>VLOOKUP(E529,'Spare Parts '!E:M,9,0)</f>
        <v>0</v>
      </c>
      <c r="N529" s="71">
        <f t="shared" si="8"/>
        <v>0</v>
      </c>
      <c r="O529" s="61" t="s">
        <v>1751</v>
      </c>
      <c r="P529" s="61" t="s">
        <v>1751</v>
      </c>
      <c r="Q529" s="61" t="s">
        <v>1625</v>
      </c>
    </row>
    <row r="530" spans="1:17" ht="14.4" x14ac:dyDescent="0.3">
      <c r="A530" s="124">
        <v>517</v>
      </c>
      <c r="B530" s="122" t="s">
        <v>833</v>
      </c>
      <c r="C530" s="122" t="s">
        <v>1217</v>
      </c>
      <c r="D530" s="123" t="s">
        <v>1251</v>
      </c>
      <c r="E530" s="122" t="s">
        <v>1252</v>
      </c>
      <c r="F530" s="123" t="s">
        <v>1253</v>
      </c>
      <c r="G530" s="122" t="s">
        <v>133</v>
      </c>
      <c r="H530" s="122" t="s">
        <v>134</v>
      </c>
      <c r="I530" s="123" t="s">
        <v>1254</v>
      </c>
      <c r="J530" s="125" t="s">
        <v>26</v>
      </c>
      <c r="K530" s="70">
        <v>45</v>
      </c>
      <c r="L530" s="139">
        <f>VLOOKUP(E530,'[1]MASTER WORKFILE MY26.2'!$H:$AC,22,0)</f>
        <v>25.5</v>
      </c>
      <c r="M530" s="116">
        <f>VLOOKUP(E530,'Spare Parts '!E:M,9,0)</f>
        <v>0</v>
      </c>
      <c r="N530" s="71">
        <f t="shared" si="8"/>
        <v>0</v>
      </c>
      <c r="O530" s="61" t="s">
        <v>1757</v>
      </c>
      <c r="P530" s="61" t="s">
        <v>1757</v>
      </c>
      <c r="Q530" s="61" t="s">
        <v>1625</v>
      </c>
    </row>
    <row r="531" spans="1:17" ht="14.4" x14ac:dyDescent="0.3">
      <c r="A531" s="124">
        <v>518</v>
      </c>
      <c r="B531" s="122" t="s">
        <v>833</v>
      </c>
      <c r="C531" s="122" t="s">
        <v>1217</v>
      </c>
      <c r="D531" s="123" t="s">
        <v>1255</v>
      </c>
      <c r="E531" s="122" t="s">
        <v>1256</v>
      </c>
      <c r="F531" s="123" t="s">
        <v>1257</v>
      </c>
      <c r="G531" s="122" t="s">
        <v>133</v>
      </c>
      <c r="H531" s="122" t="s">
        <v>134</v>
      </c>
      <c r="I531" s="123" t="s">
        <v>280</v>
      </c>
      <c r="J531" s="125" t="s">
        <v>26</v>
      </c>
      <c r="K531" s="70">
        <v>60</v>
      </c>
      <c r="L531" s="139">
        <f>VLOOKUP(E531,'[1]MASTER WORKFILE MY26.2'!$H:$AC,22,0)</f>
        <v>33.9</v>
      </c>
      <c r="M531" s="116">
        <f>VLOOKUP(E531,'Spare Parts '!E:M,9,0)</f>
        <v>0</v>
      </c>
      <c r="N531" s="71">
        <f t="shared" si="8"/>
        <v>0</v>
      </c>
      <c r="O531" s="61" t="s">
        <v>1751</v>
      </c>
      <c r="P531" s="61" t="s">
        <v>1751</v>
      </c>
      <c r="Q531" s="61" t="s">
        <v>1625</v>
      </c>
    </row>
    <row r="532" spans="1:17" ht="14.4" x14ac:dyDescent="0.3">
      <c r="A532" s="124">
        <v>519</v>
      </c>
      <c r="B532" s="122" t="s">
        <v>833</v>
      </c>
      <c r="C532" s="122" t="s">
        <v>1217</v>
      </c>
      <c r="D532" s="123" t="s">
        <v>1258</v>
      </c>
      <c r="E532" s="122" t="s">
        <v>1259</v>
      </c>
      <c r="F532" s="123" t="s">
        <v>1260</v>
      </c>
      <c r="G532" s="122" t="s">
        <v>133</v>
      </c>
      <c r="H532" s="122" t="s">
        <v>134</v>
      </c>
      <c r="I532" s="123" t="s">
        <v>1261</v>
      </c>
      <c r="J532" s="125" t="s">
        <v>26</v>
      </c>
      <c r="K532" s="70">
        <v>15.5</v>
      </c>
      <c r="L532" s="139">
        <f>VLOOKUP(E532,'[1]MASTER WORKFILE MY26.2'!$H:$AC,22,0)</f>
        <v>8.7999999999999989</v>
      </c>
      <c r="M532" s="116">
        <f>VLOOKUP(E532,'Spare Parts '!E:M,9,0)</f>
        <v>0</v>
      </c>
      <c r="N532" s="71">
        <f t="shared" si="8"/>
        <v>0</v>
      </c>
      <c r="O532" s="61" t="s">
        <v>1757</v>
      </c>
      <c r="P532" s="61" t="s">
        <v>1757</v>
      </c>
      <c r="Q532" s="61" t="s">
        <v>1625</v>
      </c>
    </row>
    <row r="533" spans="1:17" ht="14.4" x14ac:dyDescent="0.3">
      <c r="A533" s="124">
        <v>520</v>
      </c>
      <c r="B533" s="59" t="s">
        <v>833</v>
      </c>
      <c r="C533" s="59" t="s">
        <v>1217</v>
      </c>
      <c r="D533" s="115" t="s">
        <v>1262</v>
      </c>
      <c r="E533" s="59" t="s">
        <v>1263</v>
      </c>
      <c r="F533" s="115" t="s">
        <v>1264</v>
      </c>
      <c r="G533" s="59" t="s">
        <v>133</v>
      </c>
      <c r="H533" s="115" t="s">
        <v>134</v>
      </c>
      <c r="I533" s="115" t="s">
        <v>280</v>
      </c>
      <c r="J533" s="125" t="s">
        <v>26</v>
      </c>
      <c r="K533" s="70">
        <v>102</v>
      </c>
      <c r="L533" s="139">
        <f>VLOOKUP(E533,'[1]MASTER WORKFILE MY26.2'!$H:$AC,22,0)</f>
        <v>57.6</v>
      </c>
      <c r="M533" s="116">
        <f>VLOOKUP(E533,'Spare Parts '!E:M,9,0)</f>
        <v>0</v>
      </c>
      <c r="N533" s="71">
        <f t="shared" si="8"/>
        <v>0</v>
      </c>
      <c r="O533" s="61"/>
      <c r="P533" s="61"/>
      <c r="Q533" s="61" t="s">
        <v>1750</v>
      </c>
    </row>
    <row r="534" spans="1:17" ht="14.4" x14ac:dyDescent="0.3">
      <c r="A534" s="124">
        <v>521</v>
      </c>
      <c r="B534" s="59" t="s">
        <v>1014</v>
      </c>
      <c r="C534" s="59" t="s">
        <v>1217</v>
      </c>
      <c r="D534" s="115" t="s">
        <v>1265</v>
      </c>
      <c r="E534" s="59" t="s">
        <v>1266</v>
      </c>
      <c r="F534" s="115" t="s">
        <v>1267</v>
      </c>
      <c r="G534" s="59" t="s">
        <v>133</v>
      </c>
      <c r="H534" s="115" t="s">
        <v>134</v>
      </c>
      <c r="I534" s="115" t="s">
        <v>280</v>
      </c>
      <c r="J534" s="125" t="s">
        <v>26</v>
      </c>
      <c r="K534" s="70">
        <v>15.5</v>
      </c>
      <c r="L534" s="139">
        <f>VLOOKUP(E534,'[1]MASTER WORKFILE MY26.2'!$H:$AC,22,0)</f>
        <v>8.7999999999999989</v>
      </c>
      <c r="M534" s="116">
        <f>VLOOKUP(E534,'Spare Parts '!E:M,9,0)</f>
        <v>0</v>
      </c>
      <c r="N534" s="71">
        <f t="shared" si="8"/>
        <v>0</v>
      </c>
      <c r="O534" s="61"/>
      <c r="P534" s="61"/>
      <c r="Q534" s="61" t="s">
        <v>1750</v>
      </c>
    </row>
    <row r="535" spans="1:17" ht="14.4" x14ac:dyDescent="0.3">
      <c r="A535" s="124">
        <v>522</v>
      </c>
      <c r="B535" s="59" t="s">
        <v>1014</v>
      </c>
      <c r="C535" s="59" t="s">
        <v>1217</v>
      </c>
      <c r="D535" s="115" t="s">
        <v>1268</v>
      </c>
      <c r="E535" s="59" t="s">
        <v>1269</v>
      </c>
      <c r="F535" s="115" t="s">
        <v>1270</v>
      </c>
      <c r="G535" s="59" t="s">
        <v>133</v>
      </c>
      <c r="H535" s="115" t="s">
        <v>134</v>
      </c>
      <c r="I535" s="115" t="s">
        <v>280</v>
      </c>
      <c r="J535" s="125" t="s">
        <v>26</v>
      </c>
      <c r="K535" s="70">
        <v>35</v>
      </c>
      <c r="L535" s="139">
        <f>VLOOKUP(E535,'[1]MASTER WORKFILE MY26.2'!$H:$AC,22,0)</f>
        <v>19.8</v>
      </c>
      <c r="M535" s="116">
        <f>VLOOKUP(E535,'Spare Parts '!E:M,9,0)</f>
        <v>0</v>
      </c>
      <c r="N535" s="71">
        <f t="shared" si="8"/>
        <v>0</v>
      </c>
      <c r="O535" s="61"/>
      <c r="P535" s="61"/>
      <c r="Q535" s="61" t="s">
        <v>1750</v>
      </c>
    </row>
    <row r="536" spans="1:17" ht="14.4" x14ac:dyDescent="0.3">
      <c r="A536" s="124">
        <v>523</v>
      </c>
      <c r="B536" s="59" t="s">
        <v>1014</v>
      </c>
      <c r="C536" s="59" t="s">
        <v>1217</v>
      </c>
      <c r="D536" s="115" t="s">
        <v>1271</v>
      </c>
      <c r="E536" s="59" t="s">
        <v>1272</v>
      </c>
      <c r="F536" s="115" t="s">
        <v>1273</v>
      </c>
      <c r="G536" s="59" t="s">
        <v>886</v>
      </c>
      <c r="H536" s="115" t="s">
        <v>887</v>
      </c>
      <c r="I536" s="115" t="s">
        <v>280</v>
      </c>
      <c r="J536" s="125" t="s">
        <v>26</v>
      </c>
      <c r="K536" s="70">
        <v>16.5</v>
      </c>
      <c r="L536" s="139">
        <f>VLOOKUP(E536,'[1]MASTER WORKFILE MY26.2'!$H:$AC,22,0)</f>
        <v>9.4</v>
      </c>
      <c r="M536" s="116">
        <f>VLOOKUP(E536,'Spare Parts '!E:M,9,0)</f>
        <v>0</v>
      </c>
      <c r="N536" s="71">
        <f t="shared" si="8"/>
        <v>0</v>
      </c>
      <c r="O536" s="61"/>
      <c r="P536" s="61"/>
      <c r="Q536" s="61" t="s">
        <v>1750</v>
      </c>
    </row>
    <row r="537" spans="1:17" ht="14.4" x14ac:dyDescent="0.3">
      <c r="A537" s="124">
        <v>524</v>
      </c>
      <c r="B537" s="59" t="s">
        <v>1014</v>
      </c>
      <c r="C537" s="59" t="s">
        <v>1217</v>
      </c>
      <c r="D537" s="115" t="s">
        <v>1274</v>
      </c>
      <c r="E537" s="59" t="s">
        <v>1275</v>
      </c>
      <c r="F537" s="115" t="s">
        <v>1276</v>
      </c>
      <c r="G537" s="59" t="s">
        <v>133</v>
      </c>
      <c r="H537" s="115" t="s">
        <v>134</v>
      </c>
      <c r="I537" s="115" t="s">
        <v>280</v>
      </c>
      <c r="J537" s="125" t="s">
        <v>26</v>
      </c>
      <c r="K537" s="70">
        <v>10.5</v>
      </c>
      <c r="L537" s="139">
        <f>VLOOKUP(E537,'[1]MASTER WORKFILE MY26.2'!$H:$AC,22,0)</f>
        <v>6</v>
      </c>
      <c r="M537" s="116">
        <f>VLOOKUP(E537,'Spare Parts '!E:M,9,0)</f>
        <v>0</v>
      </c>
      <c r="N537" s="71">
        <f t="shared" si="8"/>
        <v>0</v>
      </c>
      <c r="O537" s="61"/>
      <c r="P537" s="61"/>
      <c r="Q537" s="61" t="s">
        <v>1750</v>
      </c>
    </row>
    <row r="538" spans="1:17" ht="14.4" x14ac:dyDescent="0.3">
      <c r="A538" s="124">
        <v>525</v>
      </c>
      <c r="B538" s="59" t="s">
        <v>1014</v>
      </c>
      <c r="C538" s="59" t="s">
        <v>1217</v>
      </c>
      <c r="D538" s="115" t="s">
        <v>1277</v>
      </c>
      <c r="E538" s="59" t="s">
        <v>1278</v>
      </c>
      <c r="F538" s="115" t="s">
        <v>1279</v>
      </c>
      <c r="G538" s="59" t="s">
        <v>133</v>
      </c>
      <c r="H538" s="115" t="s">
        <v>134</v>
      </c>
      <c r="I538" s="115" t="s">
        <v>280</v>
      </c>
      <c r="J538" s="125" t="s">
        <v>26</v>
      </c>
      <c r="K538" s="70">
        <v>15.5</v>
      </c>
      <c r="L538" s="139">
        <f>VLOOKUP(E538,'[1]MASTER WORKFILE MY26.2'!$H:$AC,22,0)</f>
        <v>8.7999999999999989</v>
      </c>
      <c r="M538" s="116">
        <f>VLOOKUP(E538,'Spare Parts '!E:M,9,0)</f>
        <v>0</v>
      </c>
      <c r="N538" s="71">
        <f t="shared" si="8"/>
        <v>0</v>
      </c>
      <c r="O538" s="61"/>
      <c r="P538" s="61"/>
      <c r="Q538" s="61" t="s">
        <v>1750</v>
      </c>
    </row>
    <row r="539" spans="1:17" ht="14.4" x14ac:dyDescent="0.3">
      <c r="A539" s="124">
        <v>526</v>
      </c>
      <c r="B539" s="59" t="s">
        <v>1014</v>
      </c>
      <c r="C539" s="59" t="s">
        <v>1217</v>
      </c>
      <c r="D539" s="115" t="s">
        <v>1280</v>
      </c>
      <c r="E539" s="59" t="s">
        <v>1281</v>
      </c>
      <c r="F539" s="115" t="s">
        <v>1282</v>
      </c>
      <c r="G539" s="59" t="s">
        <v>133</v>
      </c>
      <c r="H539" s="115" t="s">
        <v>134</v>
      </c>
      <c r="I539" s="115" t="s">
        <v>280</v>
      </c>
      <c r="J539" s="125" t="s">
        <v>26</v>
      </c>
      <c r="K539" s="70">
        <v>15.5</v>
      </c>
      <c r="L539" s="139">
        <f>VLOOKUP(E539,'[1]MASTER WORKFILE MY26.2'!$H:$AC,22,0)</f>
        <v>8.7999999999999989</v>
      </c>
      <c r="M539" s="116">
        <f>VLOOKUP(E539,'Spare Parts '!E:M,9,0)</f>
        <v>0</v>
      </c>
      <c r="N539" s="71">
        <f t="shared" si="8"/>
        <v>0</v>
      </c>
      <c r="O539" s="61"/>
      <c r="P539" s="61"/>
      <c r="Q539" s="61" t="s">
        <v>1750</v>
      </c>
    </row>
    <row r="540" spans="1:17" ht="14.4" x14ac:dyDescent="0.3">
      <c r="A540" s="124">
        <v>527</v>
      </c>
      <c r="B540" s="59" t="s">
        <v>1014</v>
      </c>
      <c r="C540" s="59" t="s">
        <v>1217</v>
      </c>
      <c r="D540" s="115" t="s">
        <v>1283</v>
      </c>
      <c r="E540" s="59" t="s">
        <v>1284</v>
      </c>
      <c r="F540" s="115" t="s">
        <v>1285</v>
      </c>
      <c r="G540" s="59" t="s">
        <v>133</v>
      </c>
      <c r="H540" s="115" t="s">
        <v>134</v>
      </c>
      <c r="I540" s="115" t="s">
        <v>280</v>
      </c>
      <c r="J540" s="125" t="s">
        <v>26</v>
      </c>
      <c r="K540" s="70">
        <v>15.5</v>
      </c>
      <c r="L540" s="139">
        <f>VLOOKUP(E540,'[1]MASTER WORKFILE MY26.2'!$H:$AC,22,0)</f>
        <v>8.7999999999999989</v>
      </c>
      <c r="M540" s="116">
        <f>VLOOKUP(E540,'Spare Parts '!E:M,9,0)</f>
        <v>0</v>
      </c>
      <c r="N540" s="71">
        <f t="shared" si="8"/>
        <v>0</v>
      </c>
      <c r="O540" s="61"/>
      <c r="P540" s="61"/>
      <c r="Q540" s="61" t="s">
        <v>1750</v>
      </c>
    </row>
    <row r="541" spans="1:17" ht="14.4" x14ac:dyDescent="0.3">
      <c r="A541" s="124">
        <v>528</v>
      </c>
      <c r="B541" s="59" t="s">
        <v>1286</v>
      </c>
      <c r="C541" s="59" t="s">
        <v>1217</v>
      </c>
      <c r="D541" s="115" t="s">
        <v>1287</v>
      </c>
      <c r="E541" s="59" t="s">
        <v>1288</v>
      </c>
      <c r="F541" s="115" t="s">
        <v>1289</v>
      </c>
      <c r="G541" s="59" t="s">
        <v>133</v>
      </c>
      <c r="H541" s="115" t="s">
        <v>134</v>
      </c>
      <c r="I541" s="115" t="s">
        <v>280</v>
      </c>
      <c r="J541" s="125" t="s">
        <v>26</v>
      </c>
      <c r="K541" s="70">
        <v>24.5</v>
      </c>
      <c r="L541" s="139">
        <f>VLOOKUP(E541,'[1]MASTER WORKFILE MY26.2'!$H:$AC,22,0)</f>
        <v>13.9</v>
      </c>
      <c r="M541" s="116">
        <f>VLOOKUP(E541,'Spare Parts '!E:M,9,0)</f>
        <v>0</v>
      </c>
      <c r="N541" s="71">
        <f t="shared" si="8"/>
        <v>0</v>
      </c>
      <c r="O541" s="61"/>
      <c r="P541" s="61"/>
      <c r="Q541" s="61" t="s">
        <v>1750</v>
      </c>
    </row>
    <row r="542" spans="1:17" ht="14.4" x14ac:dyDescent="0.3">
      <c r="A542" s="124">
        <v>529</v>
      </c>
      <c r="B542" s="59" t="s">
        <v>1286</v>
      </c>
      <c r="C542" s="59" t="s">
        <v>1217</v>
      </c>
      <c r="D542" s="115" t="s">
        <v>1290</v>
      </c>
      <c r="E542" s="59" t="s">
        <v>1291</v>
      </c>
      <c r="F542" s="115" t="s">
        <v>1292</v>
      </c>
      <c r="G542" s="59" t="s">
        <v>133</v>
      </c>
      <c r="H542" s="115" t="s">
        <v>134</v>
      </c>
      <c r="I542" s="115" t="s">
        <v>280</v>
      </c>
      <c r="J542" s="125" t="s">
        <v>26</v>
      </c>
      <c r="K542" s="70">
        <v>19.5</v>
      </c>
      <c r="L542" s="139">
        <f>VLOOKUP(E542,'[1]MASTER WORKFILE MY26.2'!$H:$AC,22,0)</f>
        <v>11.1</v>
      </c>
      <c r="M542" s="116">
        <f>VLOOKUP(E542,'Spare Parts '!E:M,9,0)</f>
        <v>0</v>
      </c>
      <c r="N542" s="71">
        <f t="shared" si="8"/>
        <v>0</v>
      </c>
      <c r="O542" s="61"/>
      <c r="P542" s="61"/>
      <c r="Q542" s="61" t="s">
        <v>1750</v>
      </c>
    </row>
    <row r="543" spans="1:17" ht="14.4" x14ac:dyDescent="0.3">
      <c r="A543" s="124">
        <v>530</v>
      </c>
      <c r="B543" s="59" t="s">
        <v>1286</v>
      </c>
      <c r="C543" s="59" t="s">
        <v>1217</v>
      </c>
      <c r="D543" s="115" t="s">
        <v>1293</v>
      </c>
      <c r="E543" s="59" t="s">
        <v>1294</v>
      </c>
      <c r="F543" s="115" t="s">
        <v>1295</v>
      </c>
      <c r="G543" s="59" t="s">
        <v>987</v>
      </c>
      <c r="H543" s="115" t="s">
        <v>988</v>
      </c>
      <c r="I543" s="115" t="s">
        <v>280</v>
      </c>
      <c r="J543" s="125" t="s">
        <v>26</v>
      </c>
      <c r="K543" s="70">
        <v>20</v>
      </c>
      <c r="L543" s="139">
        <f>VLOOKUP(E543,'[1]MASTER WORKFILE MY26.2'!$H:$AC,22,0)</f>
        <v>11.299999999999999</v>
      </c>
      <c r="M543" s="116">
        <f>VLOOKUP(E543,'Spare Parts '!E:M,9,0)</f>
        <v>0</v>
      </c>
      <c r="N543" s="71">
        <f t="shared" si="8"/>
        <v>0</v>
      </c>
      <c r="O543" s="61"/>
      <c r="P543" s="61"/>
      <c r="Q543" s="61" t="s">
        <v>1750</v>
      </c>
    </row>
    <row r="544" spans="1:17" ht="14.4" x14ac:dyDescent="0.3">
      <c r="A544" s="124">
        <v>531</v>
      </c>
      <c r="B544" s="59" t="s">
        <v>1286</v>
      </c>
      <c r="C544" s="59" t="s">
        <v>1217</v>
      </c>
      <c r="D544" s="115" t="s">
        <v>1296</v>
      </c>
      <c r="E544" s="59" t="s">
        <v>1297</v>
      </c>
      <c r="F544" s="115" t="s">
        <v>1298</v>
      </c>
      <c r="G544" s="59" t="s">
        <v>161</v>
      </c>
      <c r="H544" s="115" t="s">
        <v>792</v>
      </c>
      <c r="I544" s="115" t="s">
        <v>280</v>
      </c>
      <c r="J544" s="125" t="s">
        <v>26</v>
      </c>
      <c r="K544" s="70">
        <v>22.5</v>
      </c>
      <c r="L544" s="139">
        <f>VLOOKUP(E544,'[1]MASTER WORKFILE MY26.2'!$H:$AC,22,0)</f>
        <v>12.799999999999999</v>
      </c>
      <c r="M544" s="116">
        <f>VLOOKUP(E544,'Spare Parts '!E:M,9,0)</f>
        <v>0</v>
      </c>
      <c r="N544" s="71">
        <f t="shared" si="8"/>
        <v>0</v>
      </c>
      <c r="O544" s="61"/>
      <c r="P544" s="61"/>
      <c r="Q544" s="61" t="s">
        <v>1750</v>
      </c>
    </row>
    <row r="545" spans="1:17" ht="14.4" x14ac:dyDescent="0.3">
      <c r="A545" s="124">
        <v>532</v>
      </c>
      <c r="B545" s="59" t="s">
        <v>1286</v>
      </c>
      <c r="C545" s="59" t="s">
        <v>1217</v>
      </c>
      <c r="D545" s="115" t="s">
        <v>1299</v>
      </c>
      <c r="E545" s="59" t="s">
        <v>1300</v>
      </c>
      <c r="F545" s="115" t="s">
        <v>1301</v>
      </c>
      <c r="G545" s="59" t="s">
        <v>133</v>
      </c>
      <c r="H545" s="115" t="s">
        <v>134</v>
      </c>
      <c r="I545" s="115" t="s">
        <v>280</v>
      </c>
      <c r="J545" s="125" t="s">
        <v>26</v>
      </c>
      <c r="K545" s="70">
        <v>10.5</v>
      </c>
      <c r="L545" s="139">
        <f>VLOOKUP(E545,'[1]MASTER WORKFILE MY26.2'!$H:$AC,22,0)</f>
        <v>6</v>
      </c>
      <c r="M545" s="116">
        <f>VLOOKUP(E545,'Spare Parts '!E:M,9,0)</f>
        <v>0</v>
      </c>
      <c r="N545" s="71">
        <f t="shared" si="8"/>
        <v>0</v>
      </c>
      <c r="O545" s="61"/>
      <c r="P545" s="61"/>
      <c r="Q545" s="61" t="s">
        <v>1750</v>
      </c>
    </row>
    <row r="546" spans="1:17" ht="14.4" x14ac:dyDescent="0.3">
      <c r="A546" s="124">
        <v>533</v>
      </c>
      <c r="B546" s="59" t="s">
        <v>1286</v>
      </c>
      <c r="C546" s="59" t="s">
        <v>1217</v>
      </c>
      <c r="D546" s="115" t="s">
        <v>1302</v>
      </c>
      <c r="E546" s="59" t="s">
        <v>1303</v>
      </c>
      <c r="F546" s="115" t="s">
        <v>1304</v>
      </c>
      <c r="G546" s="59" t="s">
        <v>133</v>
      </c>
      <c r="H546" s="59" t="s">
        <v>134</v>
      </c>
      <c r="I546" s="115" t="s">
        <v>280</v>
      </c>
      <c r="J546" s="125" t="s">
        <v>26</v>
      </c>
      <c r="K546" s="70">
        <v>10.5</v>
      </c>
      <c r="L546" s="139">
        <f>VLOOKUP(E546,'[1]MASTER WORKFILE MY26.2'!$H:$AC,22,0)</f>
        <v>6</v>
      </c>
      <c r="M546" s="116">
        <f>VLOOKUP(E546,'Spare Parts '!E:M,9,0)</f>
        <v>0</v>
      </c>
      <c r="N546" s="71">
        <f t="shared" si="8"/>
        <v>0</v>
      </c>
      <c r="O546" s="61"/>
      <c r="P546" s="61"/>
      <c r="Q546" s="61" t="s">
        <v>1750</v>
      </c>
    </row>
    <row r="547" spans="1:17" ht="14.4" x14ac:dyDescent="0.3">
      <c r="A547" s="124">
        <v>534</v>
      </c>
      <c r="B547" s="59" t="s">
        <v>1286</v>
      </c>
      <c r="C547" s="59" t="s">
        <v>1217</v>
      </c>
      <c r="D547" s="115" t="s">
        <v>1305</v>
      </c>
      <c r="E547" s="59" t="s">
        <v>1306</v>
      </c>
      <c r="F547" s="115" t="s">
        <v>1307</v>
      </c>
      <c r="G547" s="59" t="s">
        <v>843</v>
      </c>
      <c r="H547" s="59" t="s">
        <v>844</v>
      </c>
      <c r="I547" s="115" t="s">
        <v>280</v>
      </c>
      <c r="J547" s="125" t="s">
        <v>26</v>
      </c>
      <c r="K547" s="70">
        <v>100</v>
      </c>
      <c r="L547" s="139">
        <f>VLOOKUP(E547,'[1]MASTER WORKFILE MY26.2'!$H:$AC,22,0)</f>
        <v>56.5</v>
      </c>
      <c r="M547" s="116">
        <f>VLOOKUP(E547,'Spare Parts '!E:M,9,0)</f>
        <v>0</v>
      </c>
      <c r="N547" s="71">
        <f t="shared" si="8"/>
        <v>0</v>
      </c>
      <c r="O547" s="61"/>
      <c r="P547" s="61"/>
      <c r="Q547" s="61" t="s">
        <v>1750</v>
      </c>
    </row>
    <row r="548" spans="1:17" ht="14.4" x14ac:dyDescent="0.3">
      <c r="A548" s="124">
        <v>535</v>
      </c>
      <c r="B548" s="59" t="s">
        <v>1286</v>
      </c>
      <c r="C548" s="59" t="s">
        <v>1217</v>
      </c>
      <c r="D548" s="115" t="s">
        <v>1308</v>
      </c>
      <c r="E548" s="59" t="s">
        <v>1309</v>
      </c>
      <c r="F548" s="115" t="s">
        <v>1310</v>
      </c>
      <c r="G548" s="59" t="s">
        <v>161</v>
      </c>
      <c r="H548" s="115" t="s">
        <v>162</v>
      </c>
      <c r="I548" s="115" t="s">
        <v>280</v>
      </c>
      <c r="J548" s="125" t="s">
        <v>26</v>
      </c>
      <c r="K548" s="70">
        <v>18.5</v>
      </c>
      <c r="L548" s="139">
        <f>VLOOKUP(E548,'[1]MASTER WORKFILE MY26.2'!$H:$AC,22,0)</f>
        <v>10.5</v>
      </c>
      <c r="M548" s="116">
        <f>VLOOKUP(E548,'Spare Parts '!E:M,9,0)</f>
        <v>0</v>
      </c>
      <c r="N548" s="71">
        <f t="shared" si="8"/>
        <v>0</v>
      </c>
      <c r="O548" s="61"/>
      <c r="P548" s="61"/>
      <c r="Q548" s="61" t="s">
        <v>1750</v>
      </c>
    </row>
    <row r="549" spans="1:17" ht="14.4" x14ac:dyDescent="0.3">
      <c r="A549" s="124">
        <v>536</v>
      </c>
      <c r="B549" s="59" t="s">
        <v>1286</v>
      </c>
      <c r="C549" s="59" t="s">
        <v>1217</v>
      </c>
      <c r="D549" s="115" t="s">
        <v>1311</v>
      </c>
      <c r="E549" s="59" t="s">
        <v>1312</v>
      </c>
      <c r="F549" s="115" t="s">
        <v>1313</v>
      </c>
      <c r="G549" s="59" t="s">
        <v>161</v>
      </c>
      <c r="H549" s="115" t="s">
        <v>162</v>
      </c>
      <c r="I549" s="115" t="s">
        <v>163</v>
      </c>
      <c r="J549" s="125" t="s">
        <v>26</v>
      </c>
      <c r="K549" s="70">
        <v>172.5</v>
      </c>
      <c r="L549" s="139">
        <f>VLOOKUP(E549,'[1]MASTER WORKFILE MY26.2'!$H:$AC,22,0)</f>
        <v>97.5</v>
      </c>
      <c r="M549" s="116">
        <f>VLOOKUP(E549,'Spare Parts '!E:M,9,0)</f>
        <v>0</v>
      </c>
      <c r="N549" s="71">
        <f t="shared" si="8"/>
        <v>0</v>
      </c>
      <c r="O549" s="61" t="s">
        <v>1760</v>
      </c>
      <c r="P549" s="61" t="s">
        <v>1760</v>
      </c>
      <c r="Q549" s="61" t="s">
        <v>1625</v>
      </c>
    </row>
    <row r="550" spans="1:17" ht="14.4" x14ac:dyDescent="0.3">
      <c r="A550" s="124">
        <v>537</v>
      </c>
      <c r="B550" s="59" t="s">
        <v>1286</v>
      </c>
      <c r="C550" s="59" t="s">
        <v>1217</v>
      </c>
      <c r="D550" s="115" t="s">
        <v>1311</v>
      </c>
      <c r="E550" s="59" t="s">
        <v>1314</v>
      </c>
      <c r="F550" s="115" t="s">
        <v>1313</v>
      </c>
      <c r="G550" s="59" t="s">
        <v>161</v>
      </c>
      <c r="H550" s="115" t="s">
        <v>162</v>
      </c>
      <c r="I550" s="115" t="s">
        <v>165</v>
      </c>
      <c r="J550" s="125" t="s">
        <v>26</v>
      </c>
      <c r="K550" s="70">
        <v>172.5</v>
      </c>
      <c r="L550" s="139">
        <f>VLOOKUP(E550,'[1]MASTER WORKFILE MY26.2'!$H:$AC,22,0)</f>
        <v>97.5</v>
      </c>
      <c r="M550" s="116">
        <f>VLOOKUP(E550,'Spare Parts '!E:M,9,0)</f>
        <v>0</v>
      </c>
      <c r="N550" s="71">
        <f t="shared" si="8"/>
        <v>0</v>
      </c>
      <c r="O550" s="61" t="s">
        <v>1760</v>
      </c>
      <c r="P550" s="61" t="s">
        <v>1760</v>
      </c>
      <c r="Q550" s="61" t="s">
        <v>1625</v>
      </c>
    </row>
    <row r="551" spans="1:17" ht="14.4" x14ac:dyDescent="0.3">
      <c r="A551" s="124">
        <v>538</v>
      </c>
      <c r="B551" s="59" t="s">
        <v>1286</v>
      </c>
      <c r="C551" s="59" t="s">
        <v>1217</v>
      </c>
      <c r="D551" s="115" t="s">
        <v>1311</v>
      </c>
      <c r="E551" s="59" t="s">
        <v>1315</v>
      </c>
      <c r="F551" s="115" t="s">
        <v>1313</v>
      </c>
      <c r="G551" s="59" t="s">
        <v>161</v>
      </c>
      <c r="H551" s="115" t="s">
        <v>162</v>
      </c>
      <c r="I551" s="115" t="s">
        <v>167</v>
      </c>
      <c r="J551" s="125" t="s">
        <v>26</v>
      </c>
      <c r="K551" s="70">
        <v>172.5</v>
      </c>
      <c r="L551" s="139">
        <f>VLOOKUP(E551,'[1]MASTER WORKFILE MY26.2'!$H:$AC,22,0)</f>
        <v>97.5</v>
      </c>
      <c r="M551" s="116">
        <f>VLOOKUP(E551,'Spare Parts '!E:M,9,0)</f>
        <v>0</v>
      </c>
      <c r="N551" s="71">
        <f t="shared" si="8"/>
        <v>0</v>
      </c>
      <c r="O551" s="61" t="s">
        <v>1760</v>
      </c>
      <c r="P551" s="61" t="s">
        <v>1760</v>
      </c>
      <c r="Q551" s="61" t="s">
        <v>1625</v>
      </c>
    </row>
    <row r="552" spans="1:17" ht="14.4" x14ac:dyDescent="0.3">
      <c r="A552" s="124">
        <v>539</v>
      </c>
      <c r="B552" s="59" t="s">
        <v>1286</v>
      </c>
      <c r="C552" s="59" t="s">
        <v>1217</v>
      </c>
      <c r="D552" s="115" t="s">
        <v>1316</v>
      </c>
      <c r="E552" s="59" t="s">
        <v>1317</v>
      </c>
      <c r="F552" s="115" t="s">
        <v>1318</v>
      </c>
      <c r="G552" s="59" t="s">
        <v>133</v>
      </c>
      <c r="H552" s="115" t="s">
        <v>134</v>
      </c>
      <c r="I552" s="115" t="s">
        <v>280</v>
      </c>
      <c r="J552" s="125" t="s">
        <v>26</v>
      </c>
      <c r="K552" s="70">
        <v>8</v>
      </c>
      <c r="L552" s="139">
        <f>VLOOKUP(E552,'[1]MASTER WORKFILE MY26.2'!$H:$AC,22,0)</f>
        <v>4.5999999999999996</v>
      </c>
      <c r="M552" s="116">
        <f>VLOOKUP(E552,'Spare Parts '!E:M,9,0)</f>
        <v>0</v>
      </c>
      <c r="N552" s="71">
        <f t="shared" si="8"/>
        <v>0</v>
      </c>
      <c r="O552" s="61"/>
      <c r="P552" s="61"/>
      <c r="Q552" s="61" t="s">
        <v>1750</v>
      </c>
    </row>
    <row r="553" spans="1:17" ht="14.4" x14ac:dyDescent="0.3">
      <c r="A553" s="124">
        <v>540</v>
      </c>
      <c r="B553" s="59" t="s">
        <v>1286</v>
      </c>
      <c r="C553" s="59" t="s">
        <v>1217</v>
      </c>
      <c r="D553" s="115" t="s">
        <v>1319</v>
      </c>
      <c r="E553" s="59" t="s">
        <v>1320</v>
      </c>
      <c r="F553" s="115" t="s">
        <v>1321</v>
      </c>
      <c r="G553" s="59" t="s">
        <v>843</v>
      </c>
      <c r="H553" s="59" t="s">
        <v>844</v>
      </c>
      <c r="I553" s="115" t="s">
        <v>280</v>
      </c>
      <c r="J553" s="125" t="s">
        <v>26</v>
      </c>
      <c r="K553" s="70">
        <v>117.5</v>
      </c>
      <c r="L553" s="139">
        <f>VLOOKUP(E553,'[1]MASTER WORKFILE MY26.2'!$H:$AC,22,0)</f>
        <v>66.399999999999991</v>
      </c>
      <c r="M553" s="116">
        <f>VLOOKUP(E553,'Spare Parts '!E:M,9,0)</f>
        <v>0</v>
      </c>
      <c r="N553" s="71">
        <f t="shared" si="8"/>
        <v>0</v>
      </c>
      <c r="O553" s="61"/>
      <c r="P553" s="61"/>
      <c r="Q553" s="61" t="s">
        <v>1750</v>
      </c>
    </row>
    <row r="554" spans="1:17" ht="14.4" x14ac:dyDescent="0.3">
      <c r="A554" s="124">
        <v>541</v>
      </c>
      <c r="B554" s="59" t="s">
        <v>1286</v>
      </c>
      <c r="C554" s="59" t="s">
        <v>1217</v>
      </c>
      <c r="D554" s="115" t="s">
        <v>1322</v>
      </c>
      <c r="E554" s="59" t="s">
        <v>1323</v>
      </c>
      <c r="F554" s="115" t="s">
        <v>1324</v>
      </c>
      <c r="G554" s="59" t="s">
        <v>133</v>
      </c>
      <c r="H554" s="59" t="s">
        <v>134</v>
      </c>
      <c r="I554" s="115" t="s">
        <v>280</v>
      </c>
      <c r="J554" s="125" t="s">
        <v>26</v>
      </c>
      <c r="K554" s="70">
        <v>16.5</v>
      </c>
      <c r="L554" s="139">
        <f>VLOOKUP(E554,'[1]MASTER WORKFILE MY26.2'!$H:$AC,22,0)</f>
        <v>9.4</v>
      </c>
      <c r="M554" s="116">
        <f>VLOOKUP(E554,'Spare Parts '!E:M,9,0)</f>
        <v>0</v>
      </c>
      <c r="N554" s="71">
        <f t="shared" si="8"/>
        <v>0</v>
      </c>
      <c r="O554" s="61"/>
      <c r="P554" s="61"/>
      <c r="Q554" s="61" t="s">
        <v>1750</v>
      </c>
    </row>
    <row r="555" spans="1:17" ht="14.4" x14ac:dyDescent="0.3">
      <c r="A555" s="124">
        <v>542</v>
      </c>
      <c r="B555" s="59" t="s">
        <v>1286</v>
      </c>
      <c r="C555" s="59" t="s">
        <v>1217</v>
      </c>
      <c r="D555" s="115" t="s">
        <v>1325</v>
      </c>
      <c r="E555" s="59" t="s">
        <v>1326</v>
      </c>
      <c r="F555" s="115" t="s">
        <v>1327</v>
      </c>
      <c r="G555" s="59" t="s">
        <v>133</v>
      </c>
      <c r="H555" s="59" t="s">
        <v>134</v>
      </c>
      <c r="I555" s="115" t="s">
        <v>280</v>
      </c>
      <c r="J555" s="125" t="s">
        <v>26</v>
      </c>
      <c r="K555" s="70">
        <v>24.5</v>
      </c>
      <c r="L555" s="139">
        <f>VLOOKUP(E555,'[1]MASTER WORKFILE MY26.2'!$H:$AC,22,0)</f>
        <v>13.9</v>
      </c>
      <c r="M555" s="116">
        <f>VLOOKUP(E555,'Spare Parts '!E:M,9,0)</f>
        <v>0</v>
      </c>
      <c r="N555" s="71">
        <f t="shared" si="8"/>
        <v>0</v>
      </c>
      <c r="O555" s="61"/>
      <c r="P555" s="61"/>
      <c r="Q555" s="61" t="s">
        <v>1750</v>
      </c>
    </row>
    <row r="556" spans="1:17" ht="14.4" x14ac:dyDescent="0.3">
      <c r="A556" s="124">
        <v>543</v>
      </c>
      <c r="B556" s="59" t="s">
        <v>1286</v>
      </c>
      <c r="C556" s="59" t="s">
        <v>1217</v>
      </c>
      <c r="D556" s="115" t="s">
        <v>1328</v>
      </c>
      <c r="E556" s="59" t="s">
        <v>1329</v>
      </c>
      <c r="F556" s="115" t="s">
        <v>1330</v>
      </c>
      <c r="G556" s="59" t="s">
        <v>987</v>
      </c>
      <c r="H556" s="59" t="s">
        <v>988</v>
      </c>
      <c r="I556" s="115" t="s">
        <v>280</v>
      </c>
      <c r="J556" s="125" t="s">
        <v>26</v>
      </c>
      <c r="K556" s="70">
        <v>18.5</v>
      </c>
      <c r="L556" s="139">
        <f>VLOOKUP(E556,'[1]MASTER WORKFILE MY26.2'!$H:$AC,22,0)</f>
        <v>10.5</v>
      </c>
      <c r="M556" s="116">
        <f>VLOOKUP(E556,'Spare Parts '!E:M,9,0)</f>
        <v>0</v>
      </c>
      <c r="N556" s="71">
        <f t="shared" si="8"/>
        <v>0</v>
      </c>
      <c r="O556" s="61"/>
      <c r="P556" s="61"/>
      <c r="Q556" s="61" t="s">
        <v>1750</v>
      </c>
    </row>
    <row r="557" spans="1:17" ht="14.4" x14ac:dyDescent="0.3">
      <c r="A557" s="124">
        <v>544</v>
      </c>
      <c r="B557" s="59" t="s">
        <v>1286</v>
      </c>
      <c r="C557" s="59" t="s">
        <v>1217</v>
      </c>
      <c r="D557" s="115" t="s">
        <v>1331</v>
      </c>
      <c r="E557" s="59" t="s">
        <v>1332</v>
      </c>
      <c r="F557" s="115" t="s">
        <v>1333</v>
      </c>
      <c r="G557" s="59" t="s">
        <v>161</v>
      </c>
      <c r="H557" s="59" t="s">
        <v>162</v>
      </c>
      <c r="I557" s="115" t="s">
        <v>280</v>
      </c>
      <c r="J557" s="125" t="s">
        <v>26</v>
      </c>
      <c r="K557" s="70">
        <v>41.5</v>
      </c>
      <c r="L557" s="139">
        <f>VLOOKUP(E557,'[1]MASTER WORKFILE MY26.2'!$H:$AC,22,0)</f>
        <v>23.5</v>
      </c>
      <c r="M557" s="116">
        <f>VLOOKUP(E557,'Spare Parts '!E:M,9,0)</f>
        <v>0</v>
      </c>
      <c r="N557" s="71">
        <f t="shared" si="8"/>
        <v>0</v>
      </c>
      <c r="O557" s="61"/>
      <c r="P557" s="61"/>
      <c r="Q557" s="61" t="s">
        <v>1750</v>
      </c>
    </row>
    <row r="558" spans="1:17" ht="14.4" x14ac:dyDescent="0.3">
      <c r="A558" s="124">
        <v>545</v>
      </c>
      <c r="B558" s="59" t="s">
        <v>1286</v>
      </c>
      <c r="C558" s="59" t="s">
        <v>1217</v>
      </c>
      <c r="D558" s="115" t="s">
        <v>1334</v>
      </c>
      <c r="E558" s="59" t="s">
        <v>1335</v>
      </c>
      <c r="F558" s="115" t="s">
        <v>1336</v>
      </c>
      <c r="G558" s="59" t="s">
        <v>133</v>
      </c>
      <c r="H558" s="59" t="s">
        <v>134</v>
      </c>
      <c r="I558" s="115" t="s">
        <v>270</v>
      </c>
      <c r="J558" s="125" t="s">
        <v>1037</v>
      </c>
      <c r="K558" s="70">
        <v>12.5</v>
      </c>
      <c r="L558" s="139">
        <f>VLOOKUP(E558,'[1]MASTER WORKFILE MY26.2'!$H:$AC,22,0)</f>
        <v>7.1</v>
      </c>
      <c r="M558" s="119">
        <f>VLOOKUP(E558,'Spare Parts '!E:M,9,0)</f>
        <v>0</v>
      </c>
      <c r="N558" s="71">
        <f t="shared" si="8"/>
        <v>0</v>
      </c>
      <c r="O558" s="61" t="s">
        <v>1754</v>
      </c>
      <c r="P558" s="61" t="s">
        <v>1754</v>
      </c>
      <c r="Q558" s="61" t="s">
        <v>1625</v>
      </c>
    </row>
    <row r="559" spans="1:17" ht="14.4" x14ac:dyDescent="0.3">
      <c r="A559" s="124">
        <v>546</v>
      </c>
      <c r="B559" s="59" t="s">
        <v>1286</v>
      </c>
      <c r="C559" s="59" t="s">
        <v>1217</v>
      </c>
      <c r="D559" s="115" t="s">
        <v>1334</v>
      </c>
      <c r="E559" s="59" t="s">
        <v>1337</v>
      </c>
      <c r="F559" s="115" t="s">
        <v>1336</v>
      </c>
      <c r="G559" s="59" t="s">
        <v>133</v>
      </c>
      <c r="H559" s="59" t="s">
        <v>134</v>
      </c>
      <c r="I559" s="115" t="s">
        <v>272</v>
      </c>
      <c r="J559" s="125" t="s">
        <v>26</v>
      </c>
      <c r="K559" s="70">
        <v>12.5</v>
      </c>
      <c r="L559" s="139">
        <f>VLOOKUP(E559,'[1]MASTER WORKFILE MY26.2'!$H:$AC,22,0)</f>
        <v>7.1</v>
      </c>
      <c r="M559" s="119">
        <f>VLOOKUP(E559,'Spare Parts '!E:M,9,0)</f>
        <v>0</v>
      </c>
      <c r="N559" s="71">
        <f t="shared" si="8"/>
        <v>0</v>
      </c>
      <c r="O559" s="61" t="s">
        <v>1754</v>
      </c>
      <c r="P559" s="61" t="s">
        <v>1754</v>
      </c>
      <c r="Q559" s="61" t="s">
        <v>1625</v>
      </c>
    </row>
    <row r="560" spans="1:17" ht="14.4" x14ac:dyDescent="0.3">
      <c r="A560" s="124">
        <v>547</v>
      </c>
      <c r="B560" s="59" t="s">
        <v>1286</v>
      </c>
      <c r="C560" s="59" t="s">
        <v>1217</v>
      </c>
      <c r="D560" s="115" t="s">
        <v>1334</v>
      </c>
      <c r="E560" s="59" t="s">
        <v>1338</v>
      </c>
      <c r="F560" s="115" t="s">
        <v>1336</v>
      </c>
      <c r="G560" s="59" t="s">
        <v>133</v>
      </c>
      <c r="H560" s="59" t="s">
        <v>134</v>
      </c>
      <c r="I560" s="115" t="s">
        <v>274</v>
      </c>
      <c r="J560" s="125" t="s">
        <v>26</v>
      </c>
      <c r="K560" s="70">
        <v>12.5</v>
      </c>
      <c r="L560" s="139">
        <f>VLOOKUP(E560,'[1]MASTER WORKFILE MY26.2'!$H:$AC,22,0)</f>
        <v>7.1</v>
      </c>
      <c r="M560" s="119">
        <f>VLOOKUP(E560,'Spare Parts '!E:M,9,0)</f>
        <v>0</v>
      </c>
      <c r="N560" s="71">
        <f t="shared" si="8"/>
        <v>0</v>
      </c>
      <c r="O560" s="61" t="s">
        <v>1754</v>
      </c>
      <c r="P560" s="61" t="s">
        <v>1754</v>
      </c>
      <c r="Q560" s="61" t="s">
        <v>1625</v>
      </c>
    </row>
    <row r="561" spans="1:17" ht="14.4" x14ac:dyDescent="0.3">
      <c r="A561" s="124">
        <v>548</v>
      </c>
      <c r="B561" s="59" t="s">
        <v>1286</v>
      </c>
      <c r="C561" s="59" t="s">
        <v>1217</v>
      </c>
      <c r="D561" s="115" t="s">
        <v>1339</v>
      </c>
      <c r="E561" s="59" t="s">
        <v>1340</v>
      </c>
      <c r="F561" s="115" t="s">
        <v>1341</v>
      </c>
      <c r="G561" s="59" t="s">
        <v>161</v>
      </c>
      <c r="H561" s="59" t="s">
        <v>162</v>
      </c>
      <c r="I561" s="115" t="s">
        <v>280</v>
      </c>
      <c r="J561" s="125" t="s">
        <v>26</v>
      </c>
      <c r="K561" s="70">
        <v>60.5</v>
      </c>
      <c r="L561" s="139">
        <f>VLOOKUP(E561,'[1]MASTER WORKFILE MY26.2'!$H:$AC,22,0)</f>
        <v>34.200000000000003</v>
      </c>
      <c r="M561" s="119">
        <f>VLOOKUP(E561,'Spare Parts '!E:M,9,0)</f>
        <v>0</v>
      </c>
      <c r="N561" s="71">
        <f t="shared" si="8"/>
        <v>0</v>
      </c>
      <c r="O561" s="61"/>
      <c r="P561" s="61"/>
      <c r="Q561" s="61" t="s">
        <v>1750</v>
      </c>
    </row>
    <row r="562" spans="1:17" ht="14.4" x14ac:dyDescent="0.3">
      <c r="A562" s="124">
        <v>549</v>
      </c>
      <c r="B562" s="59" t="s">
        <v>1286</v>
      </c>
      <c r="C562" s="59" t="s">
        <v>1217</v>
      </c>
      <c r="D562" s="115" t="s">
        <v>1342</v>
      </c>
      <c r="E562" s="59" t="s">
        <v>1343</v>
      </c>
      <c r="F562" s="115" t="s">
        <v>1344</v>
      </c>
      <c r="G562" s="59" t="s">
        <v>161</v>
      </c>
      <c r="H562" s="59" t="s">
        <v>162</v>
      </c>
      <c r="I562" s="115" t="s">
        <v>280</v>
      </c>
      <c r="J562" s="125" t="s">
        <v>26</v>
      </c>
      <c r="K562" s="70">
        <v>18.5</v>
      </c>
      <c r="L562" s="139">
        <f>VLOOKUP(E562,'[1]MASTER WORKFILE MY26.2'!$H:$AC,22,0)</f>
        <v>10.5</v>
      </c>
      <c r="M562" s="119">
        <f>VLOOKUP(E562,'Spare Parts '!E:M,9,0)</f>
        <v>0</v>
      </c>
      <c r="N562" s="71">
        <f t="shared" si="8"/>
        <v>0</v>
      </c>
      <c r="O562" s="61"/>
      <c r="P562" s="61"/>
      <c r="Q562" s="61" t="s">
        <v>1750</v>
      </c>
    </row>
    <row r="563" spans="1:17" ht="14.4" x14ac:dyDescent="0.3">
      <c r="A563" s="124">
        <v>550</v>
      </c>
      <c r="B563" s="59" t="s">
        <v>1286</v>
      </c>
      <c r="C563" s="59" t="s">
        <v>1217</v>
      </c>
      <c r="D563" s="115" t="s">
        <v>1345</v>
      </c>
      <c r="E563" s="59" t="s">
        <v>1346</v>
      </c>
      <c r="F563" s="115" t="s">
        <v>1347</v>
      </c>
      <c r="G563" s="59" t="s">
        <v>133</v>
      </c>
      <c r="H563" s="59" t="s">
        <v>134</v>
      </c>
      <c r="I563" s="115" t="s">
        <v>280</v>
      </c>
      <c r="J563" s="125" t="s">
        <v>26</v>
      </c>
      <c r="K563" s="70">
        <v>15.5</v>
      </c>
      <c r="L563" s="139">
        <f>VLOOKUP(E563,'[1]MASTER WORKFILE MY26.2'!$H:$AC,22,0)</f>
        <v>8.7999999999999989</v>
      </c>
      <c r="M563" s="119">
        <f>VLOOKUP(E563,'Spare Parts '!E:M,9,0)</f>
        <v>0</v>
      </c>
      <c r="N563" s="71">
        <f t="shared" si="8"/>
        <v>0</v>
      </c>
      <c r="O563" s="61"/>
      <c r="P563" s="61"/>
      <c r="Q563" s="61" t="s">
        <v>1750</v>
      </c>
    </row>
    <row r="564" spans="1:17" ht="14.4" x14ac:dyDescent="0.3">
      <c r="A564" s="124">
        <v>551</v>
      </c>
      <c r="B564" s="59" t="s">
        <v>1286</v>
      </c>
      <c r="C564" s="59" t="s">
        <v>1217</v>
      </c>
      <c r="D564" s="115" t="s">
        <v>1348</v>
      </c>
      <c r="E564" s="59" t="s">
        <v>1349</v>
      </c>
      <c r="F564" s="115" t="s">
        <v>1350</v>
      </c>
      <c r="G564" s="59" t="s">
        <v>161</v>
      </c>
      <c r="H564" s="59" t="s">
        <v>162</v>
      </c>
      <c r="I564" s="115" t="s">
        <v>280</v>
      </c>
      <c r="J564" s="125" t="s">
        <v>26</v>
      </c>
      <c r="K564" s="70">
        <v>30</v>
      </c>
      <c r="L564" s="139">
        <f>VLOOKUP(E564,'[1]MASTER WORKFILE MY26.2'!$H:$AC,22,0)</f>
        <v>17</v>
      </c>
      <c r="M564" s="116">
        <f>VLOOKUP(E564,'Spare Parts '!E:M,9,0)</f>
        <v>0</v>
      </c>
      <c r="N564" s="71">
        <f t="shared" si="8"/>
        <v>0</v>
      </c>
      <c r="O564" s="61"/>
      <c r="P564" s="61"/>
      <c r="Q564" s="61" t="s">
        <v>1750</v>
      </c>
    </row>
    <row r="565" spans="1:17" ht="14.4" x14ac:dyDescent="0.3">
      <c r="A565" s="124">
        <v>552</v>
      </c>
      <c r="B565" s="59" t="s">
        <v>1286</v>
      </c>
      <c r="C565" s="59" t="s">
        <v>1217</v>
      </c>
      <c r="D565" s="115" t="s">
        <v>1351</v>
      </c>
      <c r="E565" s="59" t="s">
        <v>1352</v>
      </c>
      <c r="F565" s="115" t="s">
        <v>1353</v>
      </c>
      <c r="G565" s="59" t="s">
        <v>161</v>
      </c>
      <c r="H565" s="59" t="s">
        <v>162</v>
      </c>
      <c r="I565" s="115" t="s">
        <v>280</v>
      </c>
      <c r="J565" s="125" t="s">
        <v>26</v>
      </c>
      <c r="K565" s="70">
        <v>15.5</v>
      </c>
      <c r="L565" s="139">
        <f>VLOOKUP(E565,'[1]MASTER WORKFILE MY26.2'!$H:$AC,22,0)</f>
        <v>8.7999999999999989</v>
      </c>
      <c r="M565" s="116">
        <f>VLOOKUP(E565,'Spare Parts '!E:M,9,0)</f>
        <v>0</v>
      </c>
      <c r="N565" s="71">
        <f t="shared" si="8"/>
        <v>0</v>
      </c>
      <c r="O565" s="61"/>
      <c r="P565" s="61"/>
      <c r="Q565" s="61" t="s">
        <v>1750</v>
      </c>
    </row>
    <row r="566" spans="1:17" ht="14.4" x14ac:dyDescent="0.3">
      <c r="A566" s="124">
        <v>553</v>
      </c>
      <c r="B566" s="59" t="s">
        <v>1286</v>
      </c>
      <c r="C566" s="59" t="s">
        <v>1217</v>
      </c>
      <c r="D566" s="115" t="s">
        <v>1354</v>
      </c>
      <c r="E566" s="59" t="s">
        <v>1355</v>
      </c>
      <c r="F566" s="115" t="s">
        <v>1356</v>
      </c>
      <c r="G566" s="59" t="s">
        <v>161</v>
      </c>
      <c r="H566" s="59" t="s">
        <v>162</v>
      </c>
      <c r="I566" s="115" t="s">
        <v>280</v>
      </c>
      <c r="J566" s="125" t="s">
        <v>26</v>
      </c>
      <c r="K566" s="70">
        <v>15.5</v>
      </c>
      <c r="L566" s="139">
        <f>VLOOKUP(E566,'[1]MASTER WORKFILE MY26.2'!$H:$AC,22,0)</f>
        <v>8.7999999999999989</v>
      </c>
      <c r="M566" s="116">
        <f>VLOOKUP(E566,'Spare Parts '!E:M,9,0)</f>
        <v>0</v>
      </c>
      <c r="N566" s="71">
        <f t="shared" si="8"/>
        <v>0</v>
      </c>
      <c r="O566" s="61"/>
      <c r="P566" s="61"/>
      <c r="Q566" s="61" t="s">
        <v>1750</v>
      </c>
    </row>
    <row r="567" spans="1:17" ht="14.4" x14ac:dyDescent="0.3">
      <c r="A567" s="124">
        <v>554</v>
      </c>
      <c r="B567" s="59" t="s">
        <v>1286</v>
      </c>
      <c r="C567" s="59" t="s">
        <v>1217</v>
      </c>
      <c r="D567" s="115" t="s">
        <v>1357</v>
      </c>
      <c r="E567" s="59" t="s">
        <v>1358</v>
      </c>
      <c r="F567" s="115" t="s">
        <v>1359</v>
      </c>
      <c r="G567" s="59" t="s">
        <v>161</v>
      </c>
      <c r="H567" s="59" t="s">
        <v>792</v>
      </c>
      <c r="I567" s="115" t="s">
        <v>280</v>
      </c>
      <c r="J567" s="125" t="s">
        <v>26</v>
      </c>
      <c r="K567" s="70">
        <v>30</v>
      </c>
      <c r="L567" s="139">
        <f>VLOOKUP(E567,'[1]MASTER WORKFILE MY26.2'!$H:$AC,22,0)</f>
        <v>17</v>
      </c>
      <c r="M567" s="116">
        <f>VLOOKUP(E567,'Spare Parts '!E:M,9,0)</f>
        <v>0</v>
      </c>
      <c r="N567" s="71">
        <f t="shared" si="8"/>
        <v>0</v>
      </c>
      <c r="O567" s="61"/>
      <c r="P567" s="61"/>
      <c r="Q567" s="61" t="s">
        <v>1750</v>
      </c>
    </row>
    <row r="568" spans="1:17" ht="14.4" x14ac:dyDescent="0.3">
      <c r="A568" s="124">
        <v>555</v>
      </c>
      <c r="B568" s="59" t="s">
        <v>1286</v>
      </c>
      <c r="C568" s="59" t="s">
        <v>1217</v>
      </c>
      <c r="D568" s="115" t="s">
        <v>1360</v>
      </c>
      <c r="E568" s="59" t="s">
        <v>1361</v>
      </c>
      <c r="F568" s="115" t="s">
        <v>1362</v>
      </c>
      <c r="G568" s="59" t="s">
        <v>133</v>
      </c>
      <c r="H568" s="59" t="s">
        <v>134</v>
      </c>
      <c r="I568" s="115" t="s">
        <v>280</v>
      </c>
      <c r="J568" s="125" t="s">
        <v>26</v>
      </c>
      <c r="K568" s="70">
        <v>10.25</v>
      </c>
      <c r="L568" s="139">
        <f>VLOOKUP(E568,'[1]MASTER WORKFILE MY26.2'!$H:$AC,22,0)</f>
        <v>5.8</v>
      </c>
      <c r="M568" s="116">
        <f>VLOOKUP(E568,'Spare Parts '!E:M,9,0)</f>
        <v>0</v>
      </c>
      <c r="N568" s="71">
        <f t="shared" si="8"/>
        <v>0</v>
      </c>
      <c r="O568" s="61"/>
      <c r="P568" s="61"/>
      <c r="Q568" s="61" t="s">
        <v>1750</v>
      </c>
    </row>
    <row r="569" spans="1:17" ht="14.4" x14ac:dyDescent="0.3">
      <c r="A569" s="124">
        <v>556</v>
      </c>
      <c r="B569" s="15" t="s">
        <v>1286</v>
      </c>
      <c r="C569" s="15" t="s">
        <v>1217</v>
      </c>
      <c r="D569" s="16" t="s">
        <v>1363</v>
      </c>
      <c r="E569" s="16" t="s">
        <v>1364</v>
      </c>
      <c r="F569" s="15" t="s">
        <v>1365</v>
      </c>
      <c r="G569" s="16" t="s">
        <v>161</v>
      </c>
      <c r="H569" s="15" t="s">
        <v>162</v>
      </c>
      <c r="I569" s="15" t="s">
        <v>280</v>
      </c>
      <c r="J569" s="125" t="s">
        <v>101</v>
      </c>
      <c r="K569" s="70">
        <v>15</v>
      </c>
      <c r="L569" s="139">
        <f>VLOOKUP(E569,'[1]MASTER WORKFILE MY26.2'!$H:$AC,22,0)</f>
        <v>8.5</v>
      </c>
      <c r="M569" s="116">
        <f>VLOOKUP(E569,'Spare Parts '!E:M,9,0)</f>
        <v>0</v>
      </c>
      <c r="N569" s="71">
        <f t="shared" si="8"/>
        <v>0</v>
      </c>
      <c r="O569" s="61"/>
      <c r="P569" s="61"/>
      <c r="Q569" s="61" t="s">
        <v>1750</v>
      </c>
    </row>
    <row r="570" spans="1:17" ht="14.4" x14ac:dyDescent="0.3">
      <c r="A570" s="124">
        <v>557</v>
      </c>
      <c r="B570" s="59" t="s">
        <v>1286</v>
      </c>
      <c r="C570" s="59" t="s">
        <v>1217</v>
      </c>
      <c r="D570" s="115" t="s">
        <v>1366</v>
      </c>
      <c r="E570" s="59" t="s">
        <v>1367</v>
      </c>
      <c r="F570" s="115" t="s">
        <v>1368</v>
      </c>
      <c r="G570" s="59" t="s">
        <v>987</v>
      </c>
      <c r="H570" s="59" t="s">
        <v>988</v>
      </c>
      <c r="I570" s="115" t="s">
        <v>280</v>
      </c>
      <c r="J570" s="125" t="s">
        <v>26</v>
      </c>
      <c r="K570" s="70">
        <v>46</v>
      </c>
      <c r="L570" s="139">
        <f>VLOOKUP(E570,'[1]MASTER WORKFILE MY26.2'!$H:$AC,22,0)</f>
        <v>26</v>
      </c>
      <c r="M570" s="116">
        <f>VLOOKUP(E570,'Spare Parts '!E:M,9,0)</f>
        <v>0</v>
      </c>
      <c r="N570" s="71">
        <f t="shared" si="8"/>
        <v>0</v>
      </c>
      <c r="O570" s="61"/>
      <c r="P570" s="61"/>
      <c r="Q570" s="61" t="s">
        <v>1750</v>
      </c>
    </row>
    <row r="571" spans="1:17" ht="14.4" x14ac:dyDescent="0.3">
      <c r="A571" s="124">
        <v>558</v>
      </c>
      <c r="B571" s="59" t="s">
        <v>1370</v>
      </c>
      <c r="C571" s="59" t="s">
        <v>1371</v>
      </c>
      <c r="D571" s="115" t="s">
        <v>1372</v>
      </c>
      <c r="E571" s="59" t="s">
        <v>1373</v>
      </c>
      <c r="F571" s="115" t="s">
        <v>1374</v>
      </c>
      <c r="G571" s="59" t="s">
        <v>1375</v>
      </c>
      <c r="H571" s="59" t="s">
        <v>1376</v>
      </c>
      <c r="I571" s="115" t="s">
        <v>1377</v>
      </c>
      <c r="J571" s="125" t="s">
        <v>1037</v>
      </c>
      <c r="K571" s="70">
        <v>54.99</v>
      </c>
      <c r="L571" s="139">
        <f>VLOOKUP(E571,'[1]MASTER WORKFILE MY26.2'!$H:$AC,22,0)</f>
        <v>23.3</v>
      </c>
      <c r="M571" s="116">
        <f>VLOOKUP(E571,'Apparel &amp; POS'!E:M,9,0)</f>
        <v>0</v>
      </c>
      <c r="N571" s="71">
        <f t="shared" si="8"/>
        <v>0</v>
      </c>
      <c r="O571" s="61"/>
      <c r="P571" s="61"/>
      <c r="Q571" s="61" t="s">
        <v>1750</v>
      </c>
    </row>
    <row r="572" spans="1:17" ht="14.4" x14ac:dyDescent="0.3">
      <c r="A572" s="124">
        <v>559</v>
      </c>
      <c r="B572" s="59" t="s">
        <v>1370</v>
      </c>
      <c r="C572" s="59" t="s">
        <v>1371</v>
      </c>
      <c r="D572" s="115" t="s">
        <v>1372</v>
      </c>
      <c r="E572" s="59" t="s">
        <v>1378</v>
      </c>
      <c r="F572" s="115" t="s">
        <v>1374</v>
      </c>
      <c r="G572" s="59" t="s">
        <v>1375</v>
      </c>
      <c r="H572" s="59" t="s">
        <v>1376</v>
      </c>
      <c r="I572" s="115" t="s">
        <v>270</v>
      </c>
      <c r="J572" s="125" t="s">
        <v>1037</v>
      </c>
      <c r="K572" s="70">
        <v>54.99</v>
      </c>
      <c r="L572" s="139">
        <f>VLOOKUP(E572,'[1]MASTER WORKFILE MY26.2'!$H:$AC,22,0)</f>
        <v>23.3</v>
      </c>
      <c r="M572" s="116">
        <f>VLOOKUP(E572,'Apparel &amp; POS'!E:M,9,0)</f>
        <v>0</v>
      </c>
      <c r="N572" s="71">
        <f t="shared" si="8"/>
        <v>0</v>
      </c>
      <c r="O572" s="61"/>
      <c r="P572" s="61"/>
      <c r="Q572" s="61" t="s">
        <v>1750</v>
      </c>
    </row>
    <row r="573" spans="1:17" ht="14.4" x14ac:dyDescent="0.3">
      <c r="A573" s="124">
        <v>560</v>
      </c>
      <c r="B573" s="59" t="s">
        <v>1370</v>
      </c>
      <c r="C573" s="59" t="s">
        <v>1371</v>
      </c>
      <c r="D573" s="115" t="s">
        <v>1372</v>
      </c>
      <c r="E573" s="59" t="s">
        <v>1379</v>
      </c>
      <c r="F573" s="115" t="s">
        <v>1374</v>
      </c>
      <c r="G573" s="59" t="s">
        <v>1375</v>
      </c>
      <c r="H573" s="59" t="s">
        <v>1376</v>
      </c>
      <c r="I573" s="115" t="s">
        <v>272</v>
      </c>
      <c r="J573" s="125" t="s">
        <v>1037</v>
      </c>
      <c r="K573" s="70">
        <v>54.99</v>
      </c>
      <c r="L573" s="139">
        <f>VLOOKUP(E573,'[1]MASTER WORKFILE MY26.2'!$H:$AC,22,0)</f>
        <v>23.3</v>
      </c>
      <c r="M573" s="116">
        <f>VLOOKUP(E573,'Apparel &amp; POS'!E:M,9,0)</f>
        <v>0</v>
      </c>
      <c r="N573" s="71">
        <f t="shared" si="8"/>
        <v>0</v>
      </c>
      <c r="O573" s="61"/>
      <c r="P573" s="61"/>
      <c r="Q573" s="61" t="s">
        <v>1750</v>
      </c>
    </row>
    <row r="574" spans="1:17" ht="14.4" x14ac:dyDescent="0.3">
      <c r="A574" s="124">
        <v>561</v>
      </c>
      <c r="B574" s="59" t="s">
        <v>1370</v>
      </c>
      <c r="C574" s="59" t="s">
        <v>1371</v>
      </c>
      <c r="D574" s="115" t="s">
        <v>1372</v>
      </c>
      <c r="E574" s="59" t="s">
        <v>1380</v>
      </c>
      <c r="F574" s="115" t="s">
        <v>1374</v>
      </c>
      <c r="G574" s="59" t="s">
        <v>1375</v>
      </c>
      <c r="H574" s="59" t="s">
        <v>1376</v>
      </c>
      <c r="I574" s="115" t="s">
        <v>274</v>
      </c>
      <c r="J574" s="125" t="s">
        <v>1037</v>
      </c>
      <c r="K574" s="70">
        <v>54.99</v>
      </c>
      <c r="L574" s="139">
        <f>VLOOKUP(E574,'[1]MASTER WORKFILE MY26.2'!$H:$AC,22,0)</f>
        <v>23.3</v>
      </c>
      <c r="M574" s="119">
        <f>VLOOKUP(E574,'Apparel &amp; POS'!E:M,9,0)</f>
        <v>0</v>
      </c>
      <c r="N574" s="71">
        <f t="shared" si="8"/>
        <v>0</v>
      </c>
      <c r="O574" s="61"/>
      <c r="P574" s="61"/>
      <c r="Q574" s="61" t="s">
        <v>1750</v>
      </c>
    </row>
    <row r="575" spans="1:17" ht="14.4" x14ac:dyDescent="0.3">
      <c r="A575" s="124">
        <v>562</v>
      </c>
      <c r="B575" s="59" t="s">
        <v>1370</v>
      </c>
      <c r="C575" s="59" t="s">
        <v>1371</v>
      </c>
      <c r="D575" s="115" t="s">
        <v>1372</v>
      </c>
      <c r="E575" s="59" t="s">
        <v>1381</v>
      </c>
      <c r="F575" s="115" t="s">
        <v>1374</v>
      </c>
      <c r="G575" s="59" t="s">
        <v>1375</v>
      </c>
      <c r="H575" s="59" t="s">
        <v>1376</v>
      </c>
      <c r="I575" s="115" t="s">
        <v>276</v>
      </c>
      <c r="J575" s="125" t="s">
        <v>1037</v>
      </c>
      <c r="K575" s="70">
        <v>54.99</v>
      </c>
      <c r="L575" s="139">
        <f>VLOOKUP(E575,'[1]MASTER WORKFILE MY26.2'!$H:$AC,22,0)</f>
        <v>23.3</v>
      </c>
      <c r="M575" s="119">
        <f>VLOOKUP(E575,'Apparel &amp; POS'!E:M,9,0)</f>
        <v>0</v>
      </c>
      <c r="N575" s="71">
        <f t="shared" si="8"/>
        <v>0</v>
      </c>
      <c r="O575" s="61"/>
      <c r="P575" s="61"/>
      <c r="Q575" s="61" t="s">
        <v>1750</v>
      </c>
    </row>
    <row r="576" spans="1:17" ht="14.4" x14ac:dyDescent="0.3">
      <c r="A576" s="124">
        <v>563</v>
      </c>
      <c r="B576" s="59" t="s">
        <v>1370</v>
      </c>
      <c r="C576" s="59" t="s">
        <v>1371</v>
      </c>
      <c r="D576" s="115" t="s">
        <v>1372</v>
      </c>
      <c r="E576" s="59" t="s">
        <v>1382</v>
      </c>
      <c r="F576" s="115" t="s">
        <v>1374</v>
      </c>
      <c r="G576" s="59" t="s">
        <v>1375</v>
      </c>
      <c r="H576" s="59" t="s">
        <v>1376</v>
      </c>
      <c r="I576" s="115" t="s">
        <v>1383</v>
      </c>
      <c r="J576" s="125" t="s">
        <v>1037</v>
      </c>
      <c r="K576" s="70">
        <v>54.99</v>
      </c>
      <c r="L576" s="139">
        <f>VLOOKUP(E576,'[1]MASTER WORKFILE MY26.2'!$H:$AC,22,0)</f>
        <v>23.3</v>
      </c>
      <c r="M576" s="119">
        <f>VLOOKUP(E576,'Apparel &amp; POS'!E:M,9,0)</f>
        <v>0</v>
      </c>
      <c r="N576" s="71">
        <f t="shared" si="8"/>
        <v>0</v>
      </c>
      <c r="O576" s="61"/>
      <c r="P576" s="61"/>
      <c r="Q576" s="61" t="s">
        <v>1750</v>
      </c>
    </row>
    <row r="577" spans="1:17" ht="14.4" x14ac:dyDescent="0.3">
      <c r="A577" s="124">
        <v>564</v>
      </c>
      <c r="B577" s="15" t="s">
        <v>1745</v>
      </c>
      <c r="C577" s="15" t="s">
        <v>1371</v>
      </c>
      <c r="D577" s="16" t="s">
        <v>1782</v>
      </c>
      <c r="E577" s="16" t="s">
        <v>1783</v>
      </c>
      <c r="F577" s="15" t="s">
        <v>1784</v>
      </c>
      <c r="G577" s="16" t="s">
        <v>133</v>
      </c>
      <c r="H577" s="15" t="s">
        <v>134</v>
      </c>
      <c r="I577" s="15" t="s">
        <v>1377</v>
      </c>
      <c r="J577" s="136" t="s">
        <v>26</v>
      </c>
      <c r="K577" s="70">
        <v>89.99</v>
      </c>
      <c r="L577" s="139">
        <f>VLOOKUP(E577,'[1]MASTER WORKFILE MY26.2'!$H:$AC,22,0)</f>
        <v>38.200000000000003</v>
      </c>
      <c r="M577" s="119">
        <f>VLOOKUP(E577,'Apparel &amp; POS'!E:M,9,0)</f>
        <v>0</v>
      </c>
      <c r="N577" s="71">
        <f t="shared" si="8"/>
        <v>0</v>
      </c>
      <c r="O577" s="61"/>
      <c r="P577" s="61"/>
      <c r="Q577" s="61" t="s">
        <v>1750</v>
      </c>
    </row>
    <row r="578" spans="1:17" ht="14.4" x14ac:dyDescent="0.3">
      <c r="A578" s="124">
        <v>565</v>
      </c>
      <c r="B578" s="15" t="s">
        <v>1745</v>
      </c>
      <c r="C578" s="15" t="s">
        <v>1371</v>
      </c>
      <c r="D578" s="16" t="s">
        <v>1782</v>
      </c>
      <c r="E578" s="16" t="s">
        <v>1785</v>
      </c>
      <c r="F578" s="15" t="s">
        <v>1784</v>
      </c>
      <c r="G578" s="16" t="s">
        <v>133</v>
      </c>
      <c r="H578" s="15" t="s">
        <v>134</v>
      </c>
      <c r="I578" s="15" t="s">
        <v>270</v>
      </c>
      <c r="J578" s="136" t="s">
        <v>26</v>
      </c>
      <c r="K578" s="70">
        <v>89.99</v>
      </c>
      <c r="L578" s="139">
        <f>VLOOKUP(E578,'[1]MASTER WORKFILE MY26.2'!$H:$AC,22,0)</f>
        <v>38.200000000000003</v>
      </c>
      <c r="M578" s="119">
        <f>VLOOKUP(E578,'Apparel &amp; POS'!E:M,9,0)</f>
        <v>0</v>
      </c>
      <c r="N578" s="71">
        <f t="shared" si="8"/>
        <v>0</v>
      </c>
      <c r="O578" s="61"/>
      <c r="P578" s="61"/>
      <c r="Q578" s="61" t="s">
        <v>1750</v>
      </c>
    </row>
    <row r="579" spans="1:17" ht="14.4" x14ac:dyDescent="0.3">
      <c r="A579" s="124">
        <v>566</v>
      </c>
      <c r="B579" s="15" t="s">
        <v>1745</v>
      </c>
      <c r="C579" s="15" t="s">
        <v>1371</v>
      </c>
      <c r="D579" s="16" t="s">
        <v>1782</v>
      </c>
      <c r="E579" s="16" t="s">
        <v>1786</v>
      </c>
      <c r="F579" s="15" t="s">
        <v>1784</v>
      </c>
      <c r="G579" s="16" t="s">
        <v>133</v>
      </c>
      <c r="H579" s="15" t="s">
        <v>134</v>
      </c>
      <c r="I579" s="15" t="s">
        <v>272</v>
      </c>
      <c r="J579" s="136" t="s">
        <v>26</v>
      </c>
      <c r="K579" s="70">
        <v>89.99</v>
      </c>
      <c r="L579" s="139">
        <f>VLOOKUP(E579,'[1]MASTER WORKFILE MY26.2'!$H:$AC,22,0)</f>
        <v>38.200000000000003</v>
      </c>
      <c r="M579" s="119">
        <f>VLOOKUP(E579,'Apparel &amp; POS'!E:M,9,0)</f>
        <v>0</v>
      </c>
      <c r="N579" s="71">
        <f t="shared" si="8"/>
        <v>0</v>
      </c>
      <c r="O579" s="61"/>
      <c r="P579" s="61"/>
      <c r="Q579" s="61" t="s">
        <v>1750</v>
      </c>
    </row>
    <row r="580" spans="1:17" ht="14.4" x14ac:dyDescent="0.3">
      <c r="A580" s="124">
        <v>567</v>
      </c>
      <c r="B580" s="15" t="s">
        <v>1745</v>
      </c>
      <c r="C580" s="15" t="s">
        <v>1371</v>
      </c>
      <c r="D580" s="16" t="s">
        <v>1782</v>
      </c>
      <c r="E580" s="16" t="s">
        <v>1787</v>
      </c>
      <c r="F580" s="15" t="s">
        <v>1784</v>
      </c>
      <c r="G580" s="16" t="s">
        <v>133</v>
      </c>
      <c r="H580" s="15" t="s">
        <v>134</v>
      </c>
      <c r="I580" s="15" t="s">
        <v>274</v>
      </c>
      <c r="J580" s="136" t="s">
        <v>26</v>
      </c>
      <c r="K580" s="70">
        <v>89.99</v>
      </c>
      <c r="L580" s="139">
        <f>VLOOKUP(E580,'[1]MASTER WORKFILE MY26.2'!$H:$AC,22,0)</f>
        <v>38.200000000000003</v>
      </c>
      <c r="M580" s="119">
        <f>VLOOKUP(E580,'Apparel &amp; POS'!E:M,9,0)</f>
        <v>0</v>
      </c>
      <c r="N580" s="71">
        <f t="shared" si="8"/>
        <v>0</v>
      </c>
      <c r="O580" s="61"/>
      <c r="P580" s="61"/>
      <c r="Q580" s="61" t="s">
        <v>1750</v>
      </c>
    </row>
    <row r="581" spans="1:17" ht="14.4" x14ac:dyDescent="0.3">
      <c r="A581" s="124">
        <v>568</v>
      </c>
      <c r="B581" s="15" t="s">
        <v>1745</v>
      </c>
      <c r="C581" s="15" t="s">
        <v>1371</v>
      </c>
      <c r="D581" s="16" t="s">
        <v>1782</v>
      </c>
      <c r="E581" s="16" t="s">
        <v>1788</v>
      </c>
      <c r="F581" s="15" t="s">
        <v>1784</v>
      </c>
      <c r="G581" s="16" t="s">
        <v>133</v>
      </c>
      <c r="H581" s="15" t="s">
        <v>134</v>
      </c>
      <c r="I581" s="15" t="s">
        <v>276</v>
      </c>
      <c r="J581" s="136" t="s">
        <v>26</v>
      </c>
      <c r="K581" s="70">
        <v>89.99</v>
      </c>
      <c r="L581" s="139">
        <f>VLOOKUP(E581,'[1]MASTER WORKFILE MY26.2'!$H:$AC,22,0)</f>
        <v>38.200000000000003</v>
      </c>
      <c r="M581" s="119">
        <f>VLOOKUP(E581,'Apparel &amp; POS'!E:M,9,0)</f>
        <v>0</v>
      </c>
      <c r="N581" s="71">
        <f t="shared" si="8"/>
        <v>0</v>
      </c>
      <c r="O581" s="61"/>
      <c r="P581" s="61"/>
      <c r="Q581" s="61" t="s">
        <v>1750</v>
      </c>
    </row>
    <row r="582" spans="1:17" ht="14.4" x14ac:dyDescent="0.3">
      <c r="A582" s="124">
        <v>569</v>
      </c>
      <c r="B582" s="15" t="s">
        <v>1745</v>
      </c>
      <c r="C582" s="15" t="s">
        <v>1371</v>
      </c>
      <c r="D582" s="16" t="s">
        <v>1782</v>
      </c>
      <c r="E582" s="16" t="s">
        <v>1789</v>
      </c>
      <c r="F582" s="15" t="s">
        <v>1784</v>
      </c>
      <c r="G582" s="16" t="s">
        <v>133</v>
      </c>
      <c r="H582" s="15" t="s">
        <v>134</v>
      </c>
      <c r="I582" s="15" t="s">
        <v>1383</v>
      </c>
      <c r="J582" s="136" t="s">
        <v>26</v>
      </c>
      <c r="K582" s="70">
        <v>89.99</v>
      </c>
      <c r="L582" s="139">
        <f>VLOOKUP(E582,'[1]MASTER WORKFILE MY26.2'!$H:$AC,22,0)</f>
        <v>38.200000000000003</v>
      </c>
      <c r="M582" s="119">
        <f>VLOOKUP(E582,'Apparel &amp; POS'!E:M,9,0)</f>
        <v>0</v>
      </c>
      <c r="N582" s="71">
        <f t="shared" si="8"/>
        <v>0</v>
      </c>
      <c r="O582" s="61"/>
      <c r="P582" s="61"/>
      <c r="Q582" s="61" t="s">
        <v>1750</v>
      </c>
    </row>
    <row r="583" spans="1:17" ht="14.4" x14ac:dyDescent="0.3">
      <c r="A583" s="124">
        <v>570</v>
      </c>
      <c r="B583" s="15" t="s">
        <v>1370</v>
      </c>
      <c r="C583" s="15" t="s">
        <v>1371</v>
      </c>
      <c r="D583" s="16" t="s">
        <v>1790</v>
      </c>
      <c r="E583" s="16" t="s">
        <v>1791</v>
      </c>
      <c r="F583" s="15" t="s">
        <v>1792</v>
      </c>
      <c r="G583" s="16" t="s">
        <v>58</v>
      </c>
      <c r="H583" s="15" t="s">
        <v>59</v>
      </c>
      <c r="I583" s="15" t="s">
        <v>270</v>
      </c>
      <c r="J583" s="136" t="s">
        <v>26</v>
      </c>
      <c r="K583" s="70">
        <v>36.99</v>
      </c>
      <c r="L583" s="139">
        <f>VLOOKUP(E583,'[1]MASTER WORKFILE MY26.2'!$H:$AC,22,0)</f>
        <v>15.7</v>
      </c>
      <c r="M583" s="119">
        <f>VLOOKUP(E583,'Apparel &amp; POS'!E:M,9,0)</f>
        <v>0</v>
      </c>
      <c r="N583" s="71">
        <f t="shared" si="8"/>
        <v>0</v>
      </c>
      <c r="O583" s="61"/>
      <c r="P583" s="61"/>
      <c r="Q583" s="61" t="s">
        <v>1750</v>
      </c>
    </row>
    <row r="584" spans="1:17" ht="14.4" x14ac:dyDescent="0.3">
      <c r="A584" s="124">
        <v>571</v>
      </c>
      <c r="B584" s="15" t="s">
        <v>1370</v>
      </c>
      <c r="C584" s="15" t="s">
        <v>1371</v>
      </c>
      <c r="D584" s="16" t="s">
        <v>1790</v>
      </c>
      <c r="E584" s="16" t="s">
        <v>1793</v>
      </c>
      <c r="F584" s="15" t="s">
        <v>1792</v>
      </c>
      <c r="G584" s="16" t="s">
        <v>58</v>
      </c>
      <c r="H584" s="15" t="s">
        <v>59</v>
      </c>
      <c r="I584" s="15" t="s">
        <v>272</v>
      </c>
      <c r="J584" s="136" t="s">
        <v>26</v>
      </c>
      <c r="K584" s="70">
        <v>36.99</v>
      </c>
      <c r="L584" s="139">
        <f>VLOOKUP(E584,'[1]MASTER WORKFILE MY26.2'!$H:$AC,22,0)</f>
        <v>15.7</v>
      </c>
      <c r="M584" s="119">
        <f>VLOOKUP(E584,'Apparel &amp; POS'!E:M,9,0)</f>
        <v>0</v>
      </c>
      <c r="N584" s="71">
        <f t="shared" si="8"/>
        <v>0</v>
      </c>
      <c r="O584" s="61"/>
      <c r="P584" s="61"/>
      <c r="Q584" s="61" t="s">
        <v>1750</v>
      </c>
    </row>
    <row r="585" spans="1:17" ht="14.4" x14ac:dyDescent="0.3">
      <c r="A585" s="124">
        <v>572</v>
      </c>
      <c r="B585" s="15" t="s">
        <v>1370</v>
      </c>
      <c r="C585" s="15" t="s">
        <v>1371</v>
      </c>
      <c r="D585" s="16" t="s">
        <v>1790</v>
      </c>
      <c r="E585" s="16" t="s">
        <v>1794</v>
      </c>
      <c r="F585" s="15" t="s">
        <v>1792</v>
      </c>
      <c r="G585" s="16" t="s">
        <v>58</v>
      </c>
      <c r="H585" s="15" t="s">
        <v>59</v>
      </c>
      <c r="I585" s="15" t="s">
        <v>274</v>
      </c>
      <c r="J585" s="136" t="s">
        <v>26</v>
      </c>
      <c r="K585" s="70">
        <v>36.99</v>
      </c>
      <c r="L585" s="139">
        <f>VLOOKUP(E585,'[1]MASTER WORKFILE MY26.2'!$H:$AC,22,0)</f>
        <v>15.7</v>
      </c>
      <c r="M585" s="119">
        <f>VLOOKUP(E585,'Apparel &amp; POS'!E:M,9,0)</f>
        <v>0</v>
      </c>
      <c r="N585" s="71">
        <f t="shared" si="8"/>
        <v>0</v>
      </c>
      <c r="O585" s="61"/>
      <c r="P585" s="61"/>
      <c r="Q585" s="61" t="s">
        <v>1750</v>
      </c>
    </row>
    <row r="586" spans="1:17" ht="14.4" x14ac:dyDescent="0.3">
      <c r="A586" s="124">
        <v>573</v>
      </c>
      <c r="B586" s="15" t="s">
        <v>1370</v>
      </c>
      <c r="C586" s="15" t="s">
        <v>1371</v>
      </c>
      <c r="D586" s="16" t="s">
        <v>1790</v>
      </c>
      <c r="E586" s="16" t="s">
        <v>1795</v>
      </c>
      <c r="F586" s="15" t="s">
        <v>1792</v>
      </c>
      <c r="G586" s="16" t="s">
        <v>58</v>
      </c>
      <c r="H586" s="15" t="s">
        <v>59</v>
      </c>
      <c r="I586" s="15" t="s">
        <v>276</v>
      </c>
      <c r="J586" s="136" t="s">
        <v>26</v>
      </c>
      <c r="K586" s="70">
        <v>36.99</v>
      </c>
      <c r="L586" s="139">
        <f>VLOOKUP(E586,'[1]MASTER WORKFILE MY26.2'!$H:$AC,22,0)</f>
        <v>15.7</v>
      </c>
      <c r="M586" s="119">
        <f>VLOOKUP(E586,'Apparel &amp; POS'!E:M,9,0)</f>
        <v>0</v>
      </c>
      <c r="N586" s="71">
        <f t="shared" si="8"/>
        <v>0</v>
      </c>
      <c r="O586" s="61"/>
      <c r="P586" s="61"/>
      <c r="Q586" s="61" t="s">
        <v>1750</v>
      </c>
    </row>
    <row r="587" spans="1:17" ht="14.4" x14ac:dyDescent="0.3">
      <c r="A587" s="124">
        <v>574</v>
      </c>
      <c r="B587" s="15" t="s">
        <v>1370</v>
      </c>
      <c r="C587" s="15" t="s">
        <v>1371</v>
      </c>
      <c r="D587" s="16" t="s">
        <v>1790</v>
      </c>
      <c r="E587" s="16" t="s">
        <v>1796</v>
      </c>
      <c r="F587" s="15" t="s">
        <v>1792</v>
      </c>
      <c r="G587" s="16" t="s">
        <v>58</v>
      </c>
      <c r="H587" s="15" t="s">
        <v>59</v>
      </c>
      <c r="I587" s="15" t="s">
        <v>1383</v>
      </c>
      <c r="J587" s="136" t="s">
        <v>26</v>
      </c>
      <c r="K587" s="70">
        <v>36.99</v>
      </c>
      <c r="L587" s="139">
        <f>VLOOKUP(E587,'[1]MASTER WORKFILE MY26.2'!$H:$AC,22,0)</f>
        <v>15.7</v>
      </c>
      <c r="M587" s="119">
        <f>VLOOKUP(E587,'Apparel &amp; POS'!E:M,9,0)</f>
        <v>0</v>
      </c>
      <c r="N587" s="71">
        <f t="shared" si="8"/>
        <v>0</v>
      </c>
      <c r="O587" s="61"/>
      <c r="P587" s="61"/>
      <c r="Q587" s="61" t="s">
        <v>1750</v>
      </c>
    </row>
    <row r="588" spans="1:17" ht="14.4" x14ac:dyDescent="0.3">
      <c r="A588" s="124">
        <v>575</v>
      </c>
      <c r="B588" s="15" t="s">
        <v>1370</v>
      </c>
      <c r="C588" s="15" t="s">
        <v>1371</v>
      </c>
      <c r="D588" s="16" t="s">
        <v>1797</v>
      </c>
      <c r="E588" s="16" t="s">
        <v>1798</v>
      </c>
      <c r="F588" s="15" t="s">
        <v>1799</v>
      </c>
      <c r="G588" s="16" t="s">
        <v>133</v>
      </c>
      <c r="H588" s="15" t="s">
        <v>134</v>
      </c>
      <c r="I588" s="15" t="s">
        <v>1377</v>
      </c>
      <c r="J588" s="136" t="s">
        <v>101</v>
      </c>
      <c r="K588" s="70">
        <v>36.99</v>
      </c>
      <c r="L588" s="139">
        <f>VLOOKUP(E588,'[1]MASTER WORKFILE MY26.2'!$H:$AC,22,0)</f>
        <v>15.7</v>
      </c>
      <c r="M588" s="119">
        <f>VLOOKUP(E588,'Apparel &amp; POS'!E:M,9,0)</f>
        <v>0</v>
      </c>
      <c r="N588" s="71">
        <f t="shared" si="8"/>
        <v>0</v>
      </c>
      <c r="O588" s="61"/>
      <c r="P588" s="61"/>
      <c r="Q588" s="61" t="s">
        <v>1750</v>
      </c>
    </row>
    <row r="589" spans="1:17" ht="14.4" x14ac:dyDescent="0.3">
      <c r="A589" s="124">
        <v>576</v>
      </c>
      <c r="B589" s="15" t="s">
        <v>1370</v>
      </c>
      <c r="C589" s="15" t="s">
        <v>1371</v>
      </c>
      <c r="D589" s="16" t="s">
        <v>1797</v>
      </c>
      <c r="E589" s="16" t="s">
        <v>1800</v>
      </c>
      <c r="F589" s="15" t="s">
        <v>1799</v>
      </c>
      <c r="G589" s="16" t="s">
        <v>133</v>
      </c>
      <c r="H589" s="15" t="s">
        <v>134</v>
      </c>
      <c r="I589" s="15" t="s">
        <v>270</v>
      </c>
      <c r="J589" s="136" t="s">
        <v>101</v>
      </c>
      <c r="K589" s="70">
        <v>36.99</v>
      </c>
      <c r="L589" s="139">
        <f>VLOOKUP(E589,'[1]MASTER WORKFILE MY26.2'!$H:$AC,22,0)</f>
        <v>15.7</v>
      </c>
      <c r="M589" s="119">
        <f>VLOOKUP(E589,'Apparel &amp; POS'!E:M,9,0)</f>
        <v>0</v>
      </c>
      <c r="N589" s="71">
        <f t="shared" ref="N589:N652" si="9">L589*M589</f>
        <v>0</v>
      </c>
      <c r="O589" s="61"/>
      <c r="P589" s="61"/>
      <c r="Q589" s="61" t="s">
        <v>1750</v>
      </c>
    </row>
    <row r="590" spans="1:17" ht="14.4" x14ac:dyDescent="0.3">
      <c r="A590" s="124">
        <v>577</v>
      </c>
      <c r="B590" s="15" t="s">
        <v>1370</v>
      </c>
      <c r="C590" s="15" t="s">
        <v>1371</v>
      </c>
      <c r="D590" s="16" t="s">
        <v>1797</v>
      </c>
      <c r="E590" s="16" t="s">
        <v>1801</v>
      </c>
      <c r="F590" s="15" t="s">
        <v>1799</v>
      </c>
      <c r="G590" s="16" t="s">
        <v>133</v>
      </c>
      <c r="H590" s="15" t="s">
        <v>134</v>
      </c>
      <c r="I590" s="15" t="s">
        <v>272</v>
      </c>
      <c r="J590" s="136" t="s">
        <v>101</v>
      </c>
      <c r="K590" s="70">
        <v>36.99</v>
      </c>
      <c r="L590" s="139">
        <f>VLOOKUP(E590,'[1]MASTER WORKFILE MY26.2'!$H:$AC,22,0)</f>
        <v>15.7</v>
      </c>
      <c r="M590" s="119">
        <f>VLOOKUP(E590,'Apparel &amp; POS'!E:M,9,0)</f>
        <v>0</v>
      </c>
      <c r="N590" s="71">
        <f t="shared" si="9"/>
        <v>0</v>
      </c>
      <c r="O590" s="61"/>
      <c r="P590" s="61"/>
      <c r="Q590" s="61" t="s">
        <v>1750</v>
      </c>
    </row>
    <row r="591" spans="1:17" ht="14.4" x14ac:dyDescent="0.3">
      <c r="A591" s="124">
        <v>578</v>
      </c>
      <c r="B591" s="15" t="s">
        <v>1370</v>
      </c>
      <c r="C591" s="15" t="s">
        <v>1371</v>
      </c>
      <c r="D591" s="16" t="s">
        <v>1797</v>
      </c>
      <c r="E591" s="16" t="s">
        <v>1802</v>
      </c>
      <c r="F591" s="15" t="s">
        <v>1799</v>
      </c>
      <c r="G591" s="16" t="s">
        <v>133</v>
      </c>
      <c r="H591" s="15" t="s">
        <v>134</v>
      </c>
      <c r="I591" s="15" t="s">
        <v>274</v>
      </c>
      <c r="J591" s="136" t="s">
        <v>101</v>
      </c>
      <c r="K591" s="70">
        <v>36.99</v>
      </c>
      <c r="L591" s="139">
        <f>VLOOKUP(E591,'[1]MASTER WORKFILE MY26.2'!$H:$AC,22,0)</f>
        <v>15.7</v>
      </c>
      <c r="M591" s="119">
        <f>VLOOKUP(E591,'Apparel &amp; POS'!E:M,9,0)</f>
        <v>0</v>
      </c>
      <c r="N591" s="71">
        <f t="shared" si="9"/>
        <v>0</v>
      </c>
      <c r="O591" s="61"/>
      <c r="P591" s="61"/>
      <c r="Q591" s="61" t="s">
        <v>1750</v>
      </c>
    </row>
    <row r="592" spans="1:17" ht="14.4" x14ac:dyDescent="0.3">
      <c r="A592" s="124">
        <v>579</v>
      </c>
      <c r="B592" s="15" t="s">
        <v>1370</v>
      </c>
      <c r="C592" s="15" t="s">
        <v>1371</v>
      </c>
      <c r="D592" s="16" t="s">
        <v>1797</v>
      </c>
      <c r="E592" s="16" t="s">
        <v>1803</v>
      </c>
      <c r="F592" s="15" t="s">
        <v>1799</v>
      </c>
      <c r="G592" s="16" t="s">
        <v>133</v>
      </c>
      <c r="H592" s="15" t="s">
        <v>134</v>
      </c>
      <c r="I592" s="15" t="s">
        <v>276</v>
      </c>
      <c r="J592" s="136" t="s">
        <v>101</v>
      </c>
      <c r="K592" s="70">
        <v>36.99</v>
      </c>
      <c r="L592" s="139">
        <f>VLOOKUP(E592,'[1]MASTER WORKFILE MY26.2'!$H:$AC,22,0)</f>
        <v>15.7</v>
      </c>
      <c r="M592" s="119">
        <f>VLOOKUP(E592,'Apparel &amp; POS'!E:M,9,0)</f>
        <v>0</v>
      </c>
      <c r="N592" s="71">
        <f t="shared" si="9"/>
        <v>0</v>
      </c>
      <c r="O592" s="61"/>
      <c r="P592" s="61"/>
      <c r="Q592" s="61" t="s">
        <v>1750</v>
      </c>
    </row>
    <row r="593" spans="1:17" ht="14.4" x14ac:dyDescent="0.3">
      <c r="A593" s="124">
        <v>580</v>
      </c>
      <c r="B593" s="15" t="s">
        <v>1370</v>
      </c>
      <c r="C593" s="15" t="s">
        <v>1371</v>
      </c>
      <c r="D593" s="16" t="s">
        <v>1797</v>
      </c>
      <c r="E593" s="16" t="s">
        <v>1804</v>
      </c>
      <c r="F593" s="15" t="s">
        <v>1799</v>
      </c>
      <c r="G593" s="16" t="s">
        <v>133</v>
      </c>
      <c r="H593" s="15" t="s">
        <v>134</v>
      </c>
      <c r="I593" s="15" t="s">
        <v>1383</v>
      </c>
      <c r="J593" s="136" t="s">
        <v>101</v>
      </c>
      <c r="K593" s="70">
        <v>36.99</v>
      </c>
      <c r="L593" s="139">
        <f>VLOOKUP(E593,'[1]MASTER WORKFILE MY26.2'!$H:$AC,22,0)</f>
        <v>15.7</v>
      </c>
      <c r="M593" s="119">
        <f>VLOOKUP(E593,'Apparel &amp; POS'!E:M,9,0)</f>
        <v>0</v>
      </c>
      <c r="N593" s="71">
        <f t="shared" si="9"/>
        <v>0</v>
      </c>
      <c r="O593" s="61"/>
      <c r="P593" s="61"/>
      <c r="Q593" s="61" t="s">
        <v>1750</v>
      </c>
    </row>
    <row r="594" spans="1:17" ht="14.4" x14ac:dyDescent="0.3">
      <c r="A594" s="124">
        <v>581</v>
      </c>
      <c r="B594" s="59" t="s">
        <v>1370</v>
      </c>
      <c r="C594" s="59" t="s">
        <v>1371</v>
      </c>
      <c r="D594" s="115" t="s">
        <v>1384</v>
      </c>
      <c r="E594" s="59" t="s">
        <v>1385</v>
      </c>
      <c r="F594" s="115" t="s">
        <v>1386</v>
      </c>
      <c r="G594" s="59" t="s">
        <v>1387</v>
      </c>
      <c r="H594" s="59" t="s">
        <v>1388</v>
      </c>
      <c r="I594" s="115" t="s">
        <v>270</v>
      </c>
      <c r="J594" s="125" t="s">
        <v>26</v>
      </c>
      <c r="K594" s="70">
        <v>36.99</v>
      </c>
      <c r="L594" s="139">
        <f>VLOOKUP(E594,'[1]MASTER WORKFILE MY26.2'!$H:$AC,22,0)</f>
        <v>15.7</v>
      </c>
      <c r="M594" s="119">
        <f>VLOOKUP(E594,'Apparel &amp; POS'!E:M,9,0)</f>
        <v>0</v>
      </c>
      <c r="N594" s="71">
        <f t="shared" si="9"/>
        <v>0</v>
      </c>
      <c r="O594" s="61"/>
      <c r="P594" s="61"/>
      <c r="Q594" s="61" t="s">
        <v>1750</v>
      </c>
    </row>
    <row r="595" spans="1:17" ht="14.4" x14ac:dyDescent="0.3">
      <c r="A595" s="124">
        <v>582</v>
      </c>
      <c r="B595" s="59" t="s">
        <v>1370</v>
      </c>
      <c r="C595" s="59" t="s">
        <v>1371</v>
      </c>
      <c r="D595" s="115" t="s">
        <v>1384</v>
      </c>
      <c r="E595" s="59" t="s">
        <v>1389</v>
      </c>
      <c r="F595" s="115" t="s">
        <v>1386</v>
      </c>
      <c r="G595" s="59" t="s">
        <v>1387</v>
      </c>
      <c r="H595" s="59" t="s">
        <v>1388</v>
      </c>
      <c r="I595" s="115" t="s">
        <v>272</v>
      </c>
      <c r="J595" s="125" t="s">
        <v>26</v>
      </c>
      <c r="K595" s="70">
        <v>36.99</v>
      </c>
      <c r="L595" s="139">
        <f>VLOOKUP(E595,'[1]MASTER WORKFILE MY26.2'!$H:$AC,22,0)</f>
        <v>15.7</v>
      </c>
      <c r="M595" s="119">
        <f>VLOOKUP(E595,'Apparel &amp; POS'!E:M,9,0)</f>
        <v>0</v>
      </c>
      <c r="N595" s="71">
        <f t="shared" si="9"/>
        <v>0</v>
      </c>
      <c r="O595" s="61"/>
      <c r="P595" s="61"/>
      <c r="Q595" s="61" t="s">
        <v>1750</v>
      </c>
    </row>
    <row r="596" spans="1:17" ht="14.4" x14ac:dyDescent="0.3">
      <c r="A596" s="124">
        <v>583</v>
      </c>
      <c r="B596" s="59" t="s">
        <v>1370</v>
      </c>
      <c r="C596" s="59" t="s">
        <v>1371</v>
      </c>
      <c r="D596" s="115" t="s">
        <v>1384</v>
      </c>
      <c r="E596" s="59" t="s">
        <v>1390</v>
      </c>
      <c r="F596" s="115" t="s">
        <v>1386</v>
      </c>
      <c r="G596" s="59" t="s">
        <v>1387</v>
      </c>
      <c r="H596" s="59" t="s">
        <v>1388</v>
      </c>
      <c r="I596" s="115" t="s">
        <v>274</v>
      </c>
      <c r="J596" s="125" t="s">
        <v>26</v>
      </c>
      <c r="K596" s="70">
        <v>36.99</v>
      </c>
      <c r="L596" s="139">
        <f>VLOOKUP(E596,'[1]MASTER WORKFILE MY26.2'!$H:$AC,22,0)</f>
        <v>15.7</v>
      </c>
      <c r="M596" s="119">
        <f>VLOOKUP(E596,'Apparel &amp; POS'!E:M,9,0)</f>
        <v>0</v>
      </c>
      <c r="N596" s="71">
        <f t="shared" si="9"/>
        <v>0</v>
      </c>
      <c r="O596" s="61"/>
      <c r="P596" s="61"/>
      <c r="Q596" s="61" t="s">
        <v>1750</v>
      </c>
    </row>
    <row r="597" spans="1:17" ht="14.4" x14ac:dyDescent="0.3">
      <c r="A597" s="124">
        <v>584</v>
      </c>
      <c r="B597" s="59" t="s">
        <v>1370</v>
      </c>
      <c r="C597" s="59" t="s">
        <v>1371</v>
      </c>
      <c r="D597" s="115" t="s">
        <v>1384</v>
      </c>
      <c r="E597" s="59" t="s">
        <v>1391</v>
      </c>
      <c r="F597" s="115" t="s">
        <v>1386</v>
      </c>
      <c r="G597" s="59" t="s">
        <v>1387</v>
      </c>
      <c r="H597" s="59" t="s">
        <v>1388</v>
      </c>
      <c r="I597" s="115" t="s">
        <v>276</v>
      </c>
      <c r="J597" s="125" t="s">
        <v>26</v>
      </c>
      <c r="K597" s="70">
        <v>36.99</v>
      </c>
      <c r="L597" s="139">
        <f>VLOOKUP(E597,'[1]MASTER WORKFILE MY26.2'!$H:$AC,22,0)</f>
        <v>15.7</v>
      </c>
      <c r="M597" s="119">
        <f>VLOOKUP(E597,'Apparel &amp; POS'!E:M,9,0)</f>
        <v>0</v>
      </c>
      <c r="N597" s="71">
        <f t="shared" si="9"/>
        <v>0</v>
      </c>
      <c r="O597" s="61"/>
      <c r="P597" s="61"/>
      <c r="Q597" s="61" t="s">
        <v>1750</v>
      </c>
    </row>
    <row r="598" spans="1:17" ht="14.4" x14ac:dyDescent="0.3">
      <c r="A598" s="124">
        <v>585</v>
      </c>
      <c r="B598" s="59" t="s">
        <v>1370</v>
      </c>
      <c r="C598" s="59" t="s">
        <v>1371</v>
      </c>
      <c r="D598" s="115" t="s">
        <v>1384</v>
      </c>
      <c r="E598" s="59" t="s">
        <v>1392</v>
      </c>
      <c r="F598" s="115" t="s">
        <v>1386</v>
      </c>
      <c r="G598" s="59" t="s">
        <v>1387</v>
      </c>
      <c r="H598" s="59" t="s">
        <v>1388</v>
      </c>
      <c r="I598" s="115" t="s">
        <v>1383</v>
      </c>
      <c r="J598" s="125" t="s">
        <v>26</v>
      </c>
      <c r="K598" s="70">
        <v>36.99</v>
      </c>
      <c r="L598" s="139">
        <f>VLOOKUP(E598,'[1]MASTER WORKFILE MY26.2'!$H:$AC,22,0)</f>
        <v>15.7</v>
      </c>
      <c r="M598" s="119">
        <f>VLOOKUP(E598,'Apparel &amp; POS'!E:M,9,0)</f>
        <v>0</v>
      </c>
      <c r="N598" s="71">
        <f t="shared" si="9"/>
        <v>0</v>
      </c>
      <c r="O598" s="61"/>
      <c r="P598" s="61"/>
      <c r="Q598" s="61" t="s">
        <v>1750</v>
      </c>
    </row>
    <row r="599" spans="1:17" ht="14.4" x14ac:dyDescent="0.3">
      <c r="A599" s="124">
        <v>586</v>
      </c>
      <c r="B599" s="59" t="s">
        <v>1370</v>
      </c>
      <c r="C599" s="59" t="s">
        <v>1371</v>
      </c>
      <c r="D599" s="115" t="s">
        <v>1393</v>
      </c>
      <c r="E599" s="59" t="s">
        <v>1394</v>
      </c>
      <c r="F599" s="115" t="s">
        <v>1395</v>
      </c>
      <c r="G599" s="59" t="s">
        <v>1396</v>
      </c>
      <c r="H599" s="59" t="s">
        <v>1397</v>
      </c>
      <c r="I599" s="115" t="s">
        <v>270</v>
      </c>
      <c r="J599" s="125" t="s">
        <v>26</v>
      </c>
      <c r="K599" s="70">
        <v>36.99</v>
      </c>
      <c r="L599" s="139">
        <f>VLOOKUP(E599,'[1]MASTER WORKFILE MY26.2'!$H:$AC,22,0)</f>
        <v>15.7</v>
      </c>
      <c r="M599" s="119">
        <f>VLOOKUP(E599,'Apparel &amp; POS'!E:M,9,0)</f>
        <v>0</v>
      </c>
      <c r="N599" s="71">
        <f t="shared" si="9"/>
        <v>0</v>
      </c>
      <c r="O599" s="61"/>
      <c r="P599" s="61"/>
      <c r="Q599" s="61" t="s">
        <v>1750</v>
      </c>
    </row>
    <row r="600" spans="1:17" ht="14.4" x14ac:dyDescent="0.3">
      <c r="A600" s="124">
        <v>587</v>
      </c>
      <c r="B600" s="59" t="s">
        <v>1370</v>
      </c>
      <c r="C600" s="59" t="s">
        <v>1371</v>
      </c>
      <c r="D600" s="115" t="s">
        <v>1393</v>
      </c>
      <c r="E600" s="59" t="s">
        <v>1398</v>
      </c>
      <c r="F600" s="115" t="s">
        <v>1395</v>
      </c>
      <c r="G600" s="59" t="s">
        <v>1396</v>
      </c>
      <c r="H600" s="59" t="s">
        <v>1397</v>
      </c>
      <c r="I600" s="115" t="s">
        <v>272</v>
      </c>
      <c r="J600" s="125" t="s">
        <v>26</v>
      </c>
      <c r="K600" s="70">
        <v>36.99</v>
      </c>
      <c r="L600" s="139">
        <f>VLOOKUP(E600,'[1]MASTER WORKFILE MY26.2'!$H:$AC,22,0)</f>
        <v>15.7</v>
      </c>
      <c r="M600" s="119">
        <f>VLOOKUP(E600,'Apparel &amp; POS'!E:M,9,0)</f>
        <v>0</v>
      </c>
      <c r="N600" s="71">
        <f t="shared" si="9"/>
        <v>0</v>
      </c>
      <c r="O600" s="61"/>
      <c r="P600" s="61"/>
      <c r="Q600" s="61" t="s">
        <v>1750</v>
      </c>
    </row>
    <row r="601" spans="1:17" ht="14.4" x14ac:dyDescent="0.3">
      <c r="A601" s="124">
        <v>588</v>
      </c>
      <c r="B601" s="59" t="s">
        <v>1370</v>
      </c>
      <c r="C601" s="59" t="s">
        <v>1371</v>
      </c>
      <c r="D601" s="115" t="s">
        <v>1393</v>
      </c>
      <c r="E601" s="59" t="s">
        <v>1399</v>
      </c>
      <c r="F601" s="115" t="s">
        <v>1395</v>
      </c>
      <c r="G601" s="59" t="s">
        <v>1396</v>
      </c>
      <c r="H601" s="59" t="s">
        <v>1397</v>
      </c>
      <c r="I601" s="115" t="s">
        <v>274</v>
      </c>
      <c r="J601" s="125" t="s">
        <v>26</v>
      </c>
      <c r="K601" s="70">
        <v>36.99</v>
      </c>
      <c r="L601" s="139">
        <f>VLOOKUP(E601,'[1]MASTER WORKFILE MY26.2'!$H:$AC,22,0)</f>
        <v>15.7</v>
      </c>
      <c r="M601" s="119">
        <f>VLOOKUP(E601,'Apparel &amp; POS'!E:M,9,0)</f>
        <v>0</v>
      </c>
      <c r="N601" s="71">
        <f t="shared" si="9"/>
        <v>0</v>
      </c>
      <c r="O601" s="61"/>
      <c r="P601" s="61"/>
      <c r="Q601" s="61" t="s">
        <v>1750</v>
      </c>
    </row>
    <row r="602" spans="1:17" ht="14.4" x14ac:dyDescent="0.3">
      <c r="A602" s="124">
        <v>589</v>
      </c>
      <c r="B602" s="59" t="s">
        <v>1370</v>
      </c>
      <c r="C602" s="59" t="s">
        <v>1371</v>
      </c>
      <c r="D602" s="115" t="s">
        <v>1393</v>
      </c>
      <c r="E602" s="59" t="s">
        <v>1400</v>
      </c>
      <c r="F602" s="115" t="s">
        <v>1395</v>
      </c>
      <c r="G602" s="59" t="s">
        <v>1396</v>
      </c>
      <c r="H602" s="59" t="s">
        <v>1397</v>
      </c>
      <c r="I602" s="115" t="s">
        <v>276</v>
      </c>
      <c r="J602" s="125" t="s">
        <v>26</v>
      </c>
      <c r="K602" s="70">
        <v>36.99</v>
      </c>
      <c r="L602" s="139">
        <f>VLOOKUP(E602,'[1]MASTER WORKFILE MY26.2'!$H:$AC,22,0)</f>
        <v>15.7</v>
      </c>
      <c r="M602" s="119">
        <f>VLOOKUP(E602,'Apparel &amp; POS'!E:M,9,0)</f>
        <v>0</v>
      </c>
      <c r="N602" s="71">
        <f t="shared" si="9"/>
        <v>0</v>
      </c>
      <c r="O602" s="61"/>
      <c r="P602" s="61"/>
      <c r="Q602" s="61" t="s">
        <v>1750</v>
      </c>
    </row>
    <row r="603" spans="1:17" ht="14.4" x14ac:dyDescent="0.3">
      <c r="A603" s="124">
        <v>590</v>
      </c>
      <c r="B603" s="59" t="s">
        <v>1370</v>
      </c>
      <c r="C603" s="59" t="s">
        <v>1371</v>
      </c>
      <c r="D603" s="115" t="s">
        <v>1393</v>
      </c>
      <c r="E603" s="59" t="s">
        <v>1401</v>
      </c>
      <c r="F603" s="115" t="s">
        <v>1395</v>
      </c>
      <c r="G603" s="59" t="s">
        <v>1396</v>
      </c>
      <c r="H603" s="115" t="s">
        <v>1397</v>
      </c>
      <c r="I603" s="115" t="s">
        <v>1383</v>
      </c>
      <c r="J603" s="125" t="s">
        <v>26</v>
      </c>
      <c r="K603" s="70">
        <v>36.99</v>
      </c>
      <c r="L603" s="139">
        <f>VLOOKUP(E603,'[1]MASTER WORKFILE MY26.2'!$H:$AC,22,0)</f>
        <v>15.7</v>
      </c>
      <c r="M603" s="119">
        <f>VLOOKUP(E603,'Apparel &amp; POS'!E:M,9,0)</f>
        <v>0</v>
      </c>
      <c r="N603" s="71">
        <f t="shared" si="9"/>
        <v>0</v>
      </c>
      <c r="O603" s="61"/>
      <c r="P603" s="61"/>
      <c r="Q603" s="61" t="s">
        <v>1750</v>
      </c>
    </row>
    <row r="604" spans="1:17" ht="14.4" x14ac:dyDescent="0.3">
      <c r="A604" s="124">
        <v>591</v>
      </c>
      <c r="B604" s="59" t="s">
        <v>1370</v>
      </c>
      <c r="C604" s="59" t="s">
        <v>1371</v>
      </c>
      <c r="D604" s="115" t="s">
        <v>1402</v>
      </c>
      <c r="E604" s="59" t="s">
        <v>1403</v>
      </c>
      <c r="F604" s="115" t="s">
        <v>1404</v>
      </c>
      <c r="G604" s="59" t="s">
        <v>1405</v>
      </c>
      <c r="H604" s="115" t="s">
        <v>1406</v>
      </c>
      <c r="I604" s="115" t="s">
        <v>270</v>
      </c>
      <c r="J604" s="125" t="s">
        <v>26</v>
      </c>
      <c r="K604" s="70">
        <v>36.99</v>
      </c>
      <c r="L604" s="139">
        <f>VLOOKUP(E604,'[1]MASTER WORKFILE MY26.2'!$H:$AC,22,0)</f>
        <v>15.7</v>
      </c>
      <c r="M604" s="119">
        <f>VLOOKUP(E604,'Apparel &amp; POS'!E:M,9,0)</f>
        <v>0</v>
      </c>
      <c r="N604" s="71">
        <f t="shared" si="9"/>
        <v>0</v>
      </c>
      <c r="O604" s="61"/>
      <c r="P604" s="61"/>
      <c r="Q604" s="61" t="s">
        <v>1750</v>
      </c>
    </row>
    <row r="605" spans="1:17" ht="14.4" x14ac:dyDescent="0.3">
      <c r="A605" s="124">
        <v>592</v>
      </c>
      <c r="B605" s="59" t="s">
        <v>1370</v>
      </c>
      <c r="C605" s="59" t="s">
        <v>1371</v>
      </c>
      <c r="D605" s="115" t="s">
        <v>1402</v>
      </c>
      <c r="E605" s="59" t="s">
        <v>1407</v>
      </c>
      <c r="F605" s="115" t="s">
        <v>1404</v>
      </c>
      <c r="G605" s="59" t="s">
        <v>1405</v>
      </c>
      <c r="H605" s="115" t="s">
        <v>1406</v>
      </c>
      <c r="I605" s="115" t="s">
        <v>272</v>
      </c>
      <c r="J605" s="125" t="s">
        <v>26</v>
      </c>
      <c r="K605" s="70">
        <v>36.99</v>
      </c>
      <c r="L605" s="139">
        <f>VLOOKUP(E605,'[1]MASTER WORKFILE MY26.2'!$H:$AC,22,0)</f>
        <v>15.7</v>
      </c>
      <c r="M605" s="119">
        <f>VLOOKUP(E605,'Apparel &amp; POS'!E:M,9,0)</f>
        <v>0</v>
      </c>
      <c r="N605" s="71">
        <f t="shared" si="9"/>
        <v>0</v>
      </c>
      <c r="O605" s="61"/>
      <c r="P605" s="61"/>
      <c r="Q605" s="61" t="s">
        <v>1750</v>
      </c>
    </row>
    <row r="606" spans="1:17" ht="14.4" x14ac:dyDescent="0.3">
      <c r="A606" s="124">
        <v>593</v>
      </c>
      <c r="B606" s="59" t="s">
        <v>1370</v>
      </c>
      <c r="C606" s="59" t="s">
        <v>1371</v>
      </c>
      <c r="D606" s="115" t="s">
        <v>1402</v>
      </c>
      <c r="E606" s="59" t="s">
        <v>1408</v>
      </c>
      <c r="F606" s="115" t="s">
        <v>1404</v>
      </c>
      <c r="G606" s="59" t="s">
        <v>1405</v>
      </c>
      <c r="H606" s="59" t="s">
        <v>1406</v>
      </c>
      <c r="I606" s="115" t="s">
        <v>274</v>
      </c>
      <c r="J606" s="125" t="s">
        <v>26</v>
      </c>
      <c r="K606" s="70">
        <v>36.99</v>
      </c>
      <c r="L606" s="139">
        <f>VLOOKUP(E606,'[1]MASTER WORKFILE MY26.2'!$H:$AC,22,0)</f>
        <v>15.7</v>
      </c>
      <c r="M606" s="119">
        <f>VLOOKUP(E606,'Apparel &amp; POS'!E:M,9,0)</f>
        <v>0</v>
      </c>
      <c r="N606" s="71">
        <f t="shared" si="9"/>
        <v>0</v>
      </c>
      <c r="O606" s="61"/>
      <c r="P606" s="61"/>
      <c r="Q606" s="61" t="s">
        <v>1750</v>
      </c>
    </row>
    <row r="607" spans="1:17" ht="14.4" x14ac:dyDescent="0.3">
      <c r="A607" s="124">
        <v>594</v>
      </c>
      <c r="B607" s="59" t="s">
        <v>1370</v>
      </c>
      <c r="C607" s="59" t="s">
        <v>1371</v>
      </c>
      <c r="D607" s="115" t="s">
        <v>1402</v>
      </c>
      <c r="E607" s="59" t="s">
        <v>1409</v>
      </c>
      <c r="F607" s="115" t="s">
        <v>1404</v>
      </c>
      <c r="G607" s="59" t="s">
        <v>1405</v>
      </c>
      <c r="H607" s="59" t="s">
        <v>1406</v>
      </c>
      <c r="I607" s="115" t="s">
        <v>276</v>
      </c>
      <c r="J607" s="125" t="s">
        <v>26</v>
      </c>
      <c r="K607" s="70">
        <v>36.99</v>
      </c>
      <c r="L607" s="139">
        <f>VLOOKUP(E607,'[1]MASTER WORKFILE MY26.2'!$H:$AC,22,0)</f>
        <v>15.7</v>
      </c>
      <c r="M607" s="119">
        <f>VLOOKUP(E607,'Apparel &amp; POS'!E:M,9,0)</f>
        <v>0</v>
      </c>
      <c r="N607" s="71">
        <f t="shared" si="9"/>
        <v>0</v>
      </c>
      <c r="O607" s="61"/>
      <c r="P607" s="61"/>
      <c r="Q607" s="61" t="s">
        <v>1750</v>
      </c>
    </row>
    <row r="608" spans="1:17" ht="14.4" x14ac:dyDescent="0.3">
      <c r="A608" s="124">
        <v>595</v>
      </c>
      <c r="B608" s="59" t="s">
        <v>1370</v>
      </c>
      <c r="C608" s="59" t="s">
        <v>1371</v>
      </c>
      <c r="D608" s="115" t="s">
        <v>1402</v>
      </c>
      <c r="E608" s="59" t="s">
        <v>1410</v>
      </c>
      <c r="F608" s="115" t="s">
        <v>1404</v>
      </c>
      <c r="G608" s="59" t="s">
        <v>1405</v>
      </c>
      <c r="H608" s="59" t="s">
        <v>1406</v>
      </c>
      <c r="I608" s="115" t="s">
        <v>1383</v>
      </c>
      <c r="J608" s="125" t="s">
        <v>26</v>
      </c>
      <c r="K608" s="70">
        <v>36.99</v>
      </c>
      <c r="L608" s="139">
        <f>VLOOKUP(E608,'[1]MASTER WORKFILE MY26.2'!$H:$AC,22,0)</f>
        <v>15.7</v>
      </c>
      <c r="M608" s="119">
        <f>VLOOKUP(E608,'Apparel &amp; POS'!E:M,9,0)</f>
        <v>0</v>
      </c>
      <c r="N608" s="71">
        <f t="shared" si="9"/>
        <v>0</v>
      </c>
      <c r="O608" s="61"/>
      <c r="P608" s="61"/>
      <c r="Q608" s="61" t="s">
        <v>1750</v>
      </c>
    </row>
    <row r="609" spans="1:17" ht="14.4" x14ac:dyDescent="0.3">
      <c r="A609" s="124">
        <v>596</v>
      </c>
      <c r="B609" s="59" t="s">
        <v>1411</v>
      </c>
      <c r="C609" s="59" t="s">
        <v>1371</v>
      </c>
      <c r="D609" s="115" t="s">
        <v>1412</v>
      </c>
      <c r="E609" s="59" t="s">
        <v>1413</v>
      </c>
      <c r="F609" s="115" t="s">
        <v>1414</v>
      </c>
      <c r="G609" s="59" t="s">
        <v>1415</v>
      </c>
      <c r="H609" s="115" t="s">
        <v>1416</v>
      </c>
      <c r="I609" s="115" t="s">
        <v>280</v>
      </c>
      <c r="J609" s="125" t="s">
        <v>26</v>
      </c>
      <c r="K609" s="70">
        <v>36</v>
      </c>
      <c r="L609" s="139">
        <f>VLOOKUP(E609,'[1]MASTER WORKFILE MY26.2'!$H:$AC,22,0)</f>
        <v>17.200000000000003</v>
      </c>
      <c r="M609" s="119">
        <f>VLOOKUP(E609,'Apparel &amp; POS'!E:M,9,0)</f>
        <v>0</v>
      </c>
      <c r="N609" s="71">
        <f t="shared" si="9"/>
        <v>0</v>
      </c>
      <c r="O609" s="61"/>
      <c r="P609" s="61"/>
      <c r="Q609" s="61" t="s">
        <v>1750</v>
      </c>
    </row>
    <row r="610" spans="1:17" ht="14.4" x14ac:dyDescent="0.3">
      <c r="A610" s="124">
        <v>597</v>
      </c>
      <c r="B610" s="59" t="s">
        <v>1411</v>
      </c>
      <c r="C610" s="59" t="s">
        <v>1371</v>
      </c>
      <c r="D610" s="115" t="s">
        <v>1417</v>
      </c>
      <c r="E610" s="59" t="s">
        <v>1418</v>
      </c>
      <c r="F610" s="115" t="s">
        <v>1419</v>
      </c>
      <c r="G610" s="59" t="s">
        <v>133</v>
      </c>
      <c r="H610" s="115" t="s">
        <v>134</v>
      </c>
      <c r="I610" s="115" t="s">
        <v>280</v>
      </c>
      <c r="J610" s="125" t="s">
        <v>26</v>
      </c>
      <c r="K610" s="70">
        <v>36</v>
      </c>
      <c r="L610" s="139">
        <f>VLOOKUP(E610,'[1]MASTER WORKFILE MY26.2'!$H:$AC,22,0)</f>
        <v>17.200000000000003</v>
      </c>
      <c r="M610" s="119">
        <f>VLOOKUP(E610,'Apparel &amp; POS'!E:M,9,0)</f>
        <v>0</v>
      </c>
      <c r="N610" s="71">
        <f t="shared" si="9"/>
        <v>0</v>
      </c>
      <c r="O610" s="61"/>
      <c r="P610" s="61"/>
      <c r="Q610" s="61" t="s">
        <v>1750</v>
      </c>
    </row>
    <row r="611" spans="1:17" ht="14.4" x14ac:dyDescent="0.3">
      <c r="A611" s="124">
        <v>598</v>
      </c>
      <c r="B611" s="59" t="s">
        <v>1411</v>
      </c>
      <c r="C611" s="59" t="s">
        <v>1371</v>
      </c>
      <c r="D611" s="115" t="s">
        <v>1420</v>
      </c>
      <c r="E611" s="59" t="s">
        <v>1421</v>
      </c>
      <c r="F611" s="115" t="s">
        <v>1422</v>
      </c>
      <c r="G611" s="59" t="s">
        <v>133</v>
      </c>
      <c r="H611" s="59" t="s">
        <v>134</v>
      </c>
      <c r="I611" s="115" t="s">
        <v>280</v>
      </c>
      <c r="J611" s="125" t="s">
        <v>26</v>
      </c>
      <c r="K611" s="70">
        <v>36</v>
      </c>
      <c r="L611" s="139">
        <f>VLOOKUP(E611,'[1]MASTER WORKFILE MY26.2'!$H:$AC,22,0)</f>
        <v>17.200000000000003</v>
      </c>
      <c r="M611" s="119">
        <f>VLOOKUP(E611,'Apparel &amp; POS'!E:M,9,0)</f>
        <v>0</v>
      </c>
      <c r="N611" s="71">
        <f t="shared" si="9"/>
        <v>0</v>
      </c>
      <c r="O611" s="61"/>
      <c r="P611" s="61"/>
      <c r="Q611" s="61" t="s">
        <v>1750</v>
      </c>
    </row>
    <row r="612" spans="1:17" ht="14.4" x14ac:dyDescent="0.3">
      <c r="A612" s="124">
        <v>599</v>
      </c>
      <c r="B612" s="59" t="s">
        <v>1411</v>
      </c>
      <c r="C612" s="59" t="s">
        <v>1371</v>
      </c>
      <c r="D612" s="115" t="s">
        <v>1423</v>
      </c>
      <c r="E612" s="59" t="s">
        <v>1424</v>
      </c>
      <c r="F612" s="115" t="s">
        <v>1425</v>
      </c>
      <c r="G612" s="59" t="s">
        <v>1426</v>
      </c>
      <c r="H612" s="59" t="s">
        <v>1427</v>
      </c>
      <c r="I612" s="115" t="s">
        <v>280</v>
      </c>
      <c r="J612" s="125" t="s">
        <v>26</v>
      </c>
      <c r="K612" s="70">
        <v>36</v>
      </c>
      <c r="L612" s="139">
        <f>VLOOKUP(E612,'[1]MASTER WORKFILE MY26.2'!$H:$AC,22,0)</f>
        <v>17.200000000000003</v>
      </c>
      <c r="M612" s="119">
        <f>VLOOKUP(E612,'Apparel &amp; POS'!E:M,9,0)</f>
        <v>0</v>
      </c>
      <c r="N612" s="71">
        <f t="shared" si="9"/>
        <v>0</v>
      </c>
      <c r="O612" s="61"/>
      <c r="P612" s="61"/>
      <c r="Q612" s="61" t="s">
        <v>1750</v>
      </c>
    </row>
    <row r="613" spans="1:17" ht="14.4" x14ac:dyDescent="0.3">
      <c r="A613" s="124">
        <v>600</v>
      </c>
      <c r="B613" s="59" t="s">
        <v>1411</v>
      </c>
      <c r="C613" s="59" t="s">
        <v>1371</v>
      </c>
      <c r="D613" s="115" t="s">
        <v>1428</v>
      </c>
      <c r="E613" s="59" t="s">
        <v>1429</v>
      </c>
      <c r="F613" s="115" t="s">
        <v>1430</v>
      </c>
      <c r="G613" s="59" t="s">
        <v>1431</v>
      </c>
      <c r="H613" s="59" t="s">
        <v>1432</v>
      </c>
      <c r="I613" s="115" t="s">
        <v>280</v>
      </c>
      <c r="J613" s="125" t="s">
        <v>26</v>
      </c>
      <c r="K613" s="70">
        <v>36</v>
      </c>
      <c r="L613" s="139">
        <f>VLOOKUP(E613,'[1]MASTER WORKFILE MY26.2'!$H:$AC,22,0)</f>
        <v>17.200000000000003</v>
      </c>
      <c r="M613" s="119">
        <f>VLOOKUP(E613,'Apparel &amp; POS'!E:M,9,0)</f>
        <v>0</v>
      </c>
      <c r="N613" s="71">
        <f t="shared" si="9"/>
        <v>0</v>
      </c>
      <c r="O613" s="61"/>
      <c r="P613" s="61"/>
      <c r="Q613" s="61" t="s">
        <v>1750</v>
      </c>
    </row>
    <row r="614" spans="1:17" ht="14.4" x14ac:dyDescent="0.3">
      <c r="A614" s="124">
        <v>601</v>
      </c>
      <c r="B614" s="59" t="s">
        <v>1411</v>
      </c>
      <c r="C614" s="59" t="s">
        <v>1371</v>
      </c>
      <c r="D614" s="115" t="s">
        <v>1428</v>
      </c>
      <c r="E614" s="59" t="s">
        <v>1433</v>
      </c>
      <c r="F614" s="115" t="s">
        <v>1430</v>
      </c>
      <c r="G614" s="59" t="s">
        <v>1434</v>
      </c>
      <c r="H614" s="59" t="s">
        <v>1435</v>
      </c>
      <c r="I614" s="115" t="s">
        <v>280</v>
      </c>
      <c r="J614" s="125" t="s">
        <v>26</v>
      </c>
      <c r="K614" s="70">
        <v>36</v>
      </c>
      <c r="L614" s="139">
        <f>VLOOKUP(E614,'[1]MASTER WORKFILE MY26.2'!$H:$AC,22,0)</f>
        <v>17.200000000000003</v>
      </c>
      <c r="M614" s="119">
        <f>VLOOKUP(E614,'Apparel &amp; POS'!E:M,9,0)</f>
        <v>0</v>
      </c>
      <c r="N614" s="71">
        <f t="shared" si="9"/>
        <v>0</v>
      </c>
      <c r="O614" s="61"/>
      <c r="P614" s="61"/>
      <c r="Q614" s="61" t="s">
        <v>1750</v>
      </c>
    </row>
    <row r="615" spans="1:17" ht="14.4" x14ac:dyDescent="0.3">
      <c r="A615" s="124">
        <v>602</v>
      </c>
      <c r="B615" s="59" t="s">
        <v>1411</v>
      </c>
      <c r="C615" s="59" t="s">
        <v>1371</v>
      </c>
      <c r="D615" s="115" t="s">
        <v>1436</v>
      </c>
      <c r="E615" s="59" t="s">
        <v>1437</v>
      </c>
      <c r="F615" s="115" t="s">
        <v>1438</v>
      </c>
      <c r="G615" s="59" t="s">
        <v>1405</v>
      </c>
      <c r="H615" s="59" t="s">
        <v>1406</v>
      </c>
      <c r="I615" s="115" t="s">
        <v>280</v>
      </c>
      <c r="J615" s="125" t="s">
        <v>26</v>
      </c>
      <c r="K615" s="70">
        <v>41.5</v>
      </c>
      <c r="L615" s="139">
        <f>VLOOKUP(E615,'[1]MASTER WORKFILE MY26.2'!$H:$AC,22,0)</f>
        <v>19.900000000000002</v>
      </c>
      <c r="M615" s="119">
        <f>VLOOKUP(E615,'Apparel &amp; POS'!E:M,9,0)</f>
        <v>0</v>
      </c>
      <c r="N615" s="71">
        <f t="shared" si="9"/>
        <v>0</v>
      </c>
      <c r="O615" s="61"/>
      <c r="P615" s="61"/>
      <c r="Q615" s="61" t="s">
        <v>1750</v>
      </c>
    </row>
    <row r="616" spans="1:17" ht="14.4" x14ac:dyDescent="0.3">
      <c r="A616" s="124">
        <v>603</v>
      </c>
      <c r="B616" s="59" t="s">
        <v>1411</v>
      </c>
      <c r="C616" s="59" t="s">
        <v>1371</v>
      </c>
      <c r="D616" s="115" t="s">
        <v>1436</v>
      </c>
      <c r="E616" s="59" t="s">
        <v>1439</v>
      </c>
      <c r="F616" s="115" t="s">
        <v>1438</v>
      </c>
      <c r="G616" s="59" t="s">
        <v>1440</v>
      </c>
      <c r="H616" s="59" t="s">
        <v>1441</v>
      </c>
      <c r="I616" s="115" t="s">
        <v>280</v>
      </c>
      <c r="J616" s="125" t="s">
        <v>26</v>
      </c>
      <c r="K616" s="70">
        <v>41.5</v>
      </c>
      <c r="L616" s="139">
        <f>VLOOKUP(E616,'[1]MASTER WORKFILE MY26.2'!$H:$AC,22,0)</f>
        <v>19.900000000000002</v>
      </c>
      <c r="M616" s="119">
        <f>VLOOKUP(E616,'Apparel &amp; POS'!E:M,9,0)</f>
        <v>0</v>
      </c>
      <c r="N616" s="71">
        <f t="shared" si="9"/>
        <v>0</v>
      </c>
      <c r="O616" s="61"/>
      <c r="P616" s="61"/>
      <c r="Q616" s="61" t="s">
        <v>1750</v>
      </c>
    </row>
    <row r="617" spans="1:17" ht="14.4" x14ac:dyDescent="0.3">
      <c r="A617" s="124">
        <v>604</v>
      </c>
      <c r="B617" s="59" t="s">
        <v>1411</v>
      </c>
      <c r="C617" s="59" t="s">
        <v>1371</v>
      </c>
      <c r="D617" s="115" t="s">
        <v>1442</v>
      </c>
      <c r="E617" s="59" t="s">
        <v>1443</v>
      </c>
      <c r="F617" s="115" t="s">
        <v>1444</v>
      </c>
      <c r="G617" s="59" t="s">
        <v>133</v>
      </c>
      <c r="H617" s="59" t="s">
        <v>134</v>
      </c>
      <c r="I617" s="115" t="s">
        <v>280</v>
      </c>
      <c r="J617" s="125" t="s">
        <v>26</v>
      </c>
      <c r="K617" s="70">
        <v>41.5</v>
      </c>
      <c r="L617" s="139">
        <f>VLOOKUP(E617,'[1]MASTER WORKFILE MY26.2'!$H:$AC,22,0)</f>
        <v>19.900000000000002</v>
      </c>
      <c r="M617" s="119">
        <f>VLOOKUP(E617,'Apparel &amp; POS'!E:M,9,0)</f>
        <v>0</v>
      </c>
      <c r="N617" s="71">
        <f t="shared" si="9"/>
        <v>0</v>
      </c>
      <c r="O617" s="61"/>
      <c r="P617" s="61"/>
      <c r="Q617" s="61" t="s">
        <v>1750</v>
      </c>
    </row>
    <row r="618" spans="1:17" ht="14.4" x14ac:dyDescent="0.3">
      <c r="A618" s="124">
        <v>605</v>
      </c>
      <c r="B618" s="59" t="s">
        <v>1411</v>
      </c>
      <c r="C618" s="59" t="s">
        <v>1371</v>
      </c>
      <c r="D618" s="115" t="s">
        <v>1445</v>
      </c>
      <c r="E618" s="59" t="s">
        <v>1446</v>
      </c>
      <c r="F618" s="115" t="s">
        <v>1447</v>
      </c>
      <c r="G618" s="59" t="s">
        <v>133</v>
      </c>
      <c r="H618" s="59" t="s">
        <v>134</v>
      </c>
      <c r="I618" s="115" t="s">
        <v>264</v>
      </c>
      <c r="J618" s="125" t="s">
        <v>26</v>
      </c>
      <c r="K618" s="70">
        <v>36</v>
      </c>
      <c r="L618" s="139">
        <f>VLOOKUP(E618,'[1]MASTER WORKFILE MY26.2'!$H:$AC,22,0)</f>
        <v>17.200000000000003</v>
      </c>
      <c r="M618" s="119">
        <f>VLOOKUP(E618,'Apparel &amp; POS'!E:M,9,0)</f>
        <v>0</v>
      </c>
      <c r="N618" s="71">
        <f t="shared" si="9"/>
        <v>0</v>
      </c>
      <c r="O618" s="61"/>
      <c r="P618" s="61"/>
      <c r="Q618" s="61" t="s">
        <v>1750</v>
      </c>
    </row>
    <row r="619" spans="1:17" ht="14.4" x14ac:dyDescent="0.3">
      <c r="A619" s="124">
        <v>606</v>
      </c>
      <c r="B619" s="59" t="s">
        <v>1411</v>
      </c>
      <c r="C619" s="59" t="s">
        <v>1371</v>
      </c>
      <c r="D619" s="115" t="s">
        <v>1445</v>
      </c>
      <c r="E619" s="59" t="s">
        <v>1448</v>
      </c>
      <c r="F619" s="115" t="s">
        <v>1447</v>
      </c>
      <c r="G619" s="59" t="s">
        <v>133</v>
      </c>
      <c r="H619" s="59" t="s">
        <v>134</v>
      </c>
      <c r="I619" s="115" t="s">
        <v>266</v>
      </c>
      <c r="J619" s="125" t="s">
        <v>26</v>
      </c>
      <c r="K619" s="70">
        <v>36</v>
      </c>
      <c r="L619" s="139">
        <f>VLOOKUP(E619,'[1]MASTER WORKFILE MY26.2'!$H:$AC,22,0)</f>
        <v>17.200000000000003</v>
      </c>
      <c r="M619" s="119">
        <f>VLOOKUP(E619,'Apparel &amp; POS'!E:M,9,0)</f>
        <v>0</v>
      </c>
      <c r="N619" s="71">
        <f t="shared" si="9"/>
        <v>0</v>
      </c>
      <c r="O619" s="61"/>
      <c r="P619" s="61"/>
      <c r="Q619" s="61" t="s">
        <v>1750</v>
      </c>
    </row>
    <row r="620" spans="1:17" ht="14.4" x14ac:dyDescent="0.3">
      <c r="A620" s="124">
        <v>607</v>
      </c>
      <c r="B620" s="59" t="s">
        <v>1411</v>
      </c>
      <c r="C620" s="59" t="s">
        <v>1371</v>
      </c>
      <c r="D620" s="115" t="s">
        <v>1449</v>
      </c>
      <c r="E620" s="59" t="s">
        <v>1450</v>
      </c>
      <c r="F620" s="115" t="s">
        <v>1451</v>
      </c>
      <c r="G620" s="59" t="s">
        <v>1405</v>
      </c>
      <c r="H620" s="59" t="s">
        <v>1406</v>
      </c>
      <c r="I620" s="115" t="s">
        <v>280</v>
      </c>
      <c r="J620" s="125" t="s">
        <v>26</v>
      </c>
      <c r="K620" s="70">
        <v>24.99</v>
      </c>
      <c r="L620" s="139">
        <f>VLOOKUP(E620,'[1]MASTER WORKFILE MY26.2'!$H:$AC,22,0)</f>
        <v>12</v>
      </c>
      <c r="M620" s="119">
        <f>VLOOKUP(E620,'Apparel &amp; POS'!E:M,9,0)</f>
        <v>0</v>
      </c>
      <c r="N620" s="71">
        <f t="shared" si="9"/>
        <v>0</v>
      </c>
      <c r="O620" s="61"/>
      <c r="P620" s="61"/>
      <c r="Q620" s="61" t="s">
        <v>1750</v>
      </c>
    </row>
    <row r="621" spans="1:17" ht="14.4" x14ac:dyDescent="0.3">
      <c r="A621" s="124">
        <v>608</v>
      </c>
      <c r="B621" s="59" t="s">
        <v>1411</v>
      </c>
      <c r="C621" s="59" t="s">
        <v>1371</v>
      </c>
      <c r="D621" s="115" t="s">
        <v>1449</v>
      </c>
      <c r="E621" s="59" t="s">
        <v>1452</v>
      </c>
      <c r="F621" s="115" t="s">
        <v>1451</v>
      </c>
      <c r="G621" s="59" t="s">
        <v>1453</v>
      </c>
      <c r="H621" s="59" t="s">
        <v>1454</v>
      </c>
      <c r="I621" s="115" t="s">
        <v>280</v>
      </c>
      <c r="J621" s="125" t="s">
        <v>26</v>
      </c>
      <c r="K621" s="70">
        <v>24.99</v>
      </c>
      <c r="L621" s="139">
        <f>VLOOKUP(E621,'[1]MASTER WORKFILE MY26.2'!$H:$AC,22,0)</f>
        <v>12</v>
      </c>
      <c r="M621" s="119">
        <f>VLOOKUP(E621,'Apparel &amp; POS'!E:M,9,0)</f>
        <v>0</v>
      </c>
      <c r="N621" s="71">
        <f t="shared" si="9"/>
        <v>0</v>
      </c>
      <c r="O621" s="61"/>
      <c r="P621" s="61"/>
      <c r="Q621" s="61" t="s">
        <v>1750</v>
      </c>
    </row>
    <row r="622" spans="1:17" ht="14.4" x14ac:dyDescent="0.3">
      <c r="A622" s="124">
        <v>609</v>
      </c>
      <c r="B622" s="59" t="s">
        <v>1411</v>
      </c>
      <c r="C622" s="59" t="s">
        <v>1371</v>
      </c>
      <c r="D622" s="115" t="s">
        <v>1455</v>
      </c>
      <c r="E622" s="59" t="s">
        <v>1456</v>
      </c>
      <c r="F622" s="115" t="s">
        <v>1457</v>
      </c>
      <c r="G622" s="59" t="s">
        <v>1458</v>
      </c>
      <c r="H622" s="59" t="s">
        <v>1459</v>
      </c>
      <c r="I622" s="115" t="s">
        <v>280</v>
      </c>
      <c r="J622" s="125" t="s">
        <v>26</v>
      </c>
      <c r="K622" s="70">
        <v>24.99</v>
      </c>
      <c r="L622" s="139">
        <f>VLOOKUP(E622,'[1]MASTER WORKFILE MY26.2'!$H:$AC,22,0)</f>
        <v>12</v>
      </c>
      <c r="M622" s="119">
        <f>VLOOKUP(E622,'Apparel &amp; POS'!E:M,9,0)</f>
        <v>0</v>
      </c>
      <c r="N622" s="71">
        <f t="shared" si="9"/>
        <v>0</v>
      </c>
      <c r="O622" s="61"/>
      <c r="P622" s="61"/>
      <c r="Q622" s="61" t="s">
        <v>1750</v>
      </c>
    </row>
    <row r="623" spans="1:17" ht="14.4" x14ac:dyDescent="0.3">
      <c r="A623" s="124">
        <v>610</v>
      </c>
      <c r="B623" s="59" t="s">
        <v>1411</v>
      </c>
      <c r="C623" s="59" t="s">
        <v>1371</v>
      </c>
      <c r="D623" s="115" t="s">
        <v>1455</v>
      </c>
      <c r="E623" s="59" t="s">
        <v>1460</v>
      </c>
      <c r="F623" s="115" t="s">
        <v>1457</v>
      </c>
      <c r="G623" s="59" t="s">
        <v>133</v>
      </c>
      <c r="H623" s="59" t="s">
        <v>134</v>
      </c>
      <c r="I623" s="115" t="s">
        <v>280</v>
      </c>
      <c r="J623" s="125" t="s">
        <v>26</v>
      </c>
      <c r="K623" s="70">
        <v>24.99</v>
      </c>
      <c r="L623" s="139">
        <f>VLOOKUP(E623,'[1]MASTER WORKFILE MY26.2'!$H:$AC,22,0)</f>
        <v>12</v>
      </c>
      <c r="M623" s="119">
        <f>VLOOKUP(E623,'Apparel &amp; POS'!E:M,9,0)</f>
        <v>0</v>
      </c>
      <c r="N623" s="71">
        <f t="shared" si="9"/>
        <v>0</v>
      </c>
      <c r="O623" s="61"/>
      <c r="P623" s="61"/>
      <c r="Q623" s="61" t="s">
        <v>1750</v>
      </c>
    </row>
    <row r="624" spans="1:17" ht="14.4" x14ac:dyDescent="0.3">
      <c r="A624" s="124">
        <v>611</v>
      </c>
      <c r="B624" s="59" t="s">
        <v>1411</v>
      </c>
      <c r="C624" s="59" t="s">
        <v>1371</v>
      </c>
      <c r="D624" s="115" t="s">
        <v>1461</v>
      </c>
      <c r="E624" s="59" t="s">
        <v>1462</v>
      </c>
      <c r="F624" s="115" t="s">
        <v>1463</v>
      </c>
      <c r="G624" s="59" t="s">
        <v>482</v>
      </c>
      <c r="H624" s="59" t="s">
        <v>1464</v>
      </c>
      <c r="I624" s="115" t="s">
        <v>280</v>
      </c>
      <c r="J624" s="125" t="s">
        <v>26</v>
      </c>
      <c r="K624" s="70">
        <v>36</v>
      </c>
      <c r="L624" s="139">
        <f>VLOOKUP(E624,'[1]MASTER WORKFILE MY26.2'!$H:$AC,22,0)</f>
        <v>17.200000000000003</v>
      </c>
      <c r="M624" s="119">
        <f>VLOOKUP(E624,'Apparel &amp; POS'!E:M,9,0)</f>
        <v>0</v>
      </c>
      <c r="N624" s="71">
        <f t="shared" si="9"/>
        <v>0</v>
      </c>
      <c r="O624" s="61"/>
      <c r="P624" s="61"/>
      <c r="Q624" s="61" t="s">
        <v>1750</v>
      </c>
    </row>
    <row r="625" spans="1:17" ht="14.4" x14ac:dyDescent="0.3">
      <c r="A625" s="124">
        <v>612</v>
      </c>
      <c r="B625" s="59" t="s">
        <v>1411</v>
      </c>
      <c r="C625" s="59" t="s">
        <v>1371</v>
      </c>
      <c r="D625" s="115" t="s">
        <v>1465</v>
      </c>
      <c r="E625" s="59" t="s">
        <v>1466</v>
      </c>
      <c r="F625" s="115" t="s">
        <v>1467</v>
      </c>
      <c r="G625" s="59" t="s">
        <v>1468</v>
      </c>
      <c r="H625" s="59" t="s">
        <v>1469</v>
      </c>
      <c r="I625" s="115" t="s">
        <v>280</v>
      </c>
      <c r="J625" s="125" t="s">
        <v>26</v>
      </c>
      <c r="K625" s="70">
        <v>36</v>
      </c>
      <c r="L625" s="139">
        <f>VLOOKUP(E625,'[1]MASTER WORKFILE MY26.2'!$H:$AC,22,0)</f>
        <v>17.200000000000003</v>
      </c>
      <c r="M625" s="119">
        <f>VLOOKUP(E625,'Apparel &amp; POS'!E:M,9,0)</f>
        <v>0</v>
      </c>
      <c r="N625" s="71">
        <f t="shared" si="9"/>
        <v>0</v>
      </c>
      <c r="O625" s="61"/>
      <c r="P625" s="61"/>
      <c r="Q625" s="61" t="s">
        <v>1750</v>
      </c>
    </row>
    <row r="626" spans="1:17" ht="14.4" x14ac:dyDescent="0.3">
      <c r="A626" s="124">
        <v>613</v>
      </c>
      <c r="B626" s="59" t="s">
        <v>1411</v>
      </c>
      <c r="C626" s="59" t="s">
        <v>1371</v>
      </c>
      <c r="D626" s="115" t="s">
        <v>1470</v>
      </c>
      <c r="E626" s="59" t="s">
        <v>1471</v>
      </c>
      <c r="F626" s="115" t="s">
        <v>1472</v>
      </c>
      <c r="G626" s="59" t="s">
        <v>1405</v>
      </c>
      <c r="H626" s="59" t="s">
        <v>1406</v>
      </c>
      <c r="I626" s="115" t="s">
        <v>280</v>
      </c>
      <c r="J626" s="125" t="s">
        <v>26</v>
      </c>
      <c r="K626" s="70">
        <v>36</v>
      </c>
      <c r="L626" s="139">
        <f>VLOOKUP(E626,'[1]MASTER WORKFILE MY26.2'!$H:$AC,22,0)</f>
        <v>17.200000000000003</v>
      </c>
      <c r="M626" s="119">
        <f>VLOOKUP(E626,'Apparel &amp; POS'!E:M,9,0)</f>
        <v>0</v>
      </c>
      <c r="N626" s="71">
        <f t="shared" si="9"/>
        <v>0</v>
      </c>
      <c r="O626" s="61"/>
      <c r="P626" s="61"/>
      <c r="Q626" s="61" t="s">
        <v>1750</v>
      </c>
    </row>
    <row r="627" spans="1:17" ht="14.4" x14ac:dyDescent="0.3">
      <c r="A627" s="124">
        <v>614</v>
      </c>
      <c r="B627" s="59" t="s">
        <v>1411</v>
      </c>
      <c r="C627" s="59" t="s">
        <v>1371</v>
      </c>
      <c r="D627" s="115" t="s">
        <v>1473</v>
      </c>
      <c r="E627" s="59" t="s">
        <v>1474</v>
      </c>
      <c r="F627" s="115" t="s">
        <v>1475</v>
      </c>
      <c r="G627" s="59" t="s">
        <v>133</v>
      </c>
      <c r="H627" s="59" t="s">
        <v>134</v>
      </c>
      <c r="I627" s="115" t="s">
        <v>280</v>
      </c>
      <c r="J627" s="125" t="s">
        <v>26</v>
      </c>
      <c r="K627" s="70">
        <v>36</v>
      </c>
      <c r="L627" s="139">
        <f>VLOOKUP(E627,'[1]MASTER WORKFILE MY26.2'!$H:$AC,22,0)</f>
        <v>17.200000000000003</v>
      </c>
      <c r="M627" s="119">
        <f>VLOOKUP(E627,'Apparel &amp; POS'!E:M,9,0)</f>
        <v>0</v>
      </c>
      <c r="N627" s="71">
        <f t="shared" si="9"/>
        <v>0</v>
      </c>
      <c r="O627" s="61"/>
      <c r="P627" s="61"/>
      <c r="Q627" s="61" t="s">
        <v>1750</v>
      </c>
    </row>
    <row r="628" spans="1:17" ht="14.4" x14ac:dyDescent="0.3">
      <c r="A628" s="124">
        <v>615</v>
      </c>
      <c r="B628" s="59" t="s">
        <v>1411</v>
      </c>
      <c r="C628" s="59" t="s">
        <v>1371</v>
      </c>
      <c r="D628" s="115" t="s">
        <v>1476</v>
      </c>
      <c r="E628" s="59" t="s">
        <v>1477</v>
      </c>
      <c r="F628" s="115" t="s">
        <v>1478</v>
      </c>
      <c r="G628" s="59" t="s">
        <v>1479</v>
      </c>
      <c r="H628" s="59" t="s">
        <v>1480</v>
      </c>
      <c r="I628" s="115" t="s">
        <v>280</v>
      </c>
      <c r="J628" s="125" t="s">
        <v>26</v>
      </c>
      <c r="K628" s="70">
        <v>36</v>
      </c>
      <c r="L628" s="139">
        <f>VLOOKUP(E628,'[1]MASTER WORKFILE MY26.2'!$H:$AC,22,0)</f>
        <v>17.200000000000003</v>
      </c>
      <c r="M628" s="119">
        <f>VLOOKUP(E628,'Apparel &amp; POS'!E:M,9,0)</f>
        <v>0</v>
      </c>
      <c r="N628" s="71">
        <f t="shared" si="9"/>
        <v>0</v>
      </c>
      <c r="O628" s="61"/>
      <c r="P628" s="61"/>
      <c r="Q628" s="61" t="s">
        <v>1750</v>
      </c>
    </row>
    <row r="629" spans="1:17" ht="14.4" x14ac:dyDescent="0.3">
      <c r="A629" s="124">
        <v>616</v>
      </c>
      <c r="B629" s="59" t="s">
        <v>1411</v>
      </c>
      <c r="C629" s="59" t="s">
        <v>1371</v>
      </c>
      <c r="D629" s="115" t="s">
        <v>1481</v>
      </c>
      <c r="E629" s="59" t="s">
        <v>1482</v>
      </c>
      <c r="F629" s="115" t="s">
        <v>1483</v>
      </c>
      <c r="G629" s="59" t="s">
        <v>133</v>
      </c>
      <c r="H629" s="59" t="s">
        <v>134</v>
      </c>
      <c r="I629" s="115" t="s">
        <v>280</v>
      </c>
      <c r="J629" s="125" t="s">
        <v>26</v>
      </c>
      <c r="K629" s="70">
        <v>69.989999999999995</v>
      </c>
      <c r="L629" s="139">
        <f>VLOOKUP(E629,'[1]MASTER WORKFILE MY26.2'!$H:$AC,22,0)</f>
        <v>33.5</v>
      </c>
      <c r="M629" s="119">
        <f>VLOOKUP(E629,'Apparel &amp; POS'!E:M,9,0)</f>
        <v>0</v>
      </c>
      <c r="N629" s="71">
        <f t="shared" si="9"/>
        <v>0</v>
      </c>
      <c r="O629" s="61"/>
      <c r="P629" s="61"/>
      <c r="Q629" s="61" t="s">
        <v>1750</v>
      </c>
    </row>
    <row r="630" spans="1:17" ht="14.4" x14ac:dyDescent="0.3">
      <c r="A630" s="124">
        <v>617</v>
      </c>
      <c r="B630" s="59" t="s">
        <v>1484</v>
      </c>
      <c r="C630" s="59" t="s">
        <v>1371</v>
      </c>
      <c r="D630" s="115" t="s">
        <v>1485</v>
      </c>
      <c r="E630" s="59" t="s">
        <v>1486</v>
      </c>
      <c r="F630" s="115" t="s">
        <v>1487</v>
      </c>
      <c r="G630" s="59" t="s">
        <v>1488</v>
      </c>
      <c r="H630" s="59" t="s">
        <v>1489</v>
      </c>
      <c r="I630" s="115" t="s">
        <v>280</v>
      </c>
      <c r="J630" s="125" t="s">
        <v>26</v>
      </c>
      <c r="K630" s="70">
        <v>79.989999999999995</v>
      </c>
      <c r="L630" s="139">
        <f>VLOOKUP(E630,'[1]MASTER WORKFILE MY26.2'!$H:$AC,22,0)</f>
        <v>38.300000000000004</v>
      </c>
      <c r="M630" s="119">
        <f>VLOOKUP(E630,'Apparel &amp; POS'!E:M,9,0)</f>
        <v>0</v>
      </c>
      <c r="N630" s="71">
        <f t="shared" si="9"/>
        <v>0</v>
      </c>
      <c r="O630" s="61"/>
      <c r="P630" s="61"/>
      <c r="Q630" s="61" t="s">
        <v>1750</v>
      </c>
    </row>
    <row r="631" spans="1:17" ht="14.4" x14ac:dyDescent="0.3">
      <c r="A631" s="124">
        <v>618</v>
      </c>
      <c r="B631" s="59" t="s">
        <v>1484</v>
      </c>
      <c r="C631" s="59" t="s">
        <v>1371</v>
      </c>
      <c r="D631" s="115" t="s">
        <v>1485</v>
      </c>
      <c r="E631" s="59" t="s">
        <v>1490</v>
      </c>
      <c r="F631" s="115" t="s">
        <v>1487</v>
      </c>
      <c r="G631" s="59" t="s">
        <v>1375</v>
      </c>
      <c r="H631" s="59" t="s">
        <v>1376</v>
      </c>
      <c r="I631" s="115" t="s">
        <v>280</v>
      </c>
      <c r="J631" s="125" t="s">
        <v>26</v>
      </c>
      <c r="K631" s="70">
        <v>79.989999999999995</v>
      </c>
      <c r="L631" s="139">
        <f>VLOOKUP(E631,'[1]MASTER WORKFILE MY26.2'!$H:$AC,22,0)</f>
        <v>38.300000000000004</v>
      </c>
      <c r="M631" s="119">
        <f>VLOOKUP(E631,'Apparel &amp; POS'!E:M,9,0)</f>
        <v>0</v>
      </c>
      <c r="N631" s="71">
        <f t="shared" si="9"/>
        <v>0</v>
      </c>
      <c r="O631" s="61"/>
      <c r="P631" s="61"/>
      <c r="Q631" s="61" t="s">
        <v>1750</v>
      </c>
    </row>
    <row r="632" spans="1:17" ht="14.4" x14ac:dyDescent="0.3">
      <c r="A632" s="124">
        <v>619</v>
      </c>
      <c r="B632" s="59" t="s">
        <v>833</v>
      </c>
      <c r="C632" s="59" t="s">
        <v>1371</v>
      </c>
      <c r="D632" s="115" t="s">
        <v>1491</v>
      </c>
      <c r="E632" s="59" t="s">
        <v>1492</v>
      </c>
      <c r="F632" s="115" t="s">
        <v>1493</v>
      </c>
      <c r="G632" s="59" t="s">
        <v>161</v>
      </c>
      <c r="H632" s="59" t="s">
        <v>162</v>
      </c>
      <c r="I632" s="115" t="s">
        <v>280</v>
      </c>
      <c r="J632" s="125" t="s">
        <v>101</v>
      </c>
      <c r="K632" s="70">
        <v>150</v>
      </c>
      <c r="L632" s="139">
        <f>VLOOKUP(E632,'[1]MASTER WORKFILE MY26.2'!$H:$AC,22,0)</f>
        <v>84.7</v>
      </c>
      <c r="M632" s="119">
        <f>VLOOKUP(E632,'Apparel &amp; POS'!E:M,9,0)</f>
        <v>0</v>
      </c>
      <c r="N632" s="71">
        <f t="shared" si="9"/>
        <v>0</v>
      </c>
      <c r="O632" s="61"/>
      <c r="P632" s="61"/>
      <c r="Q632" s="61" t="s">
        <v>1750</v>
      </c>
    </row>
    <row r="633" spans="1:17" ht="14.4" x14ac:dyDescent="0.3">
      <c r="A633" s="124">
        <v>620</v>
      </c>
      <c r="B633" s="59" t="s">
        <v>766</v>
      </c>
      <c r="C633" s="59" t="s">
        <v>1371</v>
      </c>
      <c r="D633" s="115" t="s">
        <v>1494</v>
      </c>
      <c r="E633" s="59" t="s">
        <v>1495</v>
      </c>
      <c r="F633" s="115" t="s">
        <v>1496</v>
      </c>
      <c r="G633" s="59" t="s">
        <v>133</v>
      </c>
      <c r="H633" s="59" t="s">
        <v>134</v>
      </c>
      <c r="I633" s="115" t="s">
        <v>280</v>
      </c>
      <c r="J633" s="125" t="s">
        <v>26</v>
      </c>
      <c r="K633" s="70">
        <v>600</v>
      </c>
      <c r="L633" s="139">
        <f>VLOOKUP(E633,'[1]MASTER WORKFILE MY26.2'!$H:$AC,22,0)</f>
        <v>484</v>
      </c>
      <c r="M633" s="119">
        <f>VLOOKUP(E633,'Apparel &amp; POS'!E:M,9,0)</f>
        <v>0</v>
      </c>
      <c r="N633" s="71">
        <f t="shared" si="9"/>
        <v>0</v>
      </c>
      <c r="O633" s="61"/>
      <c r="P633" s="61"/>
      <c r="Q633" s="61" t="s">
        <v>1750</v>
      </c>
    </row>
    <row r="634" spans="1:17" ht="14.4" x14ac:dyDescent="0.3">
      <c r="A634" s="124">
        <v>621</v>
      </c>
      <c r="B634" s="59" t="s">
        <v>766</v>
      </c>
      <c r="C634" s="59" t="s">
        <v>1371</v>
      </c>
      <c r="D634" s="115" t="s">
        <v>1497</v>
      </c>
      <c r="E634" s="59" t="s">
        <v>1498</v>
      </c>
      <c r="F634" s="115" t="s">
        <v>1499</v>
      </c>
      <c r="G634" s="59" t="s">
        <v>133</v>
      </c>
      <c r="H634" s="59" t="s">
        <v>134</v>
      </c>
      <c r="I634" s="115" t="s">
        <v>280</v>
      </c>
      <c r="J634" s="125" t="s">
        <v>26</v>
      </c>
      <c r="K634" s="70">
        <v>250</v>
      </c>
      <c r="L634" s="139">
        <f>VLOOKUP(E634,'[1]MASTER WORKFILE MY26.2'!$H:$AC,22,0)</f>
        <v>201.7</v>
      </c>
      <c r="M634" s="119">
        <f>VLOOKUP(E634,'Apparel &amp; POS'!E:M,9,0)</f>
        <v>0</v>
      </c>
      <c r="N634" s="71">
        <f t="shared" si="9"/>
        <v>0</v>
      </c>
      <c r="O634" s="61"/>
      <c r="P634" s="61"/>
      <c r="Q634" s="61" t="s">
        <v>1750</v>
      </c>
    </row>
    <row r="635" spans="1:17" ht="14.4" x14ac:dyDescent="0.3">
      <c r="A635" s="124">
        <v>622</v>
      </c>
      <c r="B635" s="59" t="s">
        <v>766</v>
      </c>
      <c r="C635" s="59" t="s">
        <v>1371</v>
      </c>
      <c r="D635" s="115" t="s">
        <v>1500</v>
      </c>
      <c r="E635" s="59" t="s">
        <v>1501</v>
      </c>
      <c r="F635" s="115" t="s">
        <v>1502</v>
      </c>
      <c r="G635" s="59" t="s">
        <v>133</v>
      </c>
      <c r="H635" s="59" t="s">
        <v>134</v>
      </c>
      <c r="I635" s="115" t="s">
        <v>369</v>
      </c>
      <c r="J635" s="125" t="s">
        <v>26</v>
      </c>
      <c r="K635" s="70">
        <v>35</v>
      </c>
      <c r="L635" s="139">
        <f>VLOOKUP(E635,'[1]MASTER WORKFILE MY26.2'!$H:$AC,22,0)</f>
        <v>28.3</v>
      </c>
      <c r="M635" s="119">
        <f>VLOOKUP(E635,'Apparel &amp; POS'!E:M,9,0)</f>
        <v>0</v>
      </c>
      <c r="N635" s="71">
        <f t="shared" si="9"/>
        <v>0</v>
      </c>
      <c r="O635" s="61"/>
      <c r="P635" s="61"/>
      <c r="Q635" s="61" t="s">
        <v>1750</v>
      </c>
    </row>
    <row r="636" spans="1:17" ht="14.4" x14ac:dyDescent="0.3">
      <c r="A636" s="124">
        <v>623</v>
      </c>
      <c r="B636" s="59" t="s">
        <v>766</v>
      </c>
      <c r="C636" s="59" t="s">
        <v>1371</v>
      </c>
      <c r="D636" s="115" t="s">
        <v>1503</v>
      </c>
      <c r="E636" s="59" t="s">
        <v>1504</v>
      </c>
      <c r="F636" s="115" t="s">
        <v>1505</v>
      </c>
      <c r="G636" s="59" t="s">
        <v>133</v>
      </c>
      <c r="H636" s="59" t="s">
        <v>134</v>
      </c>
      <c r="I636" s="115" t="s">
        <v>62</v>
      </c>
      <c r="J636" s="125" t="s">
        <v>26</v>
      </c>
      <c r="K636" s="70">
        <v>125</v>
      </c>
      <c r="L636" s="139">
        <f>VLOOKUP(E636,'[1]MASTER WORKFILE MY26.2'!$H:$AC,22,0)</f>
        <v>100.89999999999999</v>
      </c>
      <c r="M636" s="119">
        <f>VLOOKUP(E636,'Apparel &amp; POS'!E:M,9,0)</f>
        <v>0</v>
      </c>
      <c r="N636" s="71">
        <f t="shared" si="9"/>
        <v>0</v>
      </c>
      <c r="O636" s="61"/>
      <c r="P636" s="61"/>
      <c r="Q636" s="61" t="s">
        <v>1750</v>
      </c>
    </row>
    <row r="637" spans="1:17" ht="14.4" x14ac:dyDescent="0.3">
      <c r="A637" s="124">
        <v>624</v>
      </c>
      <c r="B637" s="59" t="s">
        <v>766</v>
      </c>
      <c r="C637" s="59" t="s">
        <v>1371</v>
      </c>
      <c r="D637" s="115" t="s">
        <v>1506</v>
      </c>
      <c r="E637" s="59" t="s">
        <v>1507</v>
      </c>
      <c r="F637" s="115" t="s">
        <v>1508</v>
      </c>
      <c r="G637" s="59" t="s">
        <v>133</v>
      </c>
      <c r="H637" s="59" t="s">
        <v>134</v>
      </c>
      <c r="I637" s="115" t="s">
        <v>62</v>
      </c>
      <c r="J637" s="125" t="s">
        <v>26</v>
      </c>
      <c r="K637" s="70">
        <v>45</v>
      </c>
      <c r="L637" s="139">
        <f>VLOOKUP(E637,'[1]MASTER WORKFILE MY26.2'!$H:$AC,22,0)</f>
        <v>36.299999999999997</v>
      </c>
      <c r="M637" s="119">
        <f>VLOOKUP(E637,'Apparel &amp; POS'!E:M,9,0)</f>
        <v>0</v>
      </c>
      <c r="N637" s="71">
        <f t="shared" si="9"/>
        <v>0</v>
      </c>
      <c r="O637" s="61"/>
      <c r="P637" s="61"/>
      <c r="Q637" s="61" t="s">
        <v>1750</v>
      </c>
    </row>
    <row r="638" spans="1:17" ht="14.4" x14ac:dyDescent="0.3">
      <c r="A638" s="124">
        <v>625</v>
      </c>
      <c r="B638" s="59" t="s">
        <v>766</v>
      </c>
      <c r="C638" s="59" t="s">
        <v>1371</v>
      </c>
      <c r="D638" s="115" t="s">
        <v>1509</v>
      </c>
      <c r="E638" s="59" t="s">
        <v>1510</v>
      </c>
      <c r="F638" s="115" t="s">
        <v>1511</v>
      </c>
      <c r="G638" s="59" t="s">
        <v>133</v>
      </c>
      <c r="H638" s="59" t="s">
        <v>134</v>
      </c>
      <c r="I638" s="115" t="s">
        <v>1512</v>
      </c>
      <c r="J638" s="125" t="s">
        <v>26</v>
      </c>
      <c r="K638" s="70">
        <v>90</v>
      </c>
      <c r="L638" s="139">
        <f>VLOOKUP(E638,'[1]MASTER WORKFILE MY26.2'!$H:$AC,22,0)</f>
        <v>72.599999999999994</v>
      </c>
      <c r="M638" s="119">
        <f>VLOOKUP(E638,'Apparel &amp; POS'!E:M,9,0)</f>
        <v>0</v>
      </c>
      <c r="N638" s="71">
        <f t="shared" si="9"/>
        <v>0</v>
      </c>
      <c r="O638" s="61"/>
      <c r="P638" s="61"/>
      <c r="Q638" s="61" t="s">
        <v>1750</v>
      </c>
    </row>
    <row r="639" spans="1:17" ht="14.4" x14ac:dyDescent="0.3">
      <c r="A639" s="124">
        <v>626</v>
      </c>
      <c r="B639" s="59" t="s">
        <v>766</v>
      </c>
      <c r="C639" s="59" t="s">
        <v>1371</v>
      </c>
      <c r="D639" s="115" t="s">
        <v>1513</v>
      </c>
      <c r="E639" s="59" t="s">
        <v>1514</v>
      </c>
      <c r="F639" s="115" t="s">
        <v>1515</v>
      </c>
      <c r="G639" s="59" t="s">
        <v>357</v>
      </c>
      <c r="H639" s="59" t="s">
        <v>358</v>
      </c>
      <c r="I639" s="115" t="s">
        <v>280</v>
      </c>
      <c r="J639" s="125" t="s">
        <v>26</v>
      </c>
      <c r="K639" s="70">
        <v>150</v>
      </c>
      <c r="L639" s="139">
        <f>VLOOKUP(E639,'[1]MASTER WORKFILE MY26.2'!$H:$AC,22,0)</f>
        <v>121</v>
      </c>
      <c r="M639" s="119">
        <f>VLOOKUP(E639,'Apparel &amp; POS'!E:M,9,0)</f>
        <v>0</v>
      </c>
      <c r="N639" s="71">
        <f t="shared" si="9"/>
        <v>0</v>
      </c>
      <c r="O639" s="61"/>
      <c r="P639" s="61"/>
      <c r="Q639" s="61" t="s">
        <v>1750</v>
      </c>
    </row>
    <row r="640" spans="1:17" ht="14.4" x14ac:dyDescent="0.3">
      <c r="A640" s="124">
        <v>627</v>
      </c>
      <c r="B640" s="59" t="s">
        <v>766</v>
      </c>
      <c r="C640" s="59" t="s">
        <v>1371</v>
      </c>
      <c r="D640" s="115" t="s">
        <v>1516</v>
      </c>
      <c r="E640" s="59" t="s">
        <v>1517</v>
      </c>
      <c r="F640" s="115" t="s">
        <v>1518</v>
      </c>
      <c r="G640" s="59" t="s">
        <v>133</v>
      </c>
      <c r="H640" s="59" t="s">
        <v>134</v>
      </c>
      <c r="I640" s="115" t="s">
        <v>280</v>
      </c>
      <c r="J640" s="125" t="s">
        <v>26</v>
      </c>
      <c r="K640" s="70">
        <v>160</v>
      </c>
      <c r="L640" s="139">
        <f>VLOOKUP(E640,'[1]MASTER WORKFILE MY26.2'!$H:$AC,22,0)</f>
        <v>129.1</v>
      </c>
      <c r="M640" s="119">
        <f>VLOOKUP(E640,'Apparel &amp; POS'!E:M,9,0)</f>
        <v>0</v>
      </c>
      <c r="N640" s="71">
        <f t="shared" si="9"/>
        <v>0</v>
      </c>
      <c r="O640" s="61"/>
      <c r="P640" s="61"/>
      <c r="Q640" s="61" t="s">
        <v>1750</v>
      </c>
    </row>
    <row r="641" spans="1:17" ht="14.4" x14ac:dyDescent="0.3">
      <c r="A641" s="124">
        <v>628</v>
      </c>
      <c r="B641" s="59" t="s">
        <v>766</v>
      </c>
      <c r="C641" s="59" t="s">
        <v>1371</v>
      </c>
      <c r="D641" s="115" t="s">
        <v>1519</v>
      </c>
      <c r="E641" s="59" t="s">
        <v>1520</v>
      </c>
      <c r="F641" s="115" t="s">
        <v>1521</v>
      </c>
      <c r="G641" s="59" t="s">
        <v>133</v>
      </c>
      <c r="H641" s="59" t="s">
        <v>134</v>
      </c>
      <c r="I641" s="115" t="s">
        <v>280</v>
      </c>
      <c r="J641" s="125" t="s">
        <v>26</v>
      </c>
      <c r="K641" s="70">
        <v>33</v>
      </c>
      <c r="L641" s="139">
        <f>VLOOKUP(E641,'[1]MASTER WORKFILE MY26.2'!$H:$AC,22,0)</f>
        <v>26.700000000000003</v>
      </c>
      <c r="M641" s="119">
        <f>VLOOKUP(E641,'Apparel &amp; POS'!E:M,9,0)</f>
        <v>0</v>
      </c>
      <c r="N641" s="71">
        <f t="shared" si="9"/>
        <v>0</v>
      </c>
      <c r="O641" s="61"/>
      <c r="P641" s="61"/>
      <c r="Q641" s="61" t="s">
        <v>1750</v>
      </c>
    </row>
    <row r="642" spans="1:17" ht="14.4" x14ac:dyDescent="0.3">
      <c r="A642" s="124">
        <v>629</v>
      </c>
      <c r="B642" s="59" t="s">
        <v>766</v>
      </c>
      <c r="C642" s="59" t="s">
        <v>1371</v>
      </c>
      <c r="D642" s="115" t="s">
        <v>1522</v>
      </c>
      <c r="E642" s="59" t="s">
        <v>1523</v>
      </c>
      <c r="F642" s="115" t="s">
        <v>1524</v>
      </c>
      <c r="G642" s="59" t="s">
        <v>133</v>
      </c>
      <c r="H642" s="59" t="s">
        <v>134</v>
      </c>
      <c r="I642" s="115" t="s">
        <v>280</v>
      </c>
      <c r="J642" s="125" t="s">
        <v>26</v>
      </c>
      <c r="K642" s="70">
        <v>55</v>
      </c>
      <c r="L642" s="139">
        <f>VLOOKUP(E642,'[1]MASTER WORKFILE MY26.2'!$H:$AC,22,0)</f>
        <v>44.4</v>
      </c>
      <c r="M642" s="119">
        <f>VLOOKUP(E642,'Apparel &amp; POS'!E:M,9,0)</f>
        <v>0</v>
      </c>
      <c r="N642" s="71">
        <f t="shared" si="9"/>
        <v>0</v>
      </c>
      <c r="O642" s="61"/>
      <c r="P642" s="61"/>
      <c r="Q642" s="61" t="s">
        <v>1750</v>
      </c>
    </row>
    <row r="643" spans="1:17" ht="14.4" x14ac:dyDescent="0.3">
      <c r="A643" s="124">
        <v>630</v>
      </c>
      <c r="B643" s="59" t="s">
        <v>766</v>
      </c>
      <c r="C643" s="59" t="s">
        <v>1371</v>
      </c>
      <c r="D643" s="115" t="s">
        <v>1525</v>
      </c>
      <c r="E643" s="59" t="s">
        <v>1526</v>
      </c>
      <c r="F643" s="115" t="s">
        <v>1527</v>
      </c>
      <c r="G643" s="59" t="s">
        <v>133</v>
      </c>
      <c r="H643" s="59" t="s">
        <v>134</v>
      </c>
      <c r="I643" s="115" t="s">
        <v>280</v>
      </c>
      <c r="J643" s="125" t="s">
        <v>26</v>
      </c>
      <c r="K643" s="70">
        <v>33</v>
      </c>
      <c r="L643" s="139">
        <f>VLOOKUP(E643,'[1]MASTER WORKFILE MY26.2'!$H:$AC,22,0)</f>
        <v>26.700000000000003</v>
      </c>
      <c r="M643" s="119">
        <f>VLOOKUP(E643,'Apparel &amp; POS'!E:M,9,0)</f>
        <v>0</v>
      </c>
      <c r="N643" s="71">
        <f t="shared" si="9"/>
        <v>0</v>
      </c>
      <c r="O643" s="61"/>
      <c r="P643" s="61"/>
      <c r="Q643" s="61" t="s">
        <v>1750</v>
      </c>
    </row>
    <row r="644" spans="1:17" ht="14.4" x14ac:dyDescent="0.3">
      <c r="A644" s="124">
        <v>631</v>
      </c>
      <c r="B644" s="59" t="s">
        <v>766</v>
      </c>
      <c r="C644" s="59" t="s">
        <v>1371</v>
      </c>
      <c r="D644" s="115" t="s">
        <v>1528</v>
      </c>
      <c r="E644" s="59" t="s">
        <v>1529</v>
      </c>
      <c r="F644" s="115" t="s">
        <v>1530</v>
      </c>
      <c r="G644" s="59" t="s">
        <v>133</v>
      </c>
      <c r="H644" s="59" t="s">
        <v>134</v>
      </c>
      <c r="I644" s="115" t="s">
        <v>280</v>
      </c>
      <c r="J644" s="125" t="s">
        <v>26</v>
      </c>
      <c r="K644" s="70">
        <v>55</v>
      </c>
      <c r="L644" s="139">
        <f>VLOOKUP(E644,'[1]MASTER WORKFILE MY26.2'!$H:$AC,22,0)</f>
        <v>44.4</v>
      </c>
      <c r="M644" s="119">
        <f>VLOOKUP(E644,'Apparel &amp; POS'!E:M,9,0)</f>
        <v>0</v>
      </c>
      <c r="N644" s="71">
        <f t="shared" si="9"/>
        <v>0</v>
      </c>
      <c r="O644" s="61"/>
      <c r="P644" s="61"/>
      <c r="Q644" s="61" t="s">
        <v>1750</v>
      </c>
    </row>
    <row r="645" spans="1:17" ht="14.4" x14ac:dyDescent="0.3">
      <c r="A645" s="124">
        <v>632</v>
      </c>
      <c r="B645" s="59" t="s">
        <v>766</v>
      </c>
      <c r="C645" s="59" t="s">
        <v>1371</v>
      </c>
      <c r="D645" s="115" t="s">
        <v>1531</v>
      </c>
      <c r="E645" s="59" t="s">
        <v>1532</v>
      </c>
      <c r="F645" s="115" t="s">
        <v>1533</v>
      </c>
      <c r="G645" s="59" t="s">
        <v>133</v>
      </c>
      <c r="H645" s="59" t="s">
        <v>134</v>
      </c>
      <c r="I645" s="115" t="s">
        <v>280</v>
      </c>
      <c r="J645" s="125" t="s">
        <v>26</v>
      </c>
      <c r="K645" s="70">
        <v>30</v>
      </c>
      <c r="L645" s="139">
        <f>VLOOKUP(E645,'[1]MASTER WORKFILE MY26.2'!$H:$AC,22,0)</f>
        <v>24.2</v>
      </c>
      <c r="M645" s="119">
        <f>VLOOKUP(E645,'Apparel &amp; POS'!E:M,9,0)</f>
        <v>0</v>
      </c>
      <c r="N645" s="71">
        <f t="shared" si="9"/>
        <v>0</v>
      </c>
      <c r="O645" s="61"/>
      <c r="P645" s="61"/>
      <c r="Q645" s="61" t="s">
        <v>1750</v>
      </c>
    </row>
    <row r="646" spans="1:17" ht="14.4" x14ac:dyDescent="0.3">
      <c r="A646" s="124">
        <v>633</v>
      </c>
      <c r="B646" s="59" t="s">
        <v>766</v>
      </c>
      <c r="C646" s="59" t="s">
        <v>1371</v>
      </c>
      <c r="D646" s="115" t="s">
        <v>1534</v>
      </c>
      <c r="E646" s="59" t="s">
        <v>1535</v>
      </c>
      <c r="F646" s="115" t="s">
        <v>1536</v>
      </c>
      <c r="G646" s="59" t="s">
        <v>133</v>
      </c>
      <c r="H646" s="59" t="s">
        <v>134</v>
      </c>
      <c r="I646" s="115" t="s">
        <v>280</v>
      </c>
      <c r="J646" s="125" t="s">
        <v>26</v>
      </c>
      <c r="K646" s="70">
        <v>32</v>
      </c>
      <c r="L646" s="139">
        <f>VLOOKUP(E646,'[1]MASTER WORKFILE MY26.2'!$H:$AC,22,0)</f>
        <v>25.900000000000002</v>
      </c>
      <c r="M646" s="119">
        <f>VLOOKUP(E646,'Apparel &amp; POS'!E:M,9,0)</f>
        <v>0</v>
      </c>
      <c r="N646" s="71">
        <f t="shared" si="9"/>
        <v>0</v>
      </c>
      <c r="O646" s="61"/>
      <c r="P646" s="61"/>
      <c r="Q646" s="61" t="s">
        <v>1750</v>
      </c>
    </row>
    <row r="647" spans="1:17" ht="14.4" x14ac:dyDescent="0.3">
      <c r="A647" s="124">
        <v>634</v>
      </c>
      <c r="B647" s="59" t="s">
        <v>766</v>
      </c>
      <c r="C647" s="59" t="s">
        <v>1371</v>
      </c>
      <c r="D647" s="115" t="s">
        <v>1537</v>
      </c>
      <c r="E647" s="59" t="s">
        <v>1538</v>
      </c>
      <c r="F647" s="115" t="s">
        <v>1539</v>
      </c>
      <c r="G647" s="59" t="s">
        <v>133</v>
      </c>
      <c r="H647" s="59" t="s">
        <v>134</v>
      </c>
      <c r="I647" s="115" t="s">
        <v>280</v>
      </c>
      <c r="J647" s="125" t="s">
        <v>26</v>
      </c>
      <c r="K647" s="70">
        <v>22</v>
      </c>
      <c r="L647" s="139">
        <f>VLOOKUP(E647,'[1]MASTER WORKFILE MY26.2'!$H:$AC,22,0)</f>
        <v>17.8</v>
      </c>
      <c r="M647" s="119">
        <f>VLOOKUP(E647,'Apparel &amp; POS'!E:M,9,0)</f>
        <v>0</v>
      </c>
      <c r="N647" s="71">
        <f t="shared" si="9"/>
        <v>0</v>
      </c>
      <c r="O647" s="61"/>
      <c r="P647" s="61"/>
      <c r="Q647" s="61" t="s">
        <v>1750</v>
      </c>
    </row>
    <row r="648" spans="1:17" ht="14.4" x14ac:dyDescent="0.3">
      <c r="A648" s="124">
        <v>635</v>
      </c>
      <c r="B648" s="59" t="s">
        <v>766</v>
      </c>
      <c r="C648" s="59" t="s">
        <v>1371</v>
      </c>
      <c r="D648" s="115" t="s">
        <v>1540</v>
      </c>
      <c r="E648" s="59" t="s">
        <v>1541</v>
      </c>
      <c r="F648" s="115" t="s">
        <v>1542</v>
      </c>
      <c r="G648" s="59" t="s">
        <v>1543</v>
      </c>
      <c r="H648" s="59" t="s">
        <v>1544</v>
      </c>
      <c r="I648" s="115" t="s">
        <v>280</v>
      </c>
      <c r="J648" s="125" t="s">
        <v>26</v>
      </c>
      <c r="K648" s="70">
        <v>130</v>
      </c>
      <c r="L648" s="139">
        <f>VLOOKUP(E648,'[1]MASTER WORKFILE MY26.2'!$H:$AC,22,0)</f>
        <v>104.89999999999999</v>
      </c>
      <c r="M648" s="119">
        <f>VLOOKUP(E648,'Apparel &amp; POS'!E:M,9,0)</f>
        <v>0</v>
      </c>
      <c r="N648" s="71">
        <f t="shared" si="9"/>
        <v>0</v>
      </c>
      <c r="O648" s="61"/>
      <c r="P648" s="61"/>
      <c r="Q648" s="61" t="s">
        <v>1750</v>
      </c>
    </row>
    <row r="649" spans="1:17" ht="14.4" x14ac:dyDescent="0.3">
      <c r="A649" s="124">
        <v>636</v>
      </c>
      <c r="B649" s="59" t="s">
        <v>766</v>
      </c>
      <c r="C649" s="59" t="s">
        <v>1371</v>
      </c>
      <c r="D649" s="115" t="s">
        <v>1545</v>
      </c>
      <c r="E649" s="59" t="s">
        <v>1546</v>
      </c>
      <c r="F649" s="115" t="s">
        <v>1547</v>
      </c>
      <c r="G649" s="59" t="s">
        <v>133</v>
      </c>
      <c r="H649" s="59" t="s">
        <v>134</v>
      </c>
      <c r="I649" s="115" t="s">
        <v>280</v>
      </c>
      <c r="J649" s="125" t="s">
        <v>26</v>
      </c>
      <c r="K649" s="70">
        <v>8.25</v>
      </c>
      <c r="L649" s="139">
        <f>VLOOKUP(E649,'[1]MASTER WORKFILE MY26.2'!$H:$AC,22,0)</f>
        <v>6.6999999999999993</v>
      </c>
      <c r="M649" s="119">
        <f>VLOOKUP(E649,'Apparel &amp; POS'!E:M,9,0)</f>
        <v>0</v>
      </c>
      <c r="N649" s="71">
        <f t="shared" si="9"/>
        <v>0</v>
      </c>
      <c r="O649" s="61"/>
      <c r="P649" s="61"/>
      <c r="Q649" s="61" t="s">
        <v>1750</v>
      </c>
    </row>
    <row r="650" spans="1:17" ht="14.4" x14ac:dyDescent="0.3">
      <c r="A650" s="124">
        <v>637</v>
      </c>
      <c r="B650" s="59" t="s">
        <v>766</v>
      </c>
      <c r="C650" s="59" t="s">
        <v>1371</v>
      </c>
      <c r="D650" s="115" t="s">
        <v>1548</v>
      </c>
      <c r="E650" s="59" t="s">
        <v>1549</v>
      </c>
      <c r="F650" s="115" t="s">
        <v>1550</v>
      </c>
      <c r="G650" s="59" t="s">
        <v>133</v>
      </c>
      <c r="H650" s="59" t="s">
        <v>134</v>
      </c>
      <c r="I650" s="115" t="s">
        <v>280</v>
      </c>
      <c r="J650" s="125" t="s">
        <v>26</v>
      </c>
      <c r="K650" s="70">
        <v>3.75</v>
      </c>
      <c r="L650" s="139">
        <f>VLOOKUP(E650,'[1]MASTER WORKFILE MY26.2'!$H:$AC,22,0)</f>
        <v>3.1</v>
      </c>
      <c r="M650" s="119">
        <f>VLOOKUP(E650,'Apparel &amp; POS'!E:M,9,0)</f>
        <v>0</v>
      </c>
      <c r="N650" s="71">
        <f t="shared" si="9"/>
        <v>0</v>
      </c>
      <c r="O650" s="61"/>
      <c r="P650" s="61"/>
      <c r="Q650" s="61" t="s">
        <v>1750</v>
      </c>
    </row>
    <row r="651" spans="1:17" ht="14.4" x14ac:dyDescent="0.3">
      <c r="A651" s="124">
        <v>638</v>
      </c>
      <c r="B651" s="59" t="s">
        <v>766</v>
      </c>
      <c r="C651" s="59" t="s">
        <v>1371</v>
      </c>
      <c r="D651" s="115" t="s">
        <v>1551</v>
      </c>
      <c r="E651" s="59" t="s">
        <v>1552</v>
      </c>
      <c r="F651" s="115" t="s">
        <v>1553</v>
      </c>
      <c r="G651" s="59" t="s">
        <v>133</v>
      </c>
      <c r="H651" s="59" t="s">
        <v>134</v>
      </c>
      <c r="I651" s="115" t="s">
        <v>280</v>
      </c>
      <c r="J651" s="125" t="s">
        <v>26</v>
      </c>
      <c r="K651" s="70">
        <v>4.5</v>
      </c>
      <c r="L651" s="139">
        <f>VLOOKUP(E651,'[1]MASTER WORKFILE MY26.2'!$H:$AC,22,0)</f>
        <v>3.7</v>
      </c>
      <c r="M651" s="119">
        <f>VLOOKUP(E651,'Apparel &amp; POS'!E:M,9,0)</f>
        <v>0</v>
      </c>
      <c r="N651" s="71">
        <f t="shared" si="9"/>
        <v>0</v>
      </c>
      <c r="O651" s="61"/>
      <c r="P651" s="61"/>
      <c r="Q651" s="61" t="s">
        <v>1750</v>
      </c>
    </row>
    <row r="652" spans="1:17" ht="14.4" x14ac:dyDescent="0.3">
      <c r="A652" s="124">
        <v>639</v>
      </c>
      <c r="B652" s="59" t="s">
        <v>766</v>
      </c>
      <c r="C652" s="59" t="s">
        <v>1371</v>
      </c>
      <c r="D652" s="115" t="s">
        <v>1554</v>
      </c>
      <c r="E652" s="59" t="s">
        <v>1555</v>
      </c>
      <c r="F652" s="115" t="s">
        <v>1556</v>
      </c>
      <c r="G652" s="59" t="s">
        <v>133</v>
      </c>
      <c r="H652" s="59" t="s">
        <v>134</v>
      </c>
      <c r="I652" s="115" t="s">
        <v>280</v>
      </c>
      <c r="J652" s="125" t="s">
        <v>26</v>
      </c>
      <c r="K652" s="70">
        <v>2</v>
      </c>
      <c r="L652" s="139">
        <f>VLOOKUP(E652,'[1]MASTER WORKFILE MY26.2'!$H:$AC,22,0)</f>
        <v>1.7000000000000002</v>
      </c>
      <c r="M652" s="119">
        <f>VLOOKUP(E652,'Apparel &amp; POS'!E:M,9,0)</f>
        <v>0</v>
      </c>
      <c r="N652" s="71">
        <f t="shared" si="9"/>
        <v>0</v>
      </c>
      <c r="O652" s="61"/>
      <c r="P652" s="61"/>
      <c r="Q652" s="61" t="s">
        <v>1750</v>
      </c>
    </row>
    <row r="653" spans="1:17" ht="14.4" x14ac:dyDescent="0.3">
      <c r="A653" s="124">
        <v>640</v>
      </c>
      <c r="B653" s="59" t="s">
        <v>766</v>
      </c>
      <c r="C653" s="59" t="s">
        <v>1371</v>
      </c>
      <c r="D653" s="115" t="s">
        <v>1557</v>
      </c>
      <c r="E653" s="59" t="s">
        <v>1558</v>
      </c>
      <c r="F653" s="115" t="s">
        <v>1559</v>
      </c>
      <c r="G653" s="59" t="s">
        <v>1560</v>
      </c>
      <c r="H653" s="59" t="s">
        <v>1561</v>
      </c>
      <c r="I653" s="115" t="s">
        <v>280</v>
      </c>
      <c r="J653" s="125" t="s">
        <v>26</v>
      </c>
      <c r="K653" s="70">
        <v>13</v>
      </c>
      <c r="L653" s="139">
        <f>VLOOKUP(E653,'[1]MASTER WORKFILE MY26.2'!$H:$AC,22,0)</f>
        <v>10.5</v>
      </c>
      <c r="M653" s="119">
        <f>VLOOKUP(E653,'Apparel &amp; POS'!E:M,9,0)</f>
        <v>0</v>
      </c>
      <c r="N653" s="71">
        <f t="shared" ref="N653:N716" si="10">L653*M653</f>
        <v>0</v>
      </c>
      <c r="O653" s="61"/>
      <c r="P653" s="61"/>
      <c r="Q653" s="61" t="s">
        <v>1750</v>
      </c>
    </row>
    <row r="654" spans="1:17" ht="14.4" x14ac:dyDescent="0.3">
      <c r="A654" s="124">
        <v>641</v>
      </c>
      <c r="B654" s="59" t="s">
        <v>766</v>
      </c>
      <c r="C654" s="59" t="s">
        <v>1371</v>
      </c>
      <c r="D654" s="115" t="s">
        <v>1557</v>
      </c>
      <c r="E654" s="59" t="s">
        <v>1562</v>
      </c>
      <c r="F654" s="115" t="s">
        <v>1559</v>
      </c>
      <c r="G654" s="59" t="s">
        <v>133</v>
      </c>
      <c r="H654" s="59" t="s">
        <v>134</v>
      </c>
      <c r="I654" s="115" t="s">
        <v>280</v>
      </c>
      <c r="J654" s="125" t="s">
        <v>26</v>
      </c>
      <c r="K654" s="70">
        <v>13</v>
      </c>
      <c r="L654" s="139">
        <f>VLOOKUP(E654,'[1]MASTER WORKFILE MY26.2'!$H:$AC,22,0)</f>
        <v>10.5</v>
      </c>
      <c r="M654" s="119">
        <f>VLOOKUP(E654,'Apparel &amp; POS'!E:M,9,0)</f>
        <v>0</v>
      </c>
      <c r="N654" s="71">
        <f t="shared" si="10"/>
        <v>0</v>
      </c>
      <c r="O654" s="61"/>
      <c r="P654" s="61"/>
      <c r="Q654" s="61" t="s">
        <v>1750</v>
      </c>
    </row>
    <row r="655" spans="1:17" ht="14.4" x14ac:dyDescent="0.3">
      <c r="A655" s="124">
        <v>642</v>
      </c>
      <c r="B655" s="59" t="s">
        <v>766</v>
      </c>
      <c r="C655" s="59" t="s">
        <v>1371</v>
      </c>
      <c r="D655" s="115" t="s">
        <v>1563</v>
      </c>
      <c r="E655" s="59" t="s">
        <v>1564</v>
      </c>
      <c r="F655" s="115" t="s">
        <v>1565</v>
      </c>
      <c r="G655" s="59" t="s">
        <v>1560</v>
      </c>
      <c r="H655" s="59" t="s">
        <v>1561</v>
      </c>
      <c r="I655" s="115" t="s">
        <v>280</v>
      </c>
      <c r="J655" s="125" t="s">
        <v>26</v>
      </c>
      <c r="K655" s="70">
        <v>10</v>
      </c>
      <c r="L655" s="139">
        <f>VLOOKUP(E655,'[1]MASTER WORKFILE MY26.2'!$H:$AC,22,0)</f>
        <v>8.1</v>
      </c>
      <c r="M655" s="119">
        <f>VLOOKUP(E655,'Apparel &amp; POS'!E:M,9,0)</f>
        <v>0</v>
      </c>
      <c r="N655" s="71">
        <f t="shared" si="10"/>
        <v>0</v>
      </c>
      <c r="O655" s="61"/>
      <c r="P655" s="61"/>
      <c r="Q655" s="61" t="s">
        <v>1750</v>
      </c>
    </row>
    <row r="656" spans="1:17" ht="14.4" x14ac:dyDescent="0.3">
      <c r="A656" s="124">
        <v>643</v>
      </c>
      <c r="B656" s="59" t="s">
        <v>766</v>
      </c>
      <c r="C656" s="59" t="s">
        <v>1371</v>
      </c>
      <c r="D656" s="115" t="s">
        <v>1563</v>
      </c>
      <c r="E656" s="59" t="s">
        <v>1566</v>
      </c>
      <c r="F656" s="115" t="s">
        <v>1565</v>
      </c>
      <c r="G656" s="59" t="s">
        <v>133</v>
      </c>
      <c r="H656" s="59" t="s">
        <v>134</v>
      </c>
      <c r="I656" s="115" t="s">
        <v>280</v>
      </c>
      <c r="J656" s="125" t="s">
        <v>26</v>
      </c>
      <c r="K656" s="70">
        <v>10</v>
      </c>
      <c r="L656" s="139">
        <f>VLOOKUP(E656,'[1]MASTER WORKFILE MY26.2'!$H:$AC,22,0)</f>
        <v>8.1</v>
      </c>
      <c r="M656" s="119">
        <f>VLOOKUP(E656,'Apparel &amp; POS'!E:M,9,0)</f>
        <v>0</v>
      </c>
      <c r="N656" s="71">
        <f t="shared" si="10"/>
        <v>0</v>
      </c>
      <c r="O656" s="61"/>
      <c r="P656" s="61"/>
      <c r="Q656" s="61" t="s">
        <v>1750</v>
      </c>
    </row>
    <row r="657" spans="1:17" ht="14.4" x14ac:dyDescent="0.3">
      <c r="A657" s="124">
        <v>644</v>
      </c>
      <c r="B657" s="59" t="s">
        <v>766</v>
      </c>
      <c r="C657" s="59" t="s">
        <v>1371</v>
      </c>
      <c r="D657" s="115" t="s">
        <v>1567</v>
      </c>
      <c r="E657" s="59" t="s">
        <v>1568</v>
      </c>
      <c r="F657" s="115" t="s">
        <v>1569</v>
      </c>
      <c r="G657" s="59" t="s">
        <v>1560</v>
      </c>
      <c r="H657" s="59" t="s">
        <v>1561</v>
      </c>
      <c r="I657" s="115" t="s">
        <v>280</v>
      </c>
      <c r="J657" s="125" t="s">
        <v>26</v>
      </c>
      <c r="K657" s="70">
        <v>30</v>
      </c>
      <c r="L657" s="139">
        <f>VLOOKUP(E657,'[1]MASTER WORKFILE MY26.2'!$H:$AC,22,0)</f>
        <v>24.2</v>
      </c>
      <c r="M657" s="119">
        <f>VLOOKUP(E657,'Apparel &amp; POS'!E:M,9,0)</f>
        <v>0</v>
      </c>
      <c r="N657" s="71">
        <f t="shared" si="10"/>
        <v>0</v>
      </c>
      <c r="O657" s="61"/>
      <c r="P657" s="61"/>
      <c r="Q657" s="61" t="s">
        <v>1750</v>
      </c>
    </row>
    <row r="658" spans="1:17" ht="14.4" x14ac:dyDescent="0.3">
      <c r="A658" s="124">
        <v>645</v>
      </c>
      <c r="B658" s="59" t="s">
        <v>766</v>
      </c>
      <c r="C658" s="59" t="s">
        <v>1371</v>
      </c>
      <c r="D658" s="115" t="s">
        <v>1567</v>
      </c>
      <c r="E658" s="59" t="s">
        <v>1570</v>
      </c>
      <c r="F658" s="115" t="s">
        <v>1569</v>
      </c>
      <c r="G658" s="59" t="s">
        <v>133</v>
      </c>
      <c r="H658" s="59" t="s">
        <v>134</v>
      </c>
      <c r="I658" s="115" t="s">
        <v>280</v>
      </c>
      <c r="J658" s="125" t="s">
        <v>26</v>
      </c>
      <c r="K658" s="70">
        <v>30</v>
      </c>
      <c r="L658" s="139">
        <f>VLOOKUP(E658,'[1]MASTER WORKFILE MY26.2'!$H:$AC,22,0)</f>
        <v>24.2</v>
      </c>
      <c r="M658" s="119">
        <f>VLOOKUP(E658,'Apparel &amp; POS'!E:M,9,0)</f>
        <v>0</v>
      </c>
      <c r="N658" s="71">
        <f t="shared" si="10"/>
        <v>0</v>
      </c>
      <c r="O658" s="61"/>
      <c r="P658" s="61"/>
      <c r="Q658" s="61" t="s">
        <v>1750</v>
      </c>
    </row>
    <row r="659" spans="1:17" ht="14.4" x14ac:dyDescent="0.3">
      <c r="A659" s="124">
        <v>646</v>
      </c>
      <c r="B659" s="59" t="s">
        <v>766</v>
      </c>
      <c r="C659" s="59" t="s">
        <v>1371</v>
      </c>
      <c r="D659" s="115" t="s">
        <v>1571</v>
      </c>
      <c r="E659" s="59" t="s">
        <v>1572</v>
      </c>
      <c r="F659" s="115" t="s">
        <v>1573</v>
      </c>
      <c r="G659" s="59" t="s">
        <v>1560</v>
      </c>
      <c r="H659" s="59" t="s">
        <v>1561</v>
      </c>
      <c r="I659" s="115" t="s">
        <v>280</v>
      </c>
      <c r="J659" s="125" t="s">
        <v>26</v>
      </c>
      <c r="K659" s="70">
        <v>30</v>
      </c>
      <c r="L659" s="139">
        <f>VLOOKUP(E659,'[1]MASTER WORKFILE MY26.2'!$H:$AC,22,0)</f>
        <v>24.2</v>
      </c>
      <c r="M659" s="119">
        <f>VLOOKUP(E659,'Apparel &amp; POS'!E:M,9,0)</f>
        <v>0</v>
      </c>
      <c r="N659" s="71">
        <f t="shared" si="10"/>
        <v>0</v>
      </c>
      <c r="O659" s="61"/>
      <c r="P659" s="61"/>
      <c r="Q659" s="61" t="s">
        <v>1750</v>
      </c>
    </row>
    <row r="660" spans="1:17" ht="14.4" x14ac:dyDescent="0.3">
      <c r="A660" s="124">
        <v>647</v>
      </c>
      <c r="B660" s="59" t="s">
        <v>766</v>
      </c>
      <c r="C660" s="59" t="s">
        <v>1371</v>
      </c>
      <c r="D660" s="115" t="s">
        <v>1571</v>
      </c>
      <c r="E660" s="59" t="s">
        <v>1574</v>
      </c>
      <c r="F660" s="115" t="s">
        <v>1573</v>
      </c>
      <c r="G660" s="59" t="s">
        <v>133</v>
      </c>
      <c r="H660" s="59" t="s">
        <v>134</v>
      </c>
      <c r="I660" s="115" t="s">
        <v>280</v>
      </c>
      <c r="J660" s="125" t="s">
        <v>26</v>
      </c>
      <c r="K660" s="70">
        <v>30</v>
      </c>
      <c r="L660" s="139">
        <f>VLOOKUP(E660,'[1]MASTER WORKFILE MY26.2'!$H:$AC,22,0)</f>
        <v>24.2</v>
      </c>
      <c r="M660" s="119">
        <f>VLOOKUP(E660,'Apparel &amp; POS'!E:M,9,0)</f>
        <v>0</v>
      </c>
      <c r="N660" s="71">
        <f t="shared" si="10"/>
        <v>0</v>
      </c>
      <c r="O660" s="61"/>
      <c r="P660" s="61"/>
      <c r="Q660" s="61" t="s">
        <v>1750</v>
      </c>
    </row>
    <row r="661" spans="1:17" ht="14.4" x14ac:dyDescent="0.3">
      <c r="A661" s="124">
        <v>648</v>
      </c>
      <c r="B661" s="59" t="s">
        <v>766</v>
      </c>
      <c r="C661" s="59" t="s">
        <v>1371</v>
      </c>
      <c r="D661" s="115" t="s">
        <v>1575</v>
      </c>
      <c r="E661" s="59" t="s">
        <v>1576</v>
      </c>
      <c r="F661" s="115" t="s">
        <v>1577</v>
      </c>
      <c r="G661" s="59" t="s">
        <v>133</v>
      </c>
      <c r="H661" s="59" t="s">
        <v>134</v>
      </c>
      <c r="I661" s="115" t="s">
        <v>280</v>
      </c>
      <c r="J661" s="125" t="s">
        <v>26</v>
      </c>
      <c r="K661" s="70">
        <v>195</v>
      </c>
      <c r="L661" s="139">
        <f>VLOOKUP(E661,'[1]MASTER WORKFILE MY26.2'!$H:$AC,22,0)</f>
        <v>157.30000000000001</v>
      </c>
      <c r="M661" s="119">
        <f>VLOOKUP(E661,'Apparel &amp; POS'!E:M,9,0)</f>
        <v>0</v>
      </c>
      <c r="N661" s="71">
        <f t="shared" si="10"/>
        <v>0</v>
      </c>
      <c r="O661" s="61"/>
      <c r="P661" s="61"/>
      <c r="Q661" s="61" t="s">
        <v>1750</v>
      </c>
    </row>
    <row r="662" spans="1:17" ht="14.4" x14ac:dyDescent="0.3">
      <c r="A662" s="124">
        <v>649</v>
      </c>
      <c r="B662" s="59" t="s">
        <v>766</v>
      </c>
      <c r="C662" s="59" t="s">
        <v>1371</v>
      </c>
      <c r="D662" s="115" t="s">
        <v>1578</v>
      </c>
      <c r="E662" s="59" t="s">
        <v>1579</v>
      </c>
      <c r="F662" s="115" t="s">
        <v>1580</v>
      </c>
      <c r="G662" s="59" t="s">
        <v>161</v>
      </c>
      <c r="H662" s="59" t="s">
        <v>162</v>
      </c>
      <c r="I662" s="115" t="s">
        <v>280</v>
      </c>
      <c r="J662" s="125" t="s">
        <v>26</v>
      </c>
      <c r="K662" s="70">
        <v>188</v>
      </c>
      <c r="L662" s="139">
        <f>VLOOKUP(E662,'[1]MASTER WORKFILE MY26.2'!$H:$AC,22,0)</f>
        <v>151.69999999999999</v>
      </c>
      <c r="M662" s="119">
        <f>VLOOKUP(E662,'Apparel &amp; POS'!E:M,9,0)</f>
        <v>0</v>
      </c>
      <c r="N662" s="71">
        <f t="shared" si="10"/>
        <v>0</v>
      </c>
      <c r="O662" s="61"/>
      <c r="P662" s="61"/>
      <c r="Q662" s="61" t="s">
        <v>1750</v>
      </c>
    </row>
    <row r="663" spans="1:17" ht="14.4" x14ac:dyDescent="0.3">
      <c r="A663" s="124">
        <v>650</v>
      </c>
      <c r="B663" s="59" t="s">
        <v>766</v>
      </c>
      <c r="C663" s="59" t="s">
        <v>1371</v>
      </c>
      <c r="D663" s="115" t="s">
        <v>1581</v>
      </c>
      <c r="E663" s="59" t="s">
        <v>1582</v>
      </c>
      <c r="F663" s="115" t="s">
        <v>1583</v>
      </c>
      <c r="G663" s="59" t="s">
        <v>161</v>
      </c>
      <c r="H663" s="59" t="s">
        <v>162</v>
      </c>
      <c r="I663" s="115" t="s">
        <v>280</v>
      </c>
      <c r="J663" s="125" t="s">
        <v>26</v>
      </c>
      <c r="K663" s="70">
        <v>115</v>
      </c>
      <c r="L663" s="139">
        <f>VLOOKUP(E663,'[1]MASTER WORKFILE MY26.2'!$H:$AC,22,0)</f>
        <v>92.8</v>
      </c>
      <c r="M663" s="119">
        <f>VLOOKUP(E663,'Apparel &amp; POS'!E:M,9,0)</f>
        <v>0</v>
      </c>
      <c r="N663" s="71">
        <f t="shared" si="10"/>
        <v>0</v>
      </c>
      <c r="O663" s="61"/>
      <c r="P663" s="61"/>
      <c r="Q663" s="61" t="s">
        <v>1750</v>
      </c>
    </row>
    <row r="664" spans="1:17" ht="14.4" x14ac:dyDescent="0.3">
      <c r="A664" s="124">
        <v>651</v>
      </c>
      <c r="B664" s="59" t="s">
        <v>766</v>
      </c>
      <c r="C664" s="59" t="s">
        <v>1371</v>
      </c>
      <c r="D664" s="115" t="s">
        <v>1584</v>
      </c>
      <c r="E664" s="59" t="s">
        <v>1585</v>
      </c>
      <c r="F664" s="115" t="s">
        <v>1586</v>
      </c>
      <c r="G664" s="59" t="s">
        <v>133</v>
      </c>
      <c r="H664" s="59" t="s">
        <v>134</v>
      </c>
      <c r="I664" s="115" t="s">
        <v>280</v>
      </c>
      <c r="J664" s="125" t="s">
        <v>26</v>
      </c>
      <c r="K664" s="70">
        <v>115</v>
      </c>
      <c r="L664" s="139">
        <f>VLOOKUP(E664,'[1]MASTER WORKFILE MY26.2'!$H:$AC,22,0)</f>
        <v>92.8</v>
      </c>
      <c r="M664" s="119">
        <f>VLOOKUP(E664,'Apparel &amp; POS'!E:M,9,0)</f>
        <v>0</v>
      </c>
      <c r="N664" s="71">
        <f t="shared" si="10"/>
        <v>0</v>
      </c>
      <c r="O664" s="61"/>
      <c r="P664" s="61"/>
      <c r="Q664" s="61" t="s">
        <v>1750</v>
      </c>
    </row>
    <row r="665" spans="1:17" ht="14.4" x14ac:dyDescent="0.3">
      <c r="A665" s="124">
        <v>652</v>
      </c>
      <c r="B665" s="59" t="s">
        <v>766</v>
      </c>
      <c r="C665" s="59" t="s">
        <v>1371</v>
      </c>
      <c r="D665" s="115" t="s">
        <v>1587</v>
      </c>
      <c r="E665" s="59" t="s">
        <v>1588</v>
      </c>
      <c r="F665" s="115" t="s">
        <v>1589</v>
      </c>
      <c r="G665" s="59" t="s">
        <v>161</v>
      </c>
      <c r="H665" s="59" t="s">
        <v>162</v>
      </c>
      <c r="I665" s="115" t="s">
        <v>280</v>
      </c>
      <c r="J665" s="125" t="s">
        <v>26</v>
      </c>
      <c r="K665" s="70">
        <v>65</v>
      </c>
      <c r="L665" s="139">
        <f>VLOOKUP(E665,'[1]MASTER WORKFILE MY26.2'!$H:$AC,22,0)</f>
        <v>52.5</v>
      </c>
      <c r="M665" s="116">
        <f>VLOOKUP(E665,'Apparel &amp; POS'!E:M,9,0)</f>
        <v>0</v>
      </c>
      <c r="N665" s="71">
        <f t="shared" si="10"/>
        <v>0</v>
      </c>
      <c r="O665" s="61"/>
      <c r="P665" s="61"/>
      <c r="Q665" s="61" t="s">
        <v>1750</v>
      </c>
    </row>
    <row r="666" spans="1:17" ht="14.4" x14ac:dyDescent="0.3">
      <c r="A666" s="124">
        <v>653</v>
      </c>
      <c r="B666" s="59" t="s">
        <v>766</v>
      </c>
      <c r="C666" s="59" t="s">
        <v>1371</v>
      </c>
      <c r="D666" s="115" t="s">
        <v>1590</v>
      </c>
      <c r="E666" s="59" t="s">
        <v>1591</v>
      </c>
      <c r="F666" s="115" t="s">
        <v>1592</v>
      </c>
      <c r="G666" s="59" t="s">
        <v>133</v>
      </c>
      <c r="H666" s="59" t="s">
        <v>134</v>
      </c>
      <c r="I666" s="115" t="s">
        <v>280</v>
      </c>
      <c r="J666" s="125" t="s">
        <v>26</v>
      </c>
      <c r="K666" s="70">
        <v>265</v>
      </c>
      <c r="L666" s="139">
        <f>VLOOKUP(E666,'[1]MASTER WORKFILE MY26.2'!$H:$AC,22,0)</f>
        <v>213.79999999999998</v>
      </c>
      <c r="M666" s="116">
        <f>VLOOKUP(E666,'Apparel &amp; POS'!E:M,9,0)</f>
        <v>0</v>
      </c>
      <c r="N666" s="71">
        <f t="shared" si="10"/>
        <v>0</v>
      </c>
      <c r="O666" s="61"/>
      <c r="P666" s="61"/>
      <c r="Q666" s="61" t="s">
        <v>1750</v>
      </c>
    </row>
    <row r="667" spans="1:17" ht="14.4" x14ac:dyDescent="0.3">
      <c r="A667" s="124">
        <v>654</v>
      </c>
      <c r="B667" s="59" t="s">
        <v>766</v>
      </c>
      <c r="C667" s="59" t="s">
        <v>1371</v>
      </c>
      <c r="D667" s="115" t="s">
        <v>1593</v>
      </c>
      <c r="E667" s="59" t="s">
        <v>1594</v>
      </c>
      <c r="F667" s="115" t="s">
        <v>1595</v>
      </c>
      <c r="G667" s="59" t="s">
        <v>161</v>
      </c>
      <c r="H667" s="59" t="s">
        <v>162</v>
      </c>
      <c r="I667" s="115" t="s">
        <v>280</v>
      </c>
      <c r="J667" s="125" t="s">
        <v>26</v>
      </c>
      <c r="K667" s="70">
        <v>19</v>
      </c>
      <c r="L667" s="139">
        <f>VLOOKUP(E667,'[1]MASTER WORKFILE MY26.2'!$H:$AC,22,0)</f>
        <v>15.4</v>
      </c>
      <c r="M667" s="116">
        <f>VLOOKUP(E667,'Apparel &amp; POS'!E:M,9,0)</f>
        <v>0</v>
      </c>
      <c r="N667" s="71">
        <f t="shared" si="10"/>
        <v>0</v>
      </c>
      <c r="O667" s="61"/>
      <c r="P667" s="61"/>
      <c r="Q667" s="61" t="s">
        <v>1750</v>
      </c>
    </row>
    <row r="668" spans="1:17" ht="14.4" x14ac:dyDescent="0.3">
      <c r="A668" s="124">
        <v>655</v>
      </c>
      <c r="B668" s="59" t="s">
        <v>766</v>
      </c>
      <c r="C668" s="59" t="s">
        <v>1371</v>
      </c>
      <c r="D668" s="115" t="s">
        <v>1596</v>
      </c>
      <c r="E668" s="59" t="s">
        <v>1597</v>
      </c>
      <c r="F668" s="115" t="s">
        <v>1598</v>
      </c>
      <c r="G668" s="59" t="s">
        <v>1599</v>
      </c>
      <c r="H668" s="59" t="s">
        <v>1600</v>
      </c>
      <c r="I668" s="115" t="s">
        <v>280</v>
      </c>
      <c r="J668" s="125" t="s">
        <v>26</v>
      </c>
      <c r="K668" s="70">
        <v>7.5</v>
      </c>
      <c r="L668" s="139">
        <f>VLOOKUP(E668,'[1]MASTER WORKFILE MY26.2'!$H:$AC,22,0)</f>
        <v>4.3</v>
      </c>
      <c r="M668" s="119">
        <f>VLOOKUP(E668,'Apparel &amp; POS'!E:M,9,0)</f>
        <v>0</v>
      </c>
      <c r="N668" s="71">
        <f t="shared" si="10"/>
        <v>0</v>
      </c>
      <c r="O668" s="61"/>
      <c r="P668" s="61"/>
      <c r="Q668" s="61" t="s">
        <v>1750</v>
      </c>
    </row>
    <row r="669" spans="1:17" ht="14.4" x14ac:dyDescent="0.3">
      <c r="A669" s="124">
        <v>656</v>
      </c>
      <c r="B669" s="59" t="s">
        <v>766</v>
      </c>
      <c r="C669" s="59" t="s">
        <v>1371</v>
      </c>
      <c r="D669" s="115" t="s">
        <v>1601</v>
      </c>
      <c r="E669" s="59" t="s">
        <v>1602</v>
      </c>
      <c r="F669" s="115" t="s">
        <v>1603</v>
      </c>
      <c r="G669" s="59" t="s">
        <v>133</v>
      </c>
      <c r="H669" s="59" t="s">
        <v>134</v>
      </c>
      <c r="I669" s="115" t="s">
        <v>280</v>
      </c>
      <c r="J669" s="125" t="s">
        <v>26</v>
      </c>
      <c r="K669" s="70">
        <v>70</v>
      </c>
      <c r="L669" s="139">
        <f>VLOOKUP(E669,'[1]MASTER WORKFILE MY26.2'!$H:$AC,22,0)</f>
        <v>39.6</v>
      </c>
      <c r="M669" s="119">
        <f>VLOOKUP(E669,'Apparel &amp; POS'!E:M,9,0)</f>
        <v>0</v>
      </c>
      <c r="N669" s="71">
        <f t="shared" si="10"/>
        <v>0</v>
      </c>
      <c r="O669" s="61"/>
      <c r="P669" s="61"/>
      <c r="Q669" s="61" t="s">
        <v>1750</v>
      </c>
    </row>
    <row r="670" spans="1:17" ht="14.4" x14ac:dyDescent="0.3">
      <c r="A670" s="124">
        <v>657</v>
      </c>
      <c r="B670" s="59" t="s">
        <v>766</v>
      </c>
      <c r="C670" s="59" t="s">
        <v>1371</v>
      </c>
      <c r="D670" s="115" t="s">
        <v>1604</v>
      </c>
      <c r="E670" s="59" t="s">
        <v>1605</v>
      </c>
      <c r="F670" s="115" t="s">
        <v>1606</v>
      </c>
      <c r="G670" s="59" t="s">
        <v>133</v>
      </c>
      <c r="H670" s="59" t="s">
        <v>134</v>
      </c>
      <c r="I670" s="115" t="s">
        <v>280</v>
      </c>
      <c r="J670" s="125" t="s">
        <v>26</v>
      </c>
      <c r="K670" s="70">
        <v>19</v>
      </c>
      <c r="L670" s="139">
        <f>VLOOKUP(E670,'[1]MASTER WORKFILE MY26.2'!$H:$AC,22,0)</f>
        <v>10.799999999999999</v>
      </c>
      <c r="M670" s="119">
        <f>VLOOKUP(E670,'Apparel &amp; POS'!E:M,9,0)</f>
        <v>0</v>
      </c>
      <c r="N670" s="71">
        <f t="shared" si="10"/>
        <v>0</v>
      </c>
      <c r="O670" s="61"/>
      <c r="P670" s="61"/>
      <c r="Q670" s="61" t="s">
        <v>1750</v>
      </c>
    </row>
    <row r="671" spans="1:17" ht="14.4" x14ac:dyDescent="0.3">
      <c r="A671" s="124">
        <v>658</v>
      </c>
      <c r="B671" s="59" t="s">
        <v>766</v>
      </c>
      <c r="C671" s="59" t="s">
        <v>1371</v>
      </c>
      <c r="D671" s="115" t="s">
        <v>1607</v>
      </c>
      <c r="E671" s="59" t="s">
        <v>1608</v>
      </c>
      <c r="F671" s="115" t="s">
        <v>1609</v>
      </c>
      <c r="G671" s="59" t="s">
        <v>133</v>
      </c>
      <c r="H671" s="59" t="s">
        <v>134</v>
      </c>
      <c r="I671" s="115" t="s">
        <v>280</v>
      </c>
      <c r="J671" s="125" t="s">
        <v>26</v>
      </c>
      <c r="K671" s="70">
        <v>265</v>
      </c>
      <c r="L671" s="139">
        <f>VLOOKUP(E671,'[1]MASTER WORKFILE MY26.2'!$H:$AC,22,0)</f>
        <v>213.79999999999998</v>
      </c>
      <c r="M671" s="119">
        <f>VLOOKUP(E671,'Apparel &amp; POS'!E:M,9,0)</f>
        <v>0</v>
      </c>
      <c r="N671" s="71">
        <f t="shared" si="10"/>
        <v>0</v>
      </c>
      <c r="O671" s="61"/>
      <c r="P671" s="61"/>
      <c r="Q671" s="61" t="s">
        <v>1750</v>
      </c>
    </row>
    <row r="672" spans="1:17" ht="14.4" x14ac:dyDescent="0.3">
      <c r="A672" s="124">
        <v>659</v>
      </c>
      <c r="B672" s="59" t="s">
        <v>766</v>
      </c>
      <c r="C672" s="59" t="s">
        <v>1371</v>
      </c>
      <c r="D672" s="115" t="s">
        <v>1610</v>
      </c>
      <c r="E672" s="59" t="s">
        <v>1611</v>
      </c>
      <c r="F672" s="115" t="s">
        <v>1612</v>
      </c>
      <c r="G672" s="59" t="s">
        <v>133</v>
      </c>
      <c r="H672" s="59" t="s">
        <v>134</v>
      </c>
      <c r="I672" s="115" t="s">
        <v>280</v>
      </c>
      <c r="J672" s="125" t="s">
        <v>26</v>
      </c>
      <c r="K672" s="132">
        <v>225</v>
      </c>
      <c r="L672" s="139">
        <f>VLOOKUP(E672,'[1]MASTER WORKFILE MY26.2'!$H:$AC,22,0)</f>
        <v>181.5</v>
      </c>
      <c r="M672" s="119">
        <f>VLOOKUP(E672,'Apparel &amp; POS'!E:M,9,0)</f>
        <v>0</v>
      </c>
      <c r="N672" s="60">
        <f t="shared" si="10"/>
        <v>0</v>
      </c>
      <c r="O672" s="61"/>
      <c r="P672" s="61"/>
      <c r="Q672" s="61" t="s">
        <v>1750</v>
      </c>
    </row>
  </sheetData>
  <sheetProtection formatCells="0"/>
  <autoFilter ref="A12:R672" xr:uid="{0957C24B-62A0-4C2A-A2CB-1523831C7598}">
    <sortState xmlns:xlrd2="http://schemas.microsoft.com/office/spreadsheetml/2017/richdata2" ref="A13:R672">
      <sortCondition ref="A12:A672"/>
    </sortState>
  </autoFilter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colBreaks count="1" manualBreakCount="1">
    <brk id="1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zoomScale="80" zoomScaleNormal="80" workbookViewId="0">
      <selection activeCell="V25" sqref="V25"/>
    </sheetView>
  </sheetViews>
  <sheetFormatPr defaultColWidth="9.109375" defaultRowHeight="14.4" x14ac:dyDescent="0.3"/>
  <sheetData/>
  <customSheetViews>
    <customSheetView guid="{E0BAB3EC-1201-4193-B59E-5B286709951D}" showGridLines="0">
      <selection activeCell="W24" sqref="W24"/>
      <pageMargins left="0" right="0" top="0" bottom="0" header="0" footer="0"/>
    </customSheetView>
  </customSheetView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9053766BBCF44392EDB0FE66E082D6" ma:contentTypeVersion="20" ma:contentTypeDescription="Een nieuw document maken." ma:contentTypeScope="" ma:versionID="8790026ff3e5928e5bf74009aa4db20a">
  <xsd:schema xmlns:xsd="http://www.w3.org/2001/XMLSchema" xmlns:xs="http://www.w3.org/2001/XMLSchema" xmlns:p="http://schemas.microsoft.com/office/2006/metadata/properties" xmlns:ns2="33abc42f-d841-4521-b11e-8b0fa09cfaff" xmlns:ns3="35a11a82-be53-4946-bc6f-17dca593c7af" targetNamespace="http://schemas.microsoft.com/office/2006/metadata/properties" ma:root="true" ma:fieldsID="b5a3d82e93ebdfb6ffee82010d043bff" ns2:_="" ns3:_="">
    <xsd:import namespace="33abc42f-d841-4521-b11e-8b0fa09cfaff"/>
    <xsd:import namespace="35a11a82-be53-4946-bc6f-17dca593c7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bc42f-d841-4521-b11e-8b0fa09cf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371ac429-37f1-4dcb-9eb1-7b215bcf3a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a11a82-be53-4946-bc6f-17dca593c7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1a3c72-f964-4d49-a20c-2ba12d7c5791}" ma:internalName="TaxCatchAll" ma:showField="CatchAllData" ma:web="35a11a82-be53-4946-bc6f-17dca593c7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a11a82-be53-4946-bc6f-17dca593c7af" xsi:nil="true"/>
    <lcf76f155ced4ddcb4097134ff3c332f xmlns="33abc42f-d841-4521-b11e-8b0fa09cfaf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B93D12-99A6-4013-B193-C195B1E08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abc42f-d841-4521-b11e-8b0fa09cfaff"/>
    <ds:schemaRef ds:uri="35a11a82-be53-4946-bc6f-17dca593c7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E7AD37-0072-4A3D-95D5-19AC4A8F52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E9CEA6-5FB1-4AA1-ADA2-A79B6B26CD2F}">
  <ds:schemaRefs>
    <ds:schemaRef ds:uri="http://schemas.microsoft.com/office/2006/metadata/properties"/>
    <ds:schemaRef ds:uri="http://schemas.microsoft.com/office/infopath/2007/PartnerControls"/>
    <ds:schemaRef ds:uri="35a11a82-be53-4946-bc6f-17dca593c7af"/>
    <ds:schemaRef ds:uri="33abc42f-d841-4521-b11e-8b0fa09cfa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9</vt:i4>
      </vt:variant>
      <vt:variant>
        <vt:lpstr>Benoemde bereiken</vt:lpstr>
      </vt:variant>
      <vt:variant>
        <vt:i4>3</vt:i4>
      </vt:variant>
    </vt:vector>
  </HeadingPairs>
  <TitlesOfParts>
    <vt:vector size="12" baseType="lpstr">
      <vt:lpstr>North Kite &amp; Foils </vt:lpstr>
      <vt:lpstr>Essential accessories </vt:lpstr>
      <vt:lpstr>Bridles &amp; Bladders </vt:lpstr>
      <vt:lpstr>Spare Parts </vt:lpstr>
      <vt:lpstr>Apparel &amp; POS</vt:lpstr>
      <vt:lpstr>Bladders -Bridles MY25.1</vt:lpstr>
      <vt:lpstr>Summary</vt:lpstr>
      <vt:lpstr>North ALL products </vt:lpstr>
      <vt:lpstr>General conditions</vt:lpstr>
      <vt:lpstr>'Bladders -Bridles MY25.1'!Afdrukbereik</vt:lpstr>
      <vt:lpstr>'North ALL products '!Afdrukbereik</vt:lpstr>
      <vt:lpstr>'North Kite &amp; Foils '!Afdrukbereik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North Actionsports Sales | Rick</dc:creator>
  <cp:keywords/>
  <dc:description/>
  <cp:lastModifiedBy>Sander Guijt</cp:lastModifiedBy>
  <cp:revision/>
  <dcterms:created xsi:type="dcterms:W3CDTF">2023-04-25T19:27:30Z</dcterms:created>
  <dcterms:modified xsi:type="dcterms:W3CDTF">2025-10-21T07:44:09Z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0x0101009B9053766BBCF44392EDB0FE66E082D6</vt:lpwstr>
  </property>
  <property fmtid="{D5CDD505-2E9C-101B-9397-08002B2CF9AE}" pid="3" name="MediaServiceImageTags">
    <vt:lpwstr/>
  </property>
</Properties>
</file>